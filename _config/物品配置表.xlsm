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/>
  <bookViews>
    <workbookView xWindow="2790" yWindow="2070" windowWidth="24930" windowHeight="9645" activeTab="6"/>
  </bookViews>
  <sheets>
    <sheet name="general" sheetId="1" r:id="rId1"/>
    <sheet name="物品表" sheetId="44" r:id="rId2"/>
    <sheet name="商品表" sheetId="48" r:id="rId3"/>
    <sheet name="开关" sheetId="50" r:id="rId4"/>
    <sheet name="抽奖" sheetId="49" r:id="rId5"/>
    <sheet name="掉落" sheetId="47" r:id="rId6"/>
    <sheet name="掉落_design" sheetId="53" r:id="rId7"/>
    <sheet name="抽奖_design" sheetId="54" r:id="rId8"/>
    <sheet name="掉落形式表" sheetId="55" r:id="rId9"/>
  </sheets>
  <functionGroups builtInGroupCount="17"/>
  <definedNames>
    <definedName name="_xlnm._FilterDatabase" localSheetId="1" hidden="1">物品表!$M$1:$M$55</definedName>
  </definedNames>
  <calcPr calcId="145621"/>
</workbook>
</file>

<file path=xl/calcChain.xml><?xml version="1.0" encoding="utf-8"?>
<calcChain xmlns="http://schemas.openxmlformats.org/spreadsheetml/2006/main">
  <c r="D101" i="47" l="1"/>
  <c r="A101" i="47" s="1"/>
  <c r="E101" i="47" s="1"/>
  <c r="F101" i="47"/>
  <c r="G101" i="47"/>
  <c r="H101" i="47"/>
  <c r="I101" i="47"/>
  <c r="J101" i="47"/>
  <c r="K101" i="47"/>
  <c r="L101" i="47"/>
  <c r="D102" i="47"/>
  <c r="A102" i="47" s="1"/>
  <c r="E102" i="47" s="1"/>
  <c r="F102" i="47"/>
  <c r="G102" i="47"/>
  <c r="H102" i="47"/>
  <c r="I102" i="47"/>
  <c r="J102" i="47"/>
  <c r="K102" i="47"/>
  <c r="L102" i="47"/>
  <c r="D103" i="47"/>
  <c r="A103" i="47" s="1"/>
  <c r="E103" i="47" s="1"/>
  <c r="F103" i="47"/>
  <c r="G103" i="47"/>
  <c r="H103" i="47"/>
  <c r="I103" i="47"/>
  <c r="J103" i="47"/>
  <c r="K103" i="47"/>
  <c r="L103" i="47"/>
  <c r="D104" i="47"/>
  <c r="A104" i="47" s="1"/>
  <c r="E104" i="47" s="1"/>
  <c r="F104" i="47"/>
  <c r="G104" i="47"/>
  <c r="H104" i="47"/>
  <c r="I104" i="47"/>
  <c r="J104" i="47"/>
  <c r="K104" i="47"/>
  <c r="L104" i="47"/>
  <c r="D105" i="47"/>
  <c r="A105" i="47" s="1"/>
  <c r="E105" i="47" s="1"/>
  <c r="F105" i="47"/>
  <c r="G105" i="47"/>
  <c r="H105" i="47"/>
  <c r="I105" i="47"/>
  <c r="J105" i="47"/>
  <c r="K105" i="47"/>
  <c r="L105" i="47"/>
  <c r="D106" i="47"/>
  <c r="A106" i="47" s="1"/>
  <c r="E106" i="47" s="1"/>
  <c r="F106" i="47"/>
  <c r="G106" i="47"/>
  <c r="H106" i="47"/>
  <c r="I106" i="47"/>
  <c r="J106" i="47"/>
  <c r="K106" i="47"/>
  <c r="L106" i="47"/>
  <c r="D107" i="47"/>
  <c r="A107" i="47" s="1"/>
  <c r="E107" i="47" s="1"/>
  <c r="F107" i="47"/>
  <c r="G107" i="47"/>
  <c r="H107" i="47"/>
  <c r="I107" i="47"/>
  <c r="J107" i="47"/>
  <c r="K107" i="47"/>
  <c r="L107" i="47"/>
  <c r="D108" i="47"/>
  <c r="A108" i="47" s="1"/>
  <c r="E108" i="47" s="1"/>
  <c r="F108" i="47"/>
  <c r="G108" i="47"/>
  <c r="H108" i="47"/>
  <c r="I108" i="47"/>
  <c r="J108" i="47"/>
  <c r="K108" i="47"/>
  <c r="L108" i="47"/>
  <c r="D109" i="47"/>
  <c r="A109" i="47" s="1"/>
  <c r="E109" i="47" s="1"/>
  <c r="F109" i="47"/>
  <c r="G109" i="47"/>
  <c r="H109" i="47"/>
  <c r="I109" i="47"/>
  <c r="J109" i="47"/>
  <c r="K109" i="47"/>
  <c r="L109" i="47"/>
  <c r="D110" i="47"/>
  <c r="A110" i="47" s="1"/>
  <c r="E110" i="47" s="1"/>
  <c r="F110" i="47"/>
  <c r="G110" i="47"/>
  <c r="H110" i="47"/>
  <c r="I110" i="47"/>
  <c r="J110" i="47"/>
  <c r="K110" i="47"/>
  <c r="L110" i="47"/>
  <c r="D111" i="47"/>
  <c r="A111" i="47" s="1"/>
  <c r="E111" i="47" s="1"/>
  <c r="F111" i="47"/>
  <c r="G111" i="47"/>
  <c r="H111" i="47"/>
  <c r="I111" i="47"/>
  <c r="J111" i="47"/>
  <c r="K111" i="47"/>
  <c r="L111" i="47"/>
  <c r="D112" i="47"/>
  <c r="A112" i="47" s="1"/>
  <c r="E112" i="47" s="1"/>
  <c r="F112" i="47"/>
  <c r="G112" i="47"/>
  <c r="H112" i="47"/>
  <c r="I112" i="47"/>
  <c r="J112" i="47"/>
  <c r="K112" i="47"/>
  <c r="L112" i="47"/>
  <c r="D113" i="47"/>
  <c r="A113" i="47" s="1"/>
  <c r="E113" i="47" s="1"/>
  <c r="F113" i="47"/>
  <c r="G113" i="47"/>
  <c r="H113" i="47"/>
  <c r="I113" i="47"/>
  <c r="J113" i="47"/>
  <c r="K113" i="47"/>
  <c r="L113" i="47"/>
  <c r="D114" i="47"/>
  <c r="A114" i="47" s="1"/>
  <c r="E114" i="47" s="1"/>
  <c r="F114" i="47"/>
  <c r="G114" i="47"/>
  <c r="H114" i="47"/>
  <c r="I114" i="47"/>
  <c r="J114" i="47"/>
  <c r="K114" i="47"/>
  <c r="L114" i="47"/>
  <c r="D115" i="47"/>
  <c r="A115" i="47" s="1"/>
  <c r="E115" i="47" s="1"/>
  <c r="F115" i="47"/>
  <c r="G115" i="47"/>
  <c r="H115" i="47"/>
  <c r="I115" i="47"/>
  <c r="J115" i="47"/>
  <c r="K115" i="47"/>
  <c r="L115" i="47"/>
  <c r="D116" i="47"/>
  <c r="A116" i="47" s="1"/>
  <c r="E116" i="47" s="1"/>
  <c r="F116" i="47"/>
  <c r="G116" i="47"/>
  <c r="H116" i="47"/>
  <c r="I116" i="47"/>
  <c r="J116" i="47"/>
  <c r="K116" i="47"/>
  <c r="L116" i="47"/>
  <c r="D117" i="47"/>
  <c r="A117" i="47" s="1"/>
  <c r="E117" i="47" s="1"/>
  <c r="F117" i="47"/>
  <c r="G117" i="47"/>
  <c r="H117" i="47"/>
  <c r="I117" i="47"/>
  <c r="J117" i="47"/>
  <c r="K117" i="47"/>
  <c r="L117" i="47"/>
  <c r="D118" i="47"/>
  <c r="A118" i="47" s="1"/>
  <c r="E118" i="47" s="1"/>
  <c r="F118" i="47"/>
  <c r="G118" i="47"/>
  <c r="H118" i="47"/>
  <c r="I118" i="47"/>
  <c r="J118" i="47"/>
  <c r="K118" i="47"/>
  <c r="L118" i="47"/>
  <c r="D119" i="47"/>
  <c r="A119" i="47" s="1"/>
  <c r="E119" i="47" s="1"/>
  <c r="F119" i="47"/>
  <c r="G119" i="47"/>
  <c r="H119" i="47"/>
  <c r="I119" i="47"/>
  <c r="J119" i="47"/>
  <c r="K119" i="47"/>
  <c r="L119" i="47"/>
  <c r="D120" i="47"/>
  <c r="A120" i="47" s="1"/>
  <c r="E120" i="47" s="1"/>
  <c r="F120" i="47"/>
  <c r="G120" i="47"/>
  <c r="H120" i="47"/>
  <c r="I120" i="47"/>
  <c r="J120" i="47"/>
  <c r="K120" i="47"/>
  <c r="L120" i="47"/>
  <c r="D121" i="47"/>
  <c r="A121" i="47" s="1"/>
  <c r="E121" i="47" s="1"/>
  <c r="F121" i="47"/>
  <c r="G121" i="47"/>
  <c r="H121" i="47"/>
  <c r="I121" i="47"/>
  <c r="J121" i="47"/>
  <c r="K121" i="47"/>
  <c r="L121" i="47"/>
  <c r="D122" i="47"/>
  <c r="A122" i="47" s="1"/>
  <c r="E122" i="47" s="1"/>
  <c r="F122" i="47"/>
  <c r="G122" i="47"/>
  <c r="H122" i="47"/>
  <c r="I122" i="47"/>
  <c r="J122" i="47"/>
  <c r="K122" i="47"/>
  <c r="L122" i="47"/>
  <c r="D123" i="47"/>
  <c r="A123" i="47" s="1"/>
  <c r="E123" i="47" s="1"/>
  <c r="F123" i="47"/>
  <c r="G123" i="47"/>
  <c r="H123" i="47"/>
  <c r="I123" i="47"/>
  <c r="J123" i="47"/>
  <c r="K123" i="47"/>
  <c r="L123" i="47"/>
  <c r="D124" i="47"/>
  <c r="A124" i="47" s="1"/>
  <c r="E124" i="47" s="1"/>
  <c r="F124" i="47"/>
  <c r="G124" i="47"/>
  <c r="H124" i="47"/>
  <c r="I124" i="47"/>
  <c r="J124" i="47"/>
  <c r="K124" i="47"/>
  <c r="L124" i="47"/>
  <c r="D125" i="47"/>
  <c r="A125" i="47" s="1"/>
  <c r="E125" i="47" s="1"/>
  <c r="F125" i="47"/>
  <c r="G125" i="47"/>
  <c r="H125" i="47"/>
  <c r="I125" i="47"/>
  <c r="J125" i="47"/>
  <c r="K125" i="47"/>
  <c r="L125" i="47"/>
  <c r="D126" i="47"/>
  <c r="A126" i="47" s="1"/>
  <c r="E126" i="47" s="1"/>
  <c r="F126" i="47"/>
  <c r="G126" i="47"/>
  <c r="H126" i="47"/>
  <c r="I126" i="47"/>
  <c r="J126" i="47"/>
  <c r="K126" i="47"/>
  <c r="L126" i="47"/>
  <c r="D127" i="47"/>
  <c r="A127" i="47" s="1"/>
  <c r="E127" i="47" s="1"/>
  <c r="F127" i="47"/>
  <c r="G127" i="47"/>
  <c r="H127" i="47"/>
  <c r="I127" i="47"/>
  <c r="J127" i="47"/>
  <c r="K127" i="47"/>
  <c r="L127" i="47"/>
  <c r="D128" i="47"/>
  <c r="A128" i="47" s="1"/>
  <c r="E128" i="47" s="1"/>
  <c r="F128" i="47"/>
  <c r="G128" i="47"/>
  <c r="H128" i="47"/>
  <c r="I128" i="47"/>
  <c r="J128" i="47"/>
  <c r="K128" i="47"/>
  <c r="L128" i="47"/>
  <c r="D129" i="47"/>
  <c r="A129" i="47" s="1"/>
  <c r="E129" i="47" s="1"/>
  <c r="F129" i="47"/>
  <c r="G129" i="47"/>
  <c r="H129" i="47"/>
  <c r="I129" i="47"/>
  <c r="J129" i="47"/>
  <c r="K129" i="47"/>
  <c r="L129" i="47"/>
  <c r="D130" i="47"/>
  <c r="A130" i="47" s="1"/>
  <c r="E130" i="47" s="1"/>
  <c r="F130" i="47"/>
  <c r="G130" i="47"/>
  <c r="H130" i="47"/>
  <c r="I130" i="47"/>
  <c r="J130" i="47"/>
  <c r="K130" i="47"/>
  <c r="L130" i="47"/>
  <c r="D131" i="47"/>
  <c r="A131" i="47" s="1"/>
  <c r="E131" i="47" s="1"/>
  <c r="F131" i="47"/>
  <c r="G131" i="47"/>
  <c r="H131" i="47"/>
  <c r="I131" i="47"/>
  <c r="J131" i="47"/>
  <c r="K131" i="47"/>
  <c r="L131" i="47"/>
  <c r="D132" i="47"/>
  <c r="A132" i="47" s="1"/>
  <c r="E132" i="47" s="1"/>
  <c r="F132" i="47"/>
  <c r="G132" i="47"/>
  <c r="H132" i="47"/>
  <c r="I132" i="47"/>
  <c r="J132" i="47"/>
  <c r="K132" i="47"/>
  <c r="L132" i="47"/>
  <c r="D133" i="47"/>
  <c r="A133" i="47" s="1"/>
  <c r="E133" i="47" s="1"/>
  <c r="F133" i="47"/>
  <c r="G133" i="47"/>
  <c r="H133" i="47"/>
  <c r="I133" i="47"/>
  <c r="J133" i="47"/>
  <c r="K133" i="47"/>
  <c r="L133" i="47"/>
  <c r="D134" i="47"/>
  <c r="A134" i="47" s="1"/>
  <c r="E134" i="47" s="1"/>
  <c r="F134" i="47"/>
  <c r="G134" i="47"/>
  <c r="H134" i="47"/>
  <c r="I134" i="47"/>
  <c r="J134" i="47"/>
  <c r="K134" i="47"/>
  <c r="L134" i="47"/>
  <c r="D135" i="47"/>
  <c r="A135" i="47" s="1"/>
  <c r="E135" i="47" s="1"/>
  <c r="F135" i="47"/>
  <c r="G135" i="47"/>
  <c r="H135" i="47"/>
  <c r="I135" i="47"/>
  <c r="J135" i="47"/>
  <c r="K135" i="47"/>
  <c r="L135" i="47"/>
  <c r="D136" i="47"/>
  <c r="A136" i="47" s="1"/>
  <c r="E136" i="47" s="1"/>
  <c r="F136" i="47"/>
  <c r="G136" i="47"/>
  <c r="H136" i="47"/>
  <c r="I136" i="47"/>
  <c r="J136" i="47"/>
  <c r="K136" i="47"/>
  <c r="L136" i="47"/>
  <c r="D137" i="47"/>
  <c r="A137" i="47" s="1"/>
  <c r="E137" i="47" s="1"/>
  <c r="F137" i="47"/>
  <c r="G137" i="47"/>
  <c r="H137" i="47"/>
  <c r="I137" i="47"/>
  <c r="J137" i="47"/>
  <c r="K137" i="47"/>
  <c r="L137" i="47"/>
  <c r="D138" i="47"/>
  <c r="A138" i="47" s="1"/>
  <c r="E138" i="47" s="1"/>
  <c r="F138" i="47"/>
  <c r="G138" i="47"/>
  <c r="H138" i="47"/>
  <c r="I138" i="47"/>
  <c r="J138" i="47"/>
  <c r="K138" i="47"/>
  <c r="L138" i="47"/>
  <c r="D139" i="47"/>
  <c r="A139" i="47" s="1"/>
  <c r="E139" i="47" s="1"/>
  <c r="F139" i="47"/>
  <c r="G139" i="47"/>
  <c r="H139" i="47"/>
  <c r="I139" i="47"/>
  <c r="J139" i="47"/>
  <c r="K139" i="47"/>
  <c r="L139" i="47"/>
  <c r="D140" i="47"/>
  <c r="A140" i="47" s="1"/>
  <c r="E140" i="47" s="1"/>
  <c r="F140" i="47"/>
  <c r="G140" i="47"/>
  <c r="H140" i="47"/>
  <c r="I140" i="47"/>
  <c r="J140" i="47"/>
  <c r="K140" i="47"/>
  <c r="L140" i="47"/>
  <c r="D141" i="47"/>
  <c r="A141" i="47" s="1"/>
  <c r="E141" i="47" s="1"/>
  <c r="F141" i="47"/>
  <c r="G141" i="47"/>
  <c r="H141" i="47"/>
  <c r="I141" i="47"/>
  <c r="J141" i="47"/>
  <c r="K141" i="47"/>
  <c r="L141" i="47"/>
  <c r="D142" i="47"/>
  <c r="A142" i="47" s="1"/>
  <c r="E142" i="47" s="1"/>
  <c r="F142" i="47"/>
  <c r="G142" i="47"/>
  <c r="H142" i="47"/>
  <c r="I142" i="47"/>
  <c r="J142" i="47"/>
  <c r="K142" i="47"/>
  <c r="L142" i="47"/>
  <c r="D143" i="47"/>
  <c r="A143" i="47" s="1"/>
  <c r="E143" i="47" s="1"/>
  <c r="F143" i="47"/>
  <c r="G143" i="47"/>
  <c r="H143" i="47"/>
  <c r="I143" i="47"/>
  <c r="J143" i="47"/>
  <c r="K143" i="47"/>
  <c r="L143" i="47"/>
  <c r="T17" i="53" l="1"/>
  <c r="Y17" i="53" s="1"/>
  <c r="Z14" i="47"/>
  <c r="W14" i="47" s="1"/>
  <c r="T14" i="47" s="1"/>
  <c r="Q14" i="47" s="1"/>
  <c r="N14" i="47" s="1"/>
  <c r="K14" i="47" s="1"/>
  <c r="H14" i="47" s="1"/>
  <c r="E14" i="47" s="1"/>
  <c r="B14" i="47" s="1"/>
  <c r="AA14" i="47"/>
  <c r="X14" i="47" s="1"/>
  <c r="U14" i="47" s="1"/>
  <c r="R14" i="47" s="1"/>
  <c r="O14" i="47" s="1"/>
  <c r="L14" i="47" s="1"/>
  <c r="I14" i="47" s="1"/>
  <c r="F14" i="47" s="1"/>
  <c r="C14" i="47" s="1"/>
  <c r="Y14" i="47"/>
  <c r="V14" i="47" s="1"/>
  <c r="S14" i="47" s="1"/>
  <c r="P14" i="47" s="1"/>
  <c r="M14" i="47" s="1"/>
  <c r="J14" i="47" s="1"/>
  <c r="G14" i="47" s="1"/>
  <c r="D14" i="47" s="1"/>
  <c r="A14" i="47" s="1"/>
  <c r="D15" i="47"/>
  <c r="A15" i="47" s="1"/>
  <c r="E15" i="47" s="1"/>
  <c r="F15" i="47"/>
  <c r="G15" i="47"/>
  <c r="H15" i="47"/>
  <c r="I15" i="47"/>
  <c r="J15" i="47"/>
  <c r="K15" i="47"/>
  <c r="L15" i="47"/>
  <c r="M15" i="47"/>
  <c r="N15" i="47"/>
  <c r="O15" i="47"/>
  <c r="P15" i="47"/>
  <c r="Q15" i="47"/>
  <c r="R15" i="47"/>
  <c r="S15" i="47"/>
  <c r="T15" i="47"/>
  <c r="U15" i="47"/>
  <c r="V15" i="47"/>
  <c r="W15" i="47"/>
  <c r="X15" i="47"/>
  <c r="Y15" i="47"/>
  <c r="D16" i="47"/>
  <c r="A16" i="47" s="1"/>
  <c r="E16" i="47" s="1"/>
  <c r="F16" i="47"/>
  <c r="G16" i="47"/>
  <c r="H16" i="47"/>
  <c r="I16" i="47"/>
  <c r="J16" i="47"/>
  <c r="K16" i="47"/>
  <c r="L16" i="47"/>
  <c r="M16" i="47"/>
  <c r="N16" i="47"/>
  <c r="O16" i="47"/>
  <c r="P16" i="47"/>
  <c r="Q16" i="47"/>
  <c r="R16" i="47"/>
  <c r="S16" i="47"/>
  <c r="T16" i="47"/>
  <c r="U16" i="47"/>
  <c r="V16" i="47"/>
  <c r="W16" i="47"/>
  <c r="X16" i="47"/>
  <c r="Y16" i="47"/>
  <c r="D17" i="47"/>
  <c r="A17" i="47" s="1"/>
  <c r="E17" i="47" s="1"/>
  <c r="F17" i="47"/>
  <c r="G17" i="47"/>
  <c r="H17" i="47"/>
  <c r="I17" i="47"/>
  <c r="Q17" i="47"/>
  <c r="R17" i="47"/>
  <c r="S17" i="47"/>
  <c r="T17" i="47"/>
  <c r="U17" i="47"/>
  <c r="V17" i="47"/>
  <c r="W17" i="47"/>
  <c r="X17" i="47"/>
  <c r="Y17" i="47"/>
  <c r="F90" i="47"/>
  <c r="G90" i="47"/>
  <c r="H90" i="47"/>
  <c r="I90" i="47"/>
  <c r="J90" i="47"/>
  <c r="K90" i="47"/>
  <c r="L90" i="47"/>
  <c r="M90" i="47"/>
  <c r="N90" i="47"/>
  <c r="O90" i="47"/>
  <c r="P90" i="47"/>
  <c r="F91" i="47"/>
  <c r="G91" i="47"/>
  <c r="H91" i="47"/>
  <c r="I91" i="47"/>
  <c r="J91" i="47"/>
  <c r="K91" i="47"/>
  <c r="L91" i="47"/>
  <c r="M91" i="47"/>
  <c r="N91" i="47"/>
  <c r="O91" i="47"/>
  <c r="P91" i="47"/>
  <c r="G89" i="47"/>
  <c r="H89" i="47"/>
  <c r="I89" i="47"/>
  <c r="J89" i="47"/>
  <c r="K89" i="47"/>
  <c r="L89" i="47"/>
  <c r="M89" i="47"/>
  <c r="N89" i="47"/>
  <c r="O89" i="47"/>
  <c r="P89" i="47"/>
  <c r="G83" i="47"/>
  <c r="H83" i="47"/>
  <c r="I83" i="47"/>
  <c r="J83" i="47"/>
  <c r="K83" i="47"/>
  <c r="L83" i="47"/>
  <c r="M83" i="47"/>
  <c r="N83" i="47"/>
  <c r="O83" i="47"/>
  <c r="P83" i="47"/>
  <c r="D92" i="47"/>
  <c r="A92" i="47" s="1"/>
  <c r="E92" i="47" s="1"/>
  <c r="D93" i="47"/>
  <c r="A93" i="47" s="1"/>
  <c r="E93" i="47" s="1"/>
  <c r="D94" i="47"/>
  <c r="A94" i="47" s="1"/>
  <c r="E94" i="47" s="1"/>
  <c r="D95" i="47"/>
  <c r="A95" i="47" s="1"/>
  <c r="E95" i="47" s="1"/>
  <c r="D96" i="47"/>
  <c r="A96" i="47" s="1"/>
  <c r="E96" i="47" s="1"/>
  <c r="D97" i="47"/>
  <c r="A97" i="47" s="1"/>
  <c r="E97" i="47" s="1"/>
  <c r="D98" i="47"/>
  <c r="A98" i="47" s="1"/>
  <c r="E98" i="47" s="1"/>
  <c r="D99" i="47"/>
  <c r="A99" i="47" s="1"/>
  <c r="E99" i="47" s="1"/>
  <c r="D100" i="47"/>
  <c r="A100" i="47" s="1"/>
  <c r="E100" i="47" s="1"/>
  <c r="F9" i="47"/>
  <c r="G9" i="47"/>
  <c r="H9" i="47"/>
  <c r="I9" i="47"/>
  <c r="J9" i="47"/>
  <c r="K9" i="47"/>
  <c r="L9" i="47"/>
  <c r="M9" i="47"/>
  <c r="N9" i="47"/>
  <c r="O9" i="47"/>
  <c r="P9" i="47"/>
  <c r="Q9" i="47"/>
  <c r="R9" i="47"/>
  <c r="S9" i="47"/>
  <c r="T9" i="47"/>
  <c r="U9" i="47"/>
  <c r="V9" i="47"/>
  <c r="W9" i="47"/>
  <c r="X9" i="47"/>
  <c r="Y9" i="47"/>
  <c r="F10" i="47"/>
  <c r="G10" i="47"/>
  <c r="H10" i="47"/>
  <c r="I10" i="47"/>
  <c r="J10" i="47"/>
  <c r="K10" i="47"/>
  <c r="L10" i="47"/>
  <c r="M10" i="47"/>
  <c r="N10" i="47"/>
  <c r="O10" i="47"/>
  <c r="P10" i="47"/>
  <c r="Q10" i="47"/>
  <c r="R10" i="47"/>
  <c r="S10" i="47"/>
  <c r="T10" i="47"/>
  <c r="U10" i="47"/>
  <c r="V10" i="47"/>
  <c r="W10" i="47"/>
  <c r="X10" i="47"/>
  <c r="Y10" i="47"/>
  <c r="F11" i="47"/>
  <c r="G11" i="47"/>
  <c r="H11" i="47"/>
  <c r="I11" i="47"/>
  <c r="J11" i="47"/>
  <c r="K11" i="47"/>
  <c r="L11" i="47"/>
  <c r="M11" i="47"/>
  <c r="N11" i="47"/>
  <c r="O11" i="47"/>
  <c r="P11" i="47"/>
  <c r="Q11" i="47"/>
  <c r="R11" i="47"/>
  <c r="S11" i="47"/>
  <c r="T11" i="47"/>
  <c r="U11" i="47"/>
  <c r="V11" i="47"/>
  <c r="W11" i="47"/>
  <c r="X11" i="47"/>
  <c r="Y11" i="47"/>
  <c r="F12" i="47"/>
  <c r="G12" i="47"/>
  <c r="H12" i="47"/>
  <c r="I12" i="47"/>
  <c r="J12" i="47"/>
  <c r="K12" i="47"/>
  <c r="L12" i="47"/>
  <c r="M12" i="47"/>
  <c r="N12" i="47"/>
  <c r="O12" i="47"/>
  <c r="P12" i="47"/>
  <c r="Q12" i="47"/>
  <c r="R12" i="47"/>
  <c r="S12" i="47"/>
  <c r="T12" i="47"/>
  <c r="U12" i="47"/>
  <c r="V12" i="47"/>
  <c r="W12" i="47"/>
  <c r="X12" i="47"/>
  <c r="Y12" i="47"/>
  <c r="F13" i="47"/>
  <c r="G13" i="47"/>
  <c r="H13" i="47"/>
  <c r="I13" i="47"/>
  <c r="J13" i="47"/>
  <c r="K13" i="47"/>
  <c r="L13" i="47"/>
  <c r="M13" i="47"/>
  <c r="N13" i="47"/>
  <c r="O13" i="47"/>
  <c r="P13" i="47"/>
  <c r="Q13" i="47"/>
  <c r="R13" i="47"/>
  <c r="S13" i="47"/>
  <c r="T13" i="47"/>
  <c r="U13" i="47"/>
  <c r="V13" i="47"/>
  <c r="W13" i="47"/>
  <c r="X13" i="47"/>
  <c r="Y13" i="47"/>
  <c r="F18" i="47"/>
  <c r="G18" i="47"/>
  <c r="H18" i="47"/>
  <c r="I18" i="47"/>
  <c r="J18" i="47"/>
  <c r="K18" i="47"/>
  <c r="L18" i="47"/>
  <c r="M18" i="47"/>
  <c r="N18" i="47"/>
  <c r="O18" i="47"/>
  <c r="P18" i="47"/>
  <c r="Q18" i="47"/>
  <c r="R18" i="47"/>
  <c r="S18" i="47"/>
  <c r="T18" i="47"/>
  <c r="U18" i="47"/>
  <c r="V18" i="47"/>
  <c r="W18" i="47"/>
  <c r="X18" i="47"/>
  <c r="Y18" i="47"/>
  <c r="F19" i="47"/>
  <c r="G19" i="47"/>
  <c r="H19" i="47"/>
  <c r="I19" i="47"/>
  <c r="J19" i="47"/>
  <c r="K19" i="47"/>
  <c r="L19" i="47"/>
  <c r="M19" i="47"/>
  <c r="N19" i="47"/>
  <c r="O19" i="47"/>
  <c r="P19" i="47"/>
  <c r="Q19" i="47"/>
  <c r="R19" i="47"/>
  <c r="S19" i="47"/>
  <c r="T19" i="47"/>
  <c r="U19" i="47"/>
  <c r="V19" i="47"/>
  <c r="W19" i="47"/>
  <c r="X19" i="47"/>
  <c r="Y19" i="47"/>
  <c r="P20" i="47"/>
  <c r="Q20" i="47"/>
  <c r="R20" i="47"/>
  <c r="S20" i="47"/>
  <c r="T20" i="47"/>
  <c r="U20" i="47"/>
  <c r="V20" i="47"/>
  <c r="W20" i="47"/>
  <c r="X20" i="47"/>
  <c r="Y20" i="47"/>
  <c r="F21" i="47"/>
  <c r="G21" i="47"/>
  <c r="H21" i="47"/>
  <c r="I21" i="47"/>
  <c r="J21" i="47"/>
  <c r="K21" i="47"/>
  <c r="L21" i="47"/>
  <c r="M21" i="47"/>
  <c r="N21" i="47"/>
  <c r="O21" i="47"/>
  <c r="P21" i="47"/>
  <c r="Q21" i="47"/>
  <c r="R21" i="47"/>
  <c r="S21" i="47"/>
  <c r="T21" i="47"/>
  <c r="U21" i="47"/>
  <c r="V21" i="47"/>
  <c r="W21" i="47"/>
  <c r="X21" i="47"/>
  <c r="Y21" i="47"/>
  <c r="F22" i="47"/>
  <c r="G22" i="47"/>
  <c r="H22" i="47"/>
  <c r="I22" i="47"/>
  <c r="J22" i="47"/>
  <c r="K22" i="47"/>
  <c r="L22" i="47"/>
  <c r="M22" i="47"/>
  <c r="N22" i="47"/>
  <c r="O22" i="47"/>
  <c r="P22" i="47"/>
  <c r="Q22" i="47"/>
  <c r="R22" i="47"/>
  <c r="S22" i="47"/>
  <c r="T22" i="47"/>
  <c r="U22" i="47"/>
  <c r="V22" i="47"/>
  <c r="W22" i="47"/>
  <c r="X22" i="47"/>
  <c r="Y22" i="47"/>
  <c r="Q23" i="47"/>
  <c r="R23" i="47"/>
  <c r="S23" i="47"/>
  <c r="T23" i="47"/>
  <c r="U23" i="47"/>
  <c r="V23" i="47"/>
  <c r="W23" i="47"/>
  <c r="X23" i="47"/>
  <c r="Y23" i="47"/>
  <c r="F24" i="47"/>
  <c r="G24" i="47"/>
  <c r="H24" i="47"/>
  <c r="I24" i="47"/>
  <c r="J24" i="47"/>
  <c r="K24" i="47"/>
  <c r="L24" i="47"/>
  <c r="M24" i="47"/>
  <c r="N24" i="47"/>
  <c r="O24" i="47"/>
  <c r="P24" i="47"/>
  <c r="Q24" i="47"/>
  <c r="R24" i="47"/>
  <c r="S24" i="47"/>
  <c r="T24" i="47"/>
  <c r="U24" i="47"/>
  <c r="V24" i="47"/>
  <c r="W24" i="47"/>
  <c r="X24" i="47"/>
  <c r="Y24" i="47"/>
  <c r="F25" i="47"/>
  <c r="G25" i="47"/>
  <c r="H25" i="47"/>
  <c r="I25" i="47"/>
  <c r="J25" i="47"/>
  <c r="K25" i="47"/>
  <c r="L25" i="47"/>
  <c r="M25" i="47"/>
  <c r="N25" i="47"/>
  <c r="O25" i="47"/>
  <c r="P25" i="47"/>
  <c r="Q25" i="47"/>
  <c r="R25" i="47"/>
  <c r="S25" i="47"/>
  <c r="T25" i="47"/>
  <c r="U25" i="47"/>
  <c r="V25" i="47"/>
  <c r="W25" i="47"/>
  <c r="X25" i="47"/>
  <c r="Y25" i="47"/>
  <c r="Q26" i="47"/>
  <c r="R26" i="47"/>
  <c r="S26" i="47"/>
  <c r="T26" i="47"/>
  <c r="U26" i="47"/>
  <c r="V26" i="47"/>
  <c r="W26" i="47"/>
  <c r="X26" i="47"/>
  <c r="Y26" i="47"/>
  <c r="F27" i="47"/>
  <c r="G27" i="47"/>
  <c r="H27" i="47"/>
  <c r="I27" i="47"/>
  <c r="J27" i="47"/>
  <c r="K27" i="47"/>
  <c r="L27" i="47"/>
  <c r="M27" i="47"/>
  <c r="N27" i="47"/>
  <c r="O27" i="47"/>
  <c r="P27" i="47"/>
  <c r="Q27" i="47"/>
  <c r="R27" i="47"/>
  <c r="S27" i="47"/>
  <c r="T27" i="47"/>
  <c r="U27" i="47"/>
  <c r="V27" i="47"/>
  <c r="W27" i="47"/>
  <c r="X27" i="47"/>
  <c r="Y27" i="47"/>
  <c r="F28" i="47"/>
  <c r="G28" i="47"/>
  <c r="H28" i="47"/>
  <c r="I28" i="47"/>
  <c r="J28" i="47"/>
  <c r="K28" i="47"/>
  <c r="L28" i="47"/>
  <c r="M28" i="47"/>
  <c r="N28" i="47"/>
  <c r="O28" i="47"/>
  <c r="P28" i="47"/>
  <c r="Q28" i="47"/>
  <c r="R28" i="47"/>
  <c r="S28" i="47"/>
  <c r="T28" i="47"/>
  <c r="U28" i="47"/>
  <c r="V28" i="47"/>
  <c r="W28" i="47"/>
  <c r="X28" i="47"/>
  <c r="Y28" i="47"/>
  <c r="Q29" i="47"/>
  <c r="R29" i="47"/>
  <c r="S29" i="47"/>
  <c r="T29" i="47"/>
  <c r="U29" i="47"/>
  <c r="V29" i="47"/>
  <c r="W29" i="47"/>
  <c r="X29" i="47"/>
  <c r="Y29" i="47"/>
  <c r="F30" i="47"/>
  <c r="G30" i="47"/>
  <c r="H30" i="47"/>
  <c r="I30" i="47"/>
  <c r="J30" i="47"/>
  <c r="K30" i="47"/>
  <c r="L30" i="47"/>
  <c r="M30" i="47"/>
  <c r="N30" i="47"/>
  <c r="O30" i="47"/>
  <c r="P30" i="47"/>
  <c r="Q30" i="47"/>
  <c r="R30" i="47"/>
  <c r="S30" i="47"/>
  <c r="T30" i="47"/>
  <c r="U30" i="47"/>
  <c r="V30" i="47"/>
  <c r="W30" i="47"/>
  <c r="X30" i="47"/>
  <c r="Y30" i="47"/>
  <c r="F31" i="47"/>
  <c r="G31" i="47"/>
  <c r="H31" i="47"/>
  <c r="I31" i="47"/>
  <c r="J31" i="47"/>
  <c r="K31" i="47"/>
  <c r="L31" i="47"/>
  <c r="M31" i="47"/>
  <c r="N31" i="47"/>
  <c r="O31" i="47"/>
  <c r="P31" i="47"/>
  <c r="Q31" i="47"/>
  <c r="R31" i="47"/>
  <c r="S31" i="47"/>
  <c r="T31" i="47"/>
  <c r="U31" i="47"/>
  <c r="V31" i="47"/>
  <c r="W31" i="47"/>
  <c r="X31" i="47"/>
  <c r="Y31" i="47"/>
  <c r="Q32" i="47"/>
  <c r="R32" i="47"/>
  <c r="S32" i="47"/>
  <c r="T32" i="47"/>
  <c r="U32" i="47"/>
  <c r="V32" i="47"/>
  <c r="W32" i="47"/>
  <c r="X32" i="47"/>
  <c r="Y32" i="47"/>
  <c r="F33" i="47"/>
  <c r="G33" i="47"/>
  <c r="H33" i="47"/>
  <c r="I33" i="47"/>
  <c r="J33" i="47"/>
  <c r="K33" i="47"/>
  <c r="L33" i="47"/>
  <c r="M33" i="47"/>
  <c r="N33" i="47"/>
  <c r="O33" i="47"/>
  <c r="P33" i="47"/>
  <c r="Q33" i="47"/>
  <c r="R33" i="47"/>
  <c r="S33" i="47"/>
  <c r="T33" i="47"/>
  <c r="U33" i="47"/>
  <c r="V33" i="47"/>
  <c r="W33" i="47"/>
  <c r="X33" i="47"/>
  <c r="Y33" i="47"/>
  <c r="F34" i="47"/>
  <c r="G34" i="47"/>
  <c r="H34" i="47"/>
  <c r="I34" i="47"/>
  <c r="J34" i="47"/>
  <c r="K34" i="47"/>
  <c r="L34" i="47"/>
  <c r="M34" i="47"/>
  <c r="N34" i="47"/>
  <c r="O34" i="47"/>
  <c r="P34" i="47"/>
  <c r="Q34" i="47"/>
  <c r="R34" i="47"/>
  <c r="S34" i="47"/>
  <c r="T34" i="47"/>
  <c r="U34" i="47"/>
  <c r="V34" i="47"/>
  <c r="W34" i="47"/>
  <c r="X34" i="47"/>
  <c r="Y34" i="47"/>
  <c r="Q35" i="47"/>
  <c r="R35" i="47"/>
  <c r="S35" i="47"/>
  <c r="T35" i="47"/>
  <c r="U35" i="47"/>
  <c r="V35" i="47"/>
  <c r="W35" i="47"/>
  <c r="X35" i="47"/>
  <c r="Y35" i="47"/>
  <c r="F36" i="47"/>
  <c r="G36" i="47"/>
  <c r="H36" i="47"/>
  <c r="I36" i="47"/>
  <c r="J36" i="47"/>
  <c r="K36" i="47"/>
  <c r="L36" i="47"/>
  <c r="M36" i="47"/>
  <c r="N36" i="47"/>
  <c r="O36" i="47"/>
  <c r="P36" i="47"/>
  <c r="Q36" i="47"/>
  <c r="R36" i="47"/>
  <c r="S36" i="47"/>
  <c r="T36" i="47"/>
  <c r="U36" i="47"/>
  <c r="V36" i="47"/>
  <c r="W36" i="47"/>
  <c r="X36" i="47"/>
  <c r="Y36" i="47"/>
  <c r="F37" i="47"/>
  <c r="G37" i="47"/>
  <c r="H37" i="47"/>
  <c r="I37" i="47"/>
  <c r="J37" i="47"/>
  <c r="K37" i="47"/>
  <c r="L37" i="47"/>
  <c r="M37" i="47"/>
  <c r="N37" i="47"/>
  <c r="O37" i="47"/>
  <c r="P37" i="47"/>
  <c r="Q37" i="47"/>
  <c r="R37" i="47"/>
  <c r="S37" i="47"/>
  <c r="T37" i="47"/>
  <c r="U37" i="47"/>
  <c r="V37" i="47"/>
  <c r="W37" i="47"/>
  <c r="X37" i="47"/>
  <c r="Y37" i="47"/>
  <c r="Q38" i="47"/>
  <c r="R38" i="47"/>
  <c r="S38" i="47"/>
  <c r="T38" i="47"/>
  <c r="U38" i="47"/>
  <c r="V38" i="47"/>
  <c r="W38" i="47"/>
  <c r="X38" i="47"/>
  <c r="Y38" i="47"/>
  <c r="F39" i="47"/>
  <c r="G39" i="47"/>
  <c r="H39" i="47"/>
  <c r="I39" i="47"/>
  <c r="J39" i="47"/>
  <c r="K39" i="47"/>
  <c r="L39" i="47"/>
  <c r="M39" i="47"/>
  <c r="N39" i="47"/>
  <c r="O39" i="47"/>
  <c r="P39" i="47"/>
  <c r="Q39" i="47"/>
  <c r="R39" i="47"/>
  <c r="S39" i="47"/>
  <c r="T39" i="47"/>
  <c r="U39" i="47"/>
  <c r="V39" i="47"/>
  <c r="W39" i="47"/>
  <c r="X39" i="47"/>
  <c r="Y39" i="47"/>
  <c r="F40" i="47"/>
  <c r="G40" i="47"/>
  <c r="H40" i="47"/>
  <c r="I40" i="47"/>
  <c r="J40" i="47"/>
  <c r="K40" i="47"/>
  <c r="L40" i="47"/>
  <c r="M40" i="47"/>
  <c r="N40" i="47"/>
  <c r="O40" i="47"/>
  <c r="P40" i="47"/>
  <c r="Q40" i="47"/>
  <c r="R40" i="47"/>
  <c r="S40" i="47"/>
  <c r="T40" i="47"/>
  <c r="U40" i="47"/>
  <c r="V40" i="47"/>
  <c r="W40" i="47"/>
  <c r="X40" i="47"/>
  <c r="Y40" i="47"/>
  <c r="Q41" i="47"/>
  <c r="R41" i="47"/>
  <c r="S41" i="47"/>
  <c r="T41" i="47"/>
  <c r="U41" i="47"/>
  <c r="V41" i="47"/>
  <c r="W41" i="47"/>
  <c r="X41" i="47"/>
  <c r="Y41" i="47"/>
  <c r="F42" i="47"/>
  <c r="G42" i="47"/>
  <c r="H42" i="47"/>
  <c r="I42" i="47"/>
  <c r="J42" i="47"/>
  <c r="K42" i="47"/>
  <c r="L42" i="47"/>
  <c r="M42" i="47"/>
  <c r="N42" i="47"/>
  <c r="O42" i="47"/>
  <c r="P42" i="47"/>
  <c r="Q42" i="47"/>
  <c r="R42" i="47"/>
  <c r="S42" i="47"/>
  <c r="T42" i="47"/>
  <c r="U42" i="47"/>
  <c r="V42" i="47"/>
  <c r="W42" i="47"/>
  <c r="X42" i="47"/>
  <c r="Y42" i="47"/>
  <c r="F43" i="47"/>
  <c r="G43" i="47"/>
  <c r="H43" i="47"/>
  <c r="I43" i="47"/>
  <c r="J43" i="47"/>
  <c r="K43" i="47"/>
  <c r="L43" i="47"/>
  <c r="M43" i="47"/>
  <c r="N43" i="47"/>
  <c r="O43" i="47"/>
  <c r="P43" i="47"/>
  <c r="Q43" i="47"/>
  <c r="R43" i="47"/>
  <c r="S43" i="47"/>
  <c r="T43" i="47"/>
  <c r="U43" i="47"/>
  <c r="V43" i="47"/>
  <c r="W43" i="47"/>
  <c r="X43" i="47"/>
  <c r="Y43" i="47"/>
  <c r="Q44" i="47"/>
  <c r="R44" i="47"/>
  <c r="S44" i="47"/>
  <c r="T44" i="47"/>
  <c r="U44" i="47"/>
  <c r="V44" i="47"/>
  <c r="W44" i="47"/>
  <c r="X44" i="47"/>
  <c r="Y44" i="47"/>
  <c r="F45" i="47"/>
  <c r="G45" i="47"/>
  <c r="H45" i="47"/>
  <c r="I45" i="47"/>
  <c r="J45" i="47"/>
  <c r="K45" i="47"/>
  <c r="L45" i="47"/>
  <c r="M45" i="47"/>
  <c r="N45" i="47"/>
  <c r="O45" i="47"/>
  <c r="P45" i="47"/>
  <c r="Q45" i="47"/>
  <c r="R45" i="47"/>
  <c r="S45" i="47"/>
  <c r="T45" i="47"/>
  <c r="U45" i="47"/>
  <c r="V45" i="47"/>
  <c r="W45" i="47"/>
  <c r="X45" i="47"/>
  <c r="Y45" i="47"/>
  <c r="F46" i="47"/>
  <c r="G46" i="47"/>
  <c r="H46" i="47"/>
  <c r="I46" i="47"/>
  <c r="J46" i="47"/>
  <c r="K46" i="47"/>
  <c r="L46" i="47"/>
  <c r="M46" i="47"/>
  <c r="N46" i="47"/>
  <c r="O46" i="47"/>
  <c r="P46" i="47"/>
  <c r="Q46" i="47"/>
  <c r="R46" i="47"/>
  <c r="S46" i="47"/>
  <c r="T46" i="47"/>
  <c r="U46" i="47"/>
  <c r="V46" i="47"/>
  <c r="W46" i="47"/>
  <c r="X46" i="47"/>
  <c r="Y46" i="47"/>
  <c r="Q47" i="47"/>
  <c r="R47" i="47"/>
  <c r="S47" i="47"/>
  <c r="T47" i="47"/>
  <c r="U47" i="47"/>
  <c r="V47" i="47"/>
  <c r="W47" i="47"/>
  <c r="X47" i="47"/>
  <c r="Y47" i="47"/>
  <c r="F48" i="47"/>
  <c r="G48" i="47"/>
  <c r="H48" i="47"/>
  <c r="I48" i="47"/>
  <c r="J48" i="47"/>
  <c r="K48" i="47"/>
  <c r="L48" i="47"/>
  <c r="M48" i="47"/>
  <c r="N48" i="47"/>
  <c r="O48" i="47"/>
  <c r="P48" i="47"/>
  <c r="Q48" i="47"/>
  <c r="R48" i="47"/>
  <c r="S48" i="47"/>
  <c r="T48" i="47"/>
  <c r="U48" i="47"/>
  <c r="V48" i="47"/>
  <c r="W48" i="47"/>
  <c r="X48" i="47"/>
  <c r="Y48" i="47"/>
  <c r="F49" i="47"/>
  <c r="G49" i="47"/>
  <c r="H49" i="47"/>
  <c r="I49" i="47"/>
  <c r="J49" i="47"/>
  <c r="K49" i="47"/>
  <c r="L49" i="47"/>
  <c r="M49" i="47"/>
  <c r="N49" i="47"/>
  <c r="O49" i="47"/>
  <c r="P49" i="47"/>
  <c r="Q49" i="47"/>
  <c r="R49" i="47"/>
  <c r="S49" i="47"/>
  <c r="T49" i="47"/>
  <c r="U49" i="47"/>
  <c r="V49" i="47"/>
  <c r="W49" i="47"/>
  <c r="X49" i="47"/>
  <c r="Y49" i="47"/>
  <c r="F50" i="47"/>
  <c r="G50" i="47"/>
  <c r="H50" i="47"/>
  <c r="I50" i="47"/>
  <c r="J50" i="47"/>
  <c r="K50" i="47"/>
  <c r="L50" i="47"/>
  <c r="M50" i="47"/>
  <c r="N50" i="47"/>
  <c r="O50" i="47"/>
  <c r="P50" i="47"/>
  <c r="Q50" i="47"/>
  <c r="R50" i="47"/>
  <c r="S50" i="47"/>
  <c r="T50" i="47"/>
  <c r="U50" i="47"/>
  <c r="V50" i="47"/>
  <c r="W50" i="47"/>
  <c r="X50" i="47"/>
  <c r="Y50" i="47"/>
  <c r="P51" i="47"/>
  <c r="Q51" i="47"/>
  <c r="R51" i="47"/>
  <c r="S51" i="47"/>
  <c r="T51" i="47"/>
  <c r="U51" i="47"/>
  <c r="V51" i="47"/>
  <c r="W51" i="47"/>
  <c r="X51" i="47"/>
  <c r="Y51" i="47"/>
  <c r="F52" i="47"/>
  <c r="G52" i="47"/>
  <c r="H52" i="47"/>
  <c r="I52" i="47"/>
  <c r="J52" i="47"/>
  <c r="K52" i="47"/>
  <c r="L52" i="47"/>
  <c r="M52" i="47"/>
  <c r="N52" i="47"/>
  <c r="O52" i="47"/>
  <c r="P52" i="47"/>
  <c r="Q52" i="47"/>
  <c r="R52" i="47"/>
  <c r="S52" i="47"/>
  <c r="T52" i="47"/>
  <c r="U52" i="47"/>
  <c r="V52" i="47"/>
  <c r="W52" i="47"/>
  <c r="X52" i="47"/>
  <c r="Y52" i="47"/>
  <c r="F53" i="47"/>
  <c r="G53" i="47"/>
  <c r="H53" i="47"/>
  <c r="I53" i="47"/>
  <c r="J53" i="47"/>
  <c r="K53" i="47"/>
  <c r="L53" i="47"/>
  <c r="M53" i="47"/>
  <c r="N53" i="47"/>
  <c r="O53" i="47"/>
  <c r="P53" i="47"/>
  <c r="Q53" i="47"/>
  <c r="R53" i="47"/>
  <c r="S53" i="47"/>
  <c r="T53" i="47"/>
  <c r="U53" i="47"/>
  <c r="V53" i="47"/>
  <c r="W53" i="47"/>
  <c r="X53" i="47"/>
  <c r="Y53" i="47"/>
  <c r="Q54" i="47"/>
  <c r="R54" i="47"/>
  <c r="S54" i="47"/>
  <c r="T54" i="47"/>
  <c r="U54" i="47"/>
  <c r="V54" i="47"/>
  <c r="W54" i="47"/>
  <c r="X54" i="47"/>
  <c r="Y54" i="47"/>
  <c r="F55" i="47"/>
  <c r="G55" i="47"/>
  <c r="H55" i="47"/>
  <c r="I55" i="47"/>
  <c r="J55" i="47"/>
  <c r="K55" i="47"/>
  <c r="L55" i="47"/>
  <c r="M55" i="47"/>
  <c r="N55" i="47"/>
  <c r="O55" i="47"/>
  <c r="P55" i="47"/>
  <c r="Q55" i="47"/>
  <c r="R55" i="47"/>
  <c r="S55" i="47"/>
  <c r="T55" i="47"/>
  <c r="U55" i="47"/>
  <c r="V55" i="47"/>
  <c r="W55" i="47"/>
  <c r="X55" i="47"/>
  <c r="Y55" i="47"/>
  <c r="F56" i="47"/>
  <c r="G56" i="47"/>
  <c r="H56" i="47"/>
  <c r="I56" i="47"/>
  <c r="J56" i="47"/>
  <c r="K56" i="47"/>
  <c r="L56" i="47"/>
  <c r="M56" i="47"/>
  <c r="N56" i="47"/>
  <c r="O56" i="47"/>
  <c r="P56" i="47"/>
  <c r="Q56" i="47"/>
  <c r="R56" i="47"/>
  <c r="S56" i="47"/>
  <c r="T56" i="47"/>
  <c r="U56" i="47"/>
  <c r="V56" i="47"/>
  <c r="W56" i="47"/>
  <c r="X56" i="47"/>
  <c r="Y56" i="47"/>
  <c r="Q57" i="47"/>
  <c r="R57" i="47"/>
  <c r="S57" i="47"/>
  <c r="T57" i="47"/>
  <c r="U57" i="47"/>
  <c r="V57" i="47"/>
  <c r="W57" i="47"/>
  <c r="X57" i="47"/>
  <c r="Y57" i="47"/>
  <c r="F58" i="47"/>
  <c r="G58" i="47"/>
  <c r="H58" i="47"/>
  <c r="I58" i="47"/>
  <c r="J58" i="47"/>
  <c r="K58" i="47"/>
  <c r="L58" i="47"/>
  <c r="M58" i="47"/>
  <c r="N58" i="47"/>
  <c r="O58" i="47"/>
  <c r="P58" i="47"/>
  <c r="Q58" i="47"/>
  <c r="R58" i="47"/>
  <c r="S58" i="47"/>
  <c r="T58" i="47"/>
  <c r="U58" i="47"/>
  <c r="V58" i="47"/>
  <c r="W58" i="47"/>
  <c r="X58" i="47"/>
  <c r="Y58" i="47"/>
  <c r="F59" i="47"/>
  <c r="G59" i="47"/>
  <c r="H59" i="47"/>
  <c r="I59" i="47"/>
  <c r="J59" i="47"/>
  <c r="K59" i="47"/>
  <c r="L59" i="47"/>
  <c r="M59" i="47"/>
  <c r="N59" i="47"/>
  <c r="O59" i="47"/>
  <c r="P59" i="47"/>
  <c r="Q59" i="47"/>
  <c r="R59" i="47"/>
  <c r="S59" i="47"/>
  <c r="T59" i="47"/>
  <c r="U59" i="47"/>
  <c r="V59" i="47"/>
  <c r="W59" i="47"/>
  <c r="X59" i="47"/>
  <c r="Y59" i="47"/>
  <c r="Q60" i="47"/>
  <c r="R60" i="47"/>
  <c r="S60" i="47"/>
  <c r="T60" i="47"/>
  <c r="U60" i="47"/>
  <c r="V60" i="47"/>
  <c r="W60" i="47"/>
  <c r="X60" i="47"/>
  <c r="Y60" i="47"/>
  <c r="F61" i="47"/>
  <c r="G61" i="47"/>
  <c r="H61" i="47"/>
  <c r="I61" i="47"/>
  <c r="J61" i="47"/>
  <c r="K61" i="47"/>
  <c r="L61" i="47"/>
  <c r="M61" i="47"/>
  <c r="N61" i="47"/>
  <c r="O61" i="47"/>
  <c r="P61" i="47"/>
  <c r="Q61" i="47"/>
  <c r="R61" i="47"/>
  <c r="S61" i="47"/>
  <c r="T61" i="47"/>
  <c r="U61" i="47"/>
  <c r="V61" i="47"/>
  <c r="W61" i="47"/>
  <c r="X61" i="47"/>
  <c r="Y61" i="47"/>
  <c r="F62" i="47"/>
  <c r="G62" i="47"/>
  <c r="H62" i="47"/>
  <c r="I62" i="47"/>
  <c r="J62" i="47"/>
  <c r="K62" i="47"/>
  <c r="L62" i="47"/>
  <c r="M62" i="47"/>
  <c r="N62" i="47"/>
  <c r="O62" i="47"/>
  <c r="P62" i="47"/>
  <c r="Q62" i="47"/>
  <c r="R62" i="47"/>
  <c r="S62" i="47"/>
  <c r="T62" i="47"/>
  <c r="U62" i="47"/>
  <c r="V62" i="47"/>
  <c r="W62" i="47"/>
  <c r="X62" i="47"/>
  <c r="Y62" i="47"/>
  <c r="Q63" i="47"/>
  <c r="R63" i="47"/>
  <c r="S63" i="47"/>
  <c r="T63" i="47"/>
  <c r="U63" i="47"/>
  <c r="V63" i="47"/>
  <c r="W63" i="47"/>
  <c r="X63" i="47"/>
  <c r="Y63" i="47"/>
  <c r="F64" i="47"/>
  <c r="G64" i="47"/>
  <c r="H64" i="47"/>
  <c r="I64" i="47"/>
  <c r="J64" i="47"/>
  <c r="K64" i="47"/>
  <c r="L64" i="47"/>
  <c r="M64" i="47"/>
  <c r="N64" i="47"/>
  <c r="O64" i="47"/>
  <c r="P64" i="47"/>
  <c r="Q64" i="47"/>
  <c r="R64" i="47"/>
  <c r="S64" i="47"/>
  <c r="T64" i="47"/>
  <c r="U64" i="47"/>
  <c r="V64" i="47"/>
  <c r="W64" i="47"/>
  <c r="X64" i="47"/>
  <c r="Y64" i="47"/>
  <c r="F65" i="47"/>
  <c r="G65" i="47"/>
  <c r="H65" i="47"/>
  <c r="I65" i="47"/>
  <c r="J65" i="47"/>
  <c r="K65" i="47"/>
  <c r="L65" i="47"/>
  <c r="M65" i="47"/>
  <c r="N65" i="47"/>
  <c r="O65" i="47"/>
  <c r="P65" i="47"/>
  <c r="Q65" i="47"/>
  <c r="R65" i="47"/>
  <c r="S65" i="47"/>
  <c r="T65" i="47"/>
  <c r="U65" i="47"/>
  <c r="V65" i="47"/>
  <c r="W65" i="47"/>
  <c r="X65" i="47"/>
  <c r="Y65" i="47"/>
  <c r="Q66" i="47"/>
  <c r="R66" i="47"/>
  <c r="S66" i="47"/>
  <c r="T66" i="47"/>
  <c r="U66" i="47"/>
  <c r="V66" i="47"/>
  <c r="W66" i="47"/>
  <c r="X66" i="47"/>
  <c r="Y66" i="47"/>
  <c r="F67" i="47"/>
  <c r="G67" i="47"/>
  <c r="H67" i="47"/>
  <c r="I67" i="47"/>
  <c r="J67" i="47"/>
  <c r="K67" i="47"/>
  <c r="L67" i="47"/>
  <c r="M67" i="47"/>
  <c r="N67" i="47"/>
  <c r="O67" i="47"/>
  <c r="P67" i="47"/>
  <c r="Q67" i="47"/>
  <c r="R67" i="47"/>
  <c r="S67" i="47"/>
  <c r="T67" i="47"/>
  <c r="U67" i="47"/>
  <c r="V67" i="47"/>
  <c r="W67" i="47"/>
  <c r="X67" i="47"/>
  <c r="Y67" i="47"/>
  <c r="F68" i="47"/>
  <c r="G68" i="47"/>
  <c r="H68" i="47"/>
  <c r="I68" i="47"/>
  <c r="J68" i="47"/>
  <c r="K68" i="47"/>
  <c r="L68" i="47"/>
  <c r="M68" i="47"/>
  <c r="N68" i="47"/>
  <c r="O68" i="47"/>
  <c r="P68" i="47"/>
  <c r="Q68" i="47"/>
  <c r="R68" i="47"/>
  <c r="S68" i="47"/>
  <c r="T68" i="47"/>
  <c r="U68" i="47"/>
  <c r="V68" i="47"/>
  <c r="W68" i="47"/>
  <c r="X68" i="47"/>
  <c r="Y68" i="47"/>
  <c r="Q69" i="47"/>
  <c r="R69" i="47"/>
  <c r="S69" i="47"/>
  <c r="T69" i="47"/>
  <c r="U69" i="47"/>
  <c r="V69" i="47"/>
  <c r="W69" i="47"/>
  <c r="X69" i="47"/>
  <c r="Y69" i="47"/>
  <c r="F70" i="47"/>
  <c r="G70" i="47"/>
  <c r="H70" i="47"/>
  <c r="I70" i="47"/>
  <c r="J70" i="47"/>
  <c r="K70" i="47"/>
  <c r="L70" i="47"/>
  <c r="M70" i="47"/>
  <c r="N70" i="47"/>
  <c r="O70" i="47"/>
  <c r="P70" i="47"/>
  <c r="Q70" i="47"/>
  <c r="R70" i="47"/>
  <c r="S70" i="47"/>
  <c r="T70" i="47"/>
  <c r="U70" i="47"/>
  <c r="V70" i="47"/>
  <c r="W70" i="47"/>
  <c r="X70" i="47"/>
  <c r="Y70" i="47"/>
  <c r="F71" i="47"/>
  <c r="G71" i="47"/>
  <c r="H71" i="47"/>
  <c r="I71" i="47"/>
  <c r="J71" i="47"/>
  <c r="K71" i="47"/>
  <c r="L71" i="47"/>
  <c r="M71" i="47"/>
  <c r="N71" i="47"/>
  <c r="O71" i="47"/>
  <c r="P71" i="47"/>
  <c r="Q71" i="47"/>
  <c r="R71" i="47"/>
  <c r="S71" i="47"/>
  <c r="T71" i="47"/>
  <c r="U71" i="47"/>
  <c r="V71" i="47"/>
  <c r="W71" i="47"/>
  <c r="X71" i="47"/>
  <c r="Y71" i="47"/>
  <c r="Q72" i="47"/>
  <c r="R72" i="47"/>
  <c r="S72" i="47"/>
  <c r="T72" i="47"/>
  <c r="U72" i="47"/>
  <c r="V72" i="47"/>
  <c r="W72" i="47"/>
  <c r="X72" i="47"/>
  <c r="Y72" i="47"/>
  <c r="F73" i="47"/>
  <c r="G73" i="47"/>
  <c r="H73" i="47"/>
  <c r="I73" i="47"/>
  <c r="J73" i="47"/>
  <c r="K73" i="47"/>
  <c r="L73" i="47"/>
  <c r="M73" i="47"/>
  <c r="N73" i="47"/>
  <c r="O73" i="47"/>
  <c r="P73" i="47"/>
  <c r="Q73" i="47"/>
  <c r="R73" i="47"/>
  <c r="S73" i="47"/>
  <c r="T73" i="47"/>
  <c r="U73" i="47"/>
  <c r="V73" i="47"/>
  <c r="W73" i="47"/>
  <c r="X73" i="47"/>
  <c r="Y73" i="47"/>
  <c r="F74" i="47"/>
  <c r="G74" i="47"/>
  <c r="H74" i="47"/>
  <c r="I74" i="47"/>
  <c r="J74" i="47"/>
  <c r="K74" i="47"/>
  <c r="L74" i="47"/>
  <c r="M74" i="47"/>
  <c r="N74" i="47"/>
  <c r="O74" i="47"/>
  <c r="P74" i="47"/>
  <c r="Q74" i="47"/>
  <c r="R74" i="47"/>
  <c r="S74" i="47"/>
  <c r="T74" i="47"/>
  <c r="U74" i="47"/>
  <c r="V74" i="47"/>
  <c r="W74" i="47"/>
  <c r="X74" i="47"/>
  <c r="Y74" i="47"/>
  <c r="Q75" i="47"/>
  <c r="R75" i="47"/>
  <c r="S75" i="47"/>
  <c r="T75" i="47"/>
  <c r="U75" i="47"/>
  <c r="V75" i="47"/>
  <c r="W75" i="47"/>
  <c r="X75" i="47"/>
  <c r="Y75" i="47"/>
  <c r="F76" i="47"/>
  <c r="G76" i="47"/>
  <c r="H76" i="47"/>
  <c r="I76" i="47"/>
  <c r="J76" i="47"/>
  <c r="K76" i="47"/>
  <c r="L76" i="47"/>
  <c r="M76" i="47"/>
  <c r="N76" i="47"/>
  <c r="O76" i="47"/>
  <c r="P76" i="47"/>
  <c r="Q76" i="47"/>
  <c r="R76" i="47"/>
  <c r="S76" i="47"/>
  <c r="T76" i="47"/>
  <c r="U76" i="47"/>
  <c r="V76" i="47"/>
  <c r="W76" i="47"/>
  <c r="X76" i="47"/>
  <c r="Y76" i="47"/>
  <c r="F77" i="47"/>
  <c r="G77" i="47"/>
  <c r="H77" i="47"/>
  <c r="I77" i="47"/>
  <c r="J77" i="47"/>
  <c r="K77" i="47"/>
  <c r="L77" i="47"/>
  <c r="M77" i="47"/>
  <c r="N77" i="47"/>
  <c r="O77" i="47"/>
  <c r="P77" i="47"/>
  <c r="Q77" i="47"/>
  <c r="R77" i="47"/>
  <c r="S77" i="47"/>
  <c r="T77" i="47"/>
  <c r="U77" i="47"/>
  <c r="V77" i="47"/>
  <c r="W77" i="47"/>
  <c r="X77" i="47"/>
  <c r="Y77" i="47"/>
  <c r="Q78" i="47"/>
  <c r="R78" i="47"/>
  <c r="S78" i="47"/>
  <c r="T78" i="47"/>
  <c r="U78" i="47"/>
  <c r="V78" i="47"/>
  <c r="W78" i="47"/>
  <c r="X78" i="47"/>
  <c r="Y78" i="47"/>
  <c r="F79" i="47"/>
  <c r="G79" i="47"/>
  <c r="H79" i="47"/>
  <c r="I79" i="47"/>
  <c r="J79" i="47"/>
  <c r="K79" i="47"/>
  <c r="L79" i="47"/>
  <c r="M79" i="47"/>
  <c r="N79" i="47"/>
  <c r="O79" i="47"/>
  <c r="P79" i="47"/>
  <c r="Q79" i="47"/>
  <c r="R79" i="47"/>
  <c r="S79" i="47"/>
  <c r="T79" i="47"/>
  <c r="U79" i="47"/>
  <c r="V79" i="47"/>
  <c r="W79" i="47"/>
  <c r="X79" i="47"/>
  <c r="Y79" i="47"/>
  <c r="F80" i="47"/>
  <c r="G80" i="47"/>
  <c r="H80" i="47"/>
  <c r="I80" i="47"/>
  <c r="J80" i="47"/>
  <c r="K80" i="47"/>
  <c r="L80" i="47"/>
  <c r="M80" i="47"/>
  <c r="N80" i="47"/>
  <c r="O80" i="47"/>
  <c r="P80" i="47"/>
  <c r="Q80" i="47"/>
  <c r="R80" i="47"/>
  <c r="S80" i="47"/>
  <c r="T80" i="47"/>
  <c r="U80" i="47"/>
  <c r="V80" i="47"/>
  <c r="W80" i="47"/>
  <c r="X80" i="47"/>
  <c r="Y80" i="47"/>
  <c r="F81" i="47"/>
  <c r="G81" i="47"/>
  <c r="H81" i="47"/>
  <c r="I81" i="47"/>
  <c r="J81" i="47"/>
  <c r="K81" i="47"/>
  <c r="L81" i="47"/>
  <c r="M81" i="47"/>
  <c r="N81" i="47"/>
  <c r="O81" i="47"/>
  <c r="P81" i="47"/>
  <c r="Q81" i="47"/>
  <c r="R81" i="47"/>
  <c r="S81" i="47"/>
  <c r="T81" i="47"/>
  <c r="U81" i="47"/>
  <c r="V81" i="47"/>
  <c r="W81" i="47"/>
  <c r="X81" i="47"/>
  <c r="Y81" i="47"/>
  <c r="F82" i="47"/>
  <c r="G82" i="47"/>
  <c r="H82" i="47"/>
  <c r="I82" i="47"/>
  <c r="J82" i="47"/>
  <c r="K82" i="47"/>
  <c r="L82" i="47"/>
  <c r="M82" i="47"/>
  <c r="N82" i="47"/>
  <c r="O82" i="47"/>
  <c r="P82" i="47"/>
  <c r="Q82" i="47"/>
  <c r="R82" i="47"/>
  <c r="S82" i="47"/>
  <c r="T82" i="47"/>
  <c r="U82" i="47"/>
  <c r="V82" i="47"/>
  <c r="W82" i="47"/>
  <c r="X82" i="47"/>
  <c r="Y82" i="47"/>
  <c r="F83" i="47"/>
  <c r="Q83" i="47"/>
  <c r="R83" i="47"/>
  <c r="S83" i="47"/>
  <c r="T83" i="47"/>
  <c r="U83" i="47"/>
  <c r="V83" i="47"/>
  <c r="W83" i="47"/>
  <c r="X83" i="47"/>
  <c r="Y83" i="47"/>
  <c r="F84" i="47"/>
  <c r="G84" i="47"/>
  <c r="H84" i="47"/>
  <c r="I84" i="47"/>
  <c r="J84" i="47"/>
  <c r="K84" i="47"/>
  <c r="L84" i="47"/>
  <c r="M84" i="47"/>
  <c r="N84" i="47"/>
  <c r="O84" i="47"/>
  <c r="P84" i="47"/>
  <c r="Q84" i="47"/>
  <c r="R84" i="47"/>
  <c r="S84" i="47"/>
  <c r="T84" i="47"/>
  <c r="U84" i="47"/>
  <c r="V84" i="47"/>
  <c r="W84" i="47"/>
  <c r="X84" i="47"/>
  <c r="Y84" i="47"/>
  <c r="F85" i="47"/>
  <c r="G85" i="47"/>
  <c r="H85" i="47"/>
  <c r="I85" i="47"/>
  <c r="J85" i="47"/>
  <c r="K85" i="47"/>
  <c r="L85" i="47"/>
  <c r="M85" i="47"/>
  <c r="N85" i="47"/>
  <c r="O85" i="47"/>
  <c r="P85" i="47"/>
  <c r="Q85" i="47"/>
  <c r="R85" i="47"/>
  <c r="S85" i="47"/>
  <c r="T85" i="47"/>
  <c r="U85" i="47"/>
  <c r="V85" i="47"/>
  <c r="W85" i="47"/>
  <c r="X85" i="47"/>
  <c r="Y85" i="47"/>
  <c r="F86" i="47"/>
  <c r="G86" i="47"/>
  <c r="H86" i="47"/>
  <c r="I86" i="47"/>
  <c r="J86" i="47"/>
  <c r="K86" i="47"/>
  <c r="L86" i="47"/>
  <c r="M86" i="47"/>
  <c r="N86" i="47"/>
  <c r="O86" i="47"/>
  <c r="P86" i="47"/>
  <c r="Q86" i="47"/>
  <c r="R86" i="47"/>
  <c r="S86" i="47"/>
  <c r="T86" i="47"/>
  <c r="U86" i="47"/>
  <c r="V86" i="47"/>
  <c r="W86" i="47"/>
  <c r="X86" i="47"/>
  <c r="Y86" i="47"/>
  <c r="F87" i="47"/>
  <c r="G87" i="47"/>
  <c r="H87" i="47"/>
  <c r="I87" i="47"/>
  <c r="J87" i="47"/>
  <c r="K87" i="47"/>
  <c r="L87" i="47"/>
  <c r="M87" i="47"/>
  <c r="N87" i="47"/>
  <c r="O87" i="47"/>
  <c r="P87" i="47"/>
  <c r="Q87" i="47"/>
  <c r="R87" i="47"/>
  <c r="S87" i="47"/>
  <c r="T87" i="47"/>
  <c r="U87" i="47"/>
  <c r="V87" i="47"/>
  <c r="W87" i="47"/>
  <c r="X87" i="47"/>
  <c r="Y87" i="47"/>
  <c r="F88" i="47"/>
  <c r="G88" i="47"/>
  <c r="H88" i="47"/>
  <c r="I88" i="47"/>
  <c r="J88" i="47"/>
  <c r="K88" i="47"/>
  <c r="L88" i="47"/>
  <c r="M88" i="47"/>
  <c r="N88" i="47"/>
  <c r="O88" i="47"/>
  <c r="P88" i="47"/>
  <c r="Q88" i="47"/>
  <c r="R88" i="47"/>
  <c r="S88" i="47"/>
  <c r="T88" i="47"/>
  <c r="U88" i="47"/>
  <c r="V88" i="47"/>
  <c r="W88" i="47"/>
  <c r="X88" i="47"/>
  <c r="Y88" i="47"/>
  <c r="F89" i="47"/>
  <c r="Q89" i="47"/>
  <c r="R89" i="47"/>
  <c r="S89" i="47"/>
  <c r="T89" i="47"/>
  <c r="U89" i="47"/>
  <c r="V89" i="47"/>
  <c r="W89" i="47"/>
  <c r="X89" i="47"/>
  <c r="Y89" i="47"/>
  <c r="Q90" i="47"/>
  <c r="R90" i="47"/>
  <c r="S90" i="47"/>
  <c r="T90" i="47"/>
  <c r="U90" i="47"/>
  <c r="V90" i="47"/>
  <c r="W90" i="47"/>
  <c r="X90" i="47"/>
  <c r="Y90" i="47"/>
  <c r="Q91" i="47"/>
  <c r="R91" i="47"/>
  <c r="S91" i="47"/>
  <c r="T91" i="47"/>
  <c r="U91" i="47"/>
  <c r="V91" i="47"/>
  <c r="W91" i="47"/>
  <c r="X91" i="47"/>
  <c r="Y91" i="47"/>
  <c r="F92" i="47"/>
  <c r="G92" i="47"/>
  <c r="H92" i="47"/>
  <c r="I92" i="47"/>
  <c r="J92" i="47"/>
  <c r="K92" i="47"/>
  <c r="L92" i="47"/>
  <c r="M92" i="47"/>
  <c r="N92" i="47"/>
  <c r="O92" i="47"/>
  <c r="P92" i="47"/>
  <c r="Q92" i="47"/>
  <c r="R92" i="47"/>
  <c r="S92" i="47"/>
  <c r="T92" i="47"/>
  <c r="U92" i="47"/>
  <c r="V92" i="47"/>
  <c r="W92" i="47"/>
  <c r="X92" i="47"/>
  <c r="Y92" i="47"/>
  <c r="F93" i="47"/>
  <c r="G93" i="47"/>
  <c r="H93" i="47"/>
  <c r="I93" i="47"/>
  <c r="J93" i="47"/>
  <c r="K93" i="47"/>
  <c r="L93" i="47"/>
  <c r="M93" i="47"/>
  <c r="N93" i="47"/>
  <c r="O93" i="47"/>
  <c r="P93" i="47"/>
  <c r="Q93" i="47"/>
  <c r="R93" i="47"/>
  <c r="S93" i="47"/>
  <c r="T93" i="47"/>
  <c r="U93" i="47"/>
  <c r="V93" i="47"/>
  <c r="W93" i="47"/>
  <c r="X93" i="47"/>
  <c r="Y93" i="47"/>
  <c r="F94" i="47"/>
  <c r="G94" i="47"/>
  <c r="H94" i="47"/>
  <c r="I94" i="47"/>
  <c r="J94" i="47"/>
  <c r="K94" i="47"/>
  <c r="L94" i="47"/>
  <c r="M94" i="47"/>
  <c r="N94" i="47"/>
  <c r="O94" i="47"/>
  <c r="P94" i="47"/>
  <c r="Q94" i="47"/>
  <c r="R94" i="47"/>
  <c r="S94" i="47"/>
  <c r="T94" i="47"/>
  <c r="U94" i="47"/>
  <c r="V94" i="47"/>
  <c r="W94" i="47"/>
  <c r="X94" i="47"/>
  <c r="Y94" i="47"/>
  <c r="F95" i="47"/>
  <c r="G95" i="47"/>
  <c r="H95" i="47"/>
  <c r="I95" i="47"/>
  <c r="J95" i="47"/>
  <c r="K95" i="47"/>
  <c r="L95" i="47"/>
  <c r="M95" i="47"/>
  <c r="N95" i="47"/>
  <c r="O95" i="47"/>
  <c r="P95" i="47"/>
  <c r="Q95" i="47"/>
  <c r="R95" i="47"/>
  <c r="S95" i="47"/>
  <c r="T95" i="47"/>
  <c r="U95" i="47"/>
  <c r="V95" i="47"/>
  <c r="W95" i="47"/>
  <c r="X95" i="47"/>
  <c r="Y95" i="47"/>
  <c r="F96" i="47"/>
  <c r="G96" i="47"/>
  <c r="H96" i="47"/>
  <c r="I96" i="47"/>
  <c r="J96" i="47"/>
  <c r="K96" i="47"/>
  <c r="L96" i="47"/>
  <c r="M96" i="47"/>
  <c r="N96" i="47"/>
  <c r="O96" i="47"/>
  <c r="P96" i="47"/>
  <c r="Q96" i="47"/>
  <c r="R96" i="47"/>
  <c r="S96" i="47"/>
  <c r="T96" i="47"/>
  <c r="U96" i="47"/>
  <c r="V96" i="47"/>
  <c r="W96" i="47"/>
  <c r="X96" i="47"/>
  <c r="Y96" i="47"/>
  <c r="F97" i="47"/>
  <c r="G97" i="47"/>
  <c r="H97" i="47"/>
  <c r="I97" i="47"/>
  <c r="J97" i="47"/>
  <c r="K97" i="47"/>
  <c r="L97" i="47"/>
  <c r="M97" i="47"/>
  <c r="N97" i="47"/>
  <c r="O97" i="47"/>
  <c r="P97" i="47"/>
  <c r="Q97" i="47"/>
  <c r="R97" i="47"/>
  <c r="S97" i="47"/>
  <c r="T97" i="47"/>
  <c r="U97" i="47"/>
  <c r="V97" i="47"/>
  <c r="W97" i="47"/>
  <c r="X97" i="47"/>
  <c r="Y97" i="47"/>
  <c r="F98" i="47"/>
  <c r="G98" i="47"/>
  <c r="H98" i="47"/>
  <c r="I98" i="47"/>
  <c r="J98" i="47"/>
  <c r="K98" i="47"/>
  <c r="L98" i="47"/>
  <c r="M98" i="47"/>
  <c r="N98" i="47"/>
  <c r="O98" i="47"/>
  <c r="P98" i="47"/>
  <c r="Q98" i="47"/>
  <c r="R98" i="47"/>
  <c r="S98" i="47"/>
  <c r="T98" i="47"/>
  <c r="U98" i="47"/>
  <c r="V98" i="47"/>
  <c r="W98" i="47"/>
  <c r="X98" i="47"/>
  <c r="Y98" i="47"/>
  <c r="F99" i="47"/>
  <c r="G99" i="47"/>
  <c r="H99" i="47"/>
  <c r="I99" i="47"/>
  <c r="J99" i="47"/>
  <c r="K99" i="47"/>
  <c r="L99" i="47"/>
  <c r="M99" i="47"/>
  <c r="N99" i="47"/>
  <c r="O99" i="47"/>
  <c r="P99" i="47"/>
  <c r="Q99" i="47"/>
  <c r="R99" i="47"/>
  <c r="S99" i="47"/>
  <c r="T99" i="47"/>
  <c r="U99" i="47"/>
  <c r="V99" i="47"/>
  <c r="W99" i="47"/>
  <c r="X99" i="47"/>
  <c r="Y99" i="47"/>
  <c r="F100" i="47"/>
  <c r="G100" i="47"/>
  <c r="H100" i="47"/>
  <c r="I100" i="47"/>
  <c r="J100" i="47"/>
  <c r="K100" i="47"/>
  <c r="L100" i="47"/>
  <c r="M100" i="47"/>
  <c r="N100" i="47"/>
  <c r="O100" i="47"/>
  <c r="P100" i="47"/>
  <c r="Q100" i="47"/>
  <c r="R100" i="47"/>
  <c r="S100" i="47"/>
  <c r="T100" i="47"/>
  <c r="U100" i="47"/>
  <c r="V100" i="47"/>
  <c r="W100" i="47"/>
  <c r="X100" i="47"/>
  <c r="Y100" i="47"/>
  <c r="M101" i="47"/>
  <c r="N101" i="47"/>
  <c r="O101" i="47"/>
  <c r="P101" i="47"/>
  <c r="Q101" i="47"/>
  <c r="R101" i="47"/>
  <c r="S101" i="47"/>
  <c r="T101" i="47"/>
  <c r="U101" i="47"/>
  <c r="V101" i="47"/>
  <c r="W101" i="47"/>
  <c r="X101" i="47"/>
  <c r="Y101" i="47"/>
  <c r="M102" i="47"/>
  <c r="N102" i="47"/>
  <c r="O102" i="47"/>
  <c r="P102" i="47"/>
  <c r="Q102" i="47"/>
  <c r="R102" i="47"/>
  <c r="S102" i="47"/>
  <c r="T102" i="47"/>
  <c r="U102" i="47"/>
  <c r="V102" i="47"/>
  <c r="W102" i="47"/>
  <c r="X102" i="47"/>
  <c r="Y102" i="47"/>
  <c r="F7" i="47"/>
  <c r="G7" i="47"/>
  <c r="H7" i="47"/>
  <c r="I7" i="47"/>
  <c r="J7" i="47"/>
  <c r="K7" i="47"/>
  <c r="L7" i="47"/>
  <c r="M7" i="47"/>
  <c r="N7" i="47"/>
  <c r="O7" i="47"/>
  <c r="P7" i="47"/>
  <c r="Q7" i="47"/>
  <c r="R7" i="47"/>
  <c r="S7" i="47"/>
  <c r="T7" i="47"/>
  <c r="U7" i="47"/>
  <c r="V7" i="47"/>
  <c r="W7" i="47"/>
  <c r="X7" i="47"/>
  <c r="Y7" i="47"/>
  <c r="F8" i="47"/>
  <c r="K8" i="47"/>
  <c r="L8" i="47"/>
  <c r="M8" i="47"/>
  <c r="N8" i="47"/>
  <c r="O8" i="47"/>
  <c r="P8" i="47"/>
  <c r="Q8" i="47"/>
  <c r="R8" i="47"/>
  <c r="S8" i="47"/>
  <c r="T8" i="47"/>
  <c r="U8" i="47"/>
  <c r="V8" i="47"/>
  <c r="W8" i="47"/>
  <c r="X8" i="47"/>
  <c r="Y8" i="47"/>
  <c r="G6" i="47"/>
  <c r="H6" i="47"/>
  <c r="I6" i="47"/>
  <c r="J6" i="47"/>
  <c r="K6" i="47"/>
  <c r="L6" i="47"/>
  <c r="M6" i="47"/>
  <c r="N6" i="47"/>
  <c r="O6" i="47"/>
  <c r="P6" i="47"/>
  <c r="Q6" i="47"/>
  <c r="R6" i="47"/>
  <c r="S6" i="47"/>
  <c r="T6" i="47"/>
  <c r="U6" i="47"/>
  <c r="V6" i="47"/>
  <c r="W6" i="47"/>
  <c r="X6" i="47"/>
  <c r="Y6" i="47"/>
  <c r="F6" i="47"/>
  <c r="D9" i="47"/>
  <c r="D10" i="47"/>
  <c r="D11" i="47"/>
  <c r="A11" i="47" s="1"/>
  <c r="E11" i="47" s="1"/>
  <c r="D12" i="47"/>
  <c r="A12" i="47" s="1"/>
  <c r="E12" i="47" s="1"/>
  <c r="D13" i="47"/>
  <c r="A13" i="47" s="1"/>
  <c r="E13" i="47" s="1"/>
  <c r="D18" i="47"/>
  <c r="A18" i="47" s="1"/>
  <c r="E18" i="47" s="1"/>
  <c r="D19" i="47"/>
  <c r="A19" i="47" s="1"/>
  <c r="E19" i="47" s="1"/>
  <c r="D21" i="47"/>
  <c r="A21" i="47" s="1"/>
  <c r="E21" i="47" s="1"/>
  <c r="D30" i="47"/>
  <c r="A30" i="47" s="1"/>
  <c r="E30" i="47" s="1"/>
  <c r="D33" i="47"/>
  <c r="A33" i="47" s="1"/>
  <c r="E33" i="47" s="1"/>
  <c r="D36" i="47"/>
  <c r="D39" i="47"/>
  <c r="A39" i="47" s="1"/>
  <c r="E39" i="47" s="1"/>
  <c r="D42" i="47"/>
  <c r="A42" i="47" s="1"/>
  <c r="E42" i="47" s="1"/>
  <c r="D45" i="47"/>
  <c r="A45" i="47" s="1"/>
  <c r="E45" i="47" s="1"/>
  <c r="D48" i="47"/>
  <c r="D49" i="47"/>
  <c r="A49" i="47" s="1"/>
  <c r="E49" i="47" s="1"/>
  <c r="D50" i="47"/>
  <c r="A50" i="47" s="1"/>
  <c r="E50" i="47" s="1"/>
  <c r="D51" i="47"/>
  <c r="D52" i="47"/>
  <c r="A52" i="47" s="1"/>
  <c r="E52" i="47" s="1"/>
  <c r="D55" i="47"/>
  <c r="A55" i="47" s="1"/>
  <c r="E55" i="47" s="1"/>
  <c r="D58" i="47"/>
  <c r="D61" i="47"/>
  <c r="A61" i="47" s="1"/>
  <c r="E61" i="47" s="1"/>
  <c r="D64" i="47"/>
  <c r="D67" i="47"/>
  <c r="A67" i="47" s="1"/>
  <c r="E67" i="47" s="1"/>
  <c r="D70" i="47"/>
  <c r="A70" i="47" s="1"/>
  <c r="E70" i="47" s="1"/>
  <c r="D73" i="47"/>
  <c r="A73" i="47" s="1"/>
  <c r="E73" i="47" s="1"/>
  <c r="D76" i="47"/>
  <c r="A76" i="47" s="1"/>
  <c r="E76" i="47" s="1"/>
  <c r="D79" i="47"/>
  <c r="D80" i="47"/>
  <c r="A80" i="47" s="1"/>
  <c r="E80" i="47" s="1"/>
  <c r="D81" i="47"/>
  <c r="D82" i="47"/>
  <c r="A82" i="47" s="1"/>
  <c r="E82" i="47" s="1"/>
  <c r="D83" i="47"/>
  <c r="A83" i="47" s="1"/>
  <c r="E83" i="47" s="1"/>
  <c r="D84" i="47"/>
  <c r="A84" i="47" s="1"/>
  <c r="E84" i="47" s="1"/>
  <c r="D85" i="47"/>
  <c r="A85" i="47" s="1"/>
  <c r="E85" i="47" s="1"/>
  <c r="D86" i="47"/>
  <c r="A86" i="47" s="1"/>
  <c r="E86" i="47" s="1"/>
  <c r="D87" i="47"/>
  <c r="A87" i="47" s="1"/>
  <c r="E87" i="47" s="1"/>
  <c r="D88" i="47"/>
  <c r="A88" i="47" s="1"/>
  <c r="E88" i="47" s="1"/>
  <c r="D89" i="47"/>
  <c r="A89" i="47" s="1"/>
  <c r="E89" i="47" s="1"/>
  <c r="D90" i="47"/>
  <c r="A90" i="47" s="1"/>
  <c r="E90" i="47" s="1"/>
  <c r="D91" i="47"/>
  <c r="A91" i="47" s="1"/>
  <c r="E91" i="47" s="1"/>
  <c r="D24" i="47"/>
  <c r="A24" i="47" s="1"/>
  <c r="E24" i="47" s="1"/>
  <c r="D27" i="47"/>
  <c r="A27" i="47" s="1"/>
  <c r="E27" i="47" s="1"/>
  <c r="A79" i="47"/>
  <c r="E79" i="47" s="1"/>
  <c r="A81" i="47"/>
  <c r="E81" i="47" s="1"/>
  <c r="D7" i="47"/>
  <c r="A7" i="47" s="1"/>
  <c r="E7" i="47" s="1"/>
  <c r="D8" i="47"/>
  <c r="A8" i="47" s="1"/>
  <c r="E8" i="47" s="1"/>
  <c r="A9" i="47"/>
  <c r="E9" i="47" s="1"/>
  <c r="A10" i="47"/>
  <c r="E10" i="47" s="1"/>
  <c r="A233" i="47"/>
  <c r="A234" i="47"/>
  <c r="D145" i="47"/>
  <c r="F145" i="47"/>
  <c r="G145" i="47"/>
  <c r="H145" i="47"/>
  <c r="I145" i="47"/>
  <c r="J145" i="47"/>
  <c r="K145" i="47"/>
  <c r="L145" i="47"/>
  <c r="M145" i="47"/>
  <c r="N145" i="47"/>
  <c r="O145" i="47"/>
  <c r="P145" i="47"/>
  <c r="D146" i="47"/>
  <c r="F146" i="47"/>
  <c r="G146" i="47"/>
  <c r="H146" i="47"/>
  <c r="I146" i="47"/>
  <c r="J146" i="47"/>
  <c r="K146" i="47"/>
  <c r="L146" i="47"/>
  <c r="M146" i="47"/>
  <c r="N146" i="47"/>
  <c r="O146" i="47"/>
  <c r="P146" i="47"/>
  <c r="D147" i="47"/>
  <c r="A147" i="47" s="1"/>
  <c r="E147" i="47" s="1"/>
  <c r="F147" i="47"/>
  <c r="G147" i="47"/>
  <c r="H147" i="47"/>
  <c r="I147" i="47"/>
  <c r="J147" i="47"/>
  <c r="K147" i="47"/>
  <c r="L147" i="47"/>
  <c r="M147" i="47"/>
  <c r="N147" i="47"/>
  <c r="O147" i="47"/>
  <c r="P147" i="47"/>
  <c r="D148" i="47"/>
  <c r="A148" i="47" s="1"/>
  <c r="E148" i="47" s="1"/>
  <c r="F148" i="47"/>
  <c r="G148" i="47"/>
  <c r="H148" i="47"/>
  <c r="I148" i="47"/>
  <c r="J148" i="47"/>
  <c r="K148" i="47"/>
  <c r="L148" i="47"/>
  <c r="M148" i="47"/>
  <c r="N148" i="47"/>
  <c r="O148" i="47"/>
  <c r="P148" i="47"/>
  <c r="D149" i="47"/>
  <c r="A149" i="47" s="1"/>
  <c r="E149" i="47" s="1"/>
  <c r="F149" i="47"/>
  <c r="G149" i="47"/>
  <c r="H149" i="47"/>
  <c r="I149" i="47"/>
  <c r="J149" i="47"/>
  <c r="K149" i="47"/>
  <c r="L149" i="47"/>
  <c r="M149" i="47"/>
  <c r="N149" i="47"/>
  <c r="O149" i="47"/>
  <c r="P149" i="47"/>
  <c r="D150" i="47"/>
  <c r="A150" i="47" s="1"/>
  <c r="E150" i="47" s="1"/>
  <c r="F150" i="47"/>
  <c r="G150" i="47"/>
  <c r="H150" i="47"/>
  <c r="I150" i="47"/>
  <c r="J150" i="47"/>
  <c r="K150" i="47"/>
  <c r="L150" i="47"/>
  <c r="M150" i="47"/>
  <c r="N150" i="47"/>
  <c r="O150" i="47"/>
  <c r="P150" i="47"/>
  <c r="D151" i="47"/>
  <c r="A151" i="47" s="1"/>
  <c r="E151" i="47" s="1"/>
  <c r="F151" i="47"/>
  <c r="G151" i="47"/>
  <c r="H151" i="47"/>
  <c r="I151" i="47"/>
  <c r="J151" i="47"/>
  <c r="K151" i="47"/>
  <c r="L151" i="47"/>
  <c r="M151" i="47"/>
  <c r="N151" i="47"/>
  <c r="O151" i="47"/>
  <c r="P151" i="47"/>
  <c r="D152" i="47"/>
  <c r="A152" i="47" s="1"/>
  <c r="E152" i="47" s="1"/>
  <c r="F152" i="47"/>
  <c r="G152" i="47"/>
  <c r="H152" i="47"/>
  <c r="I152" i="47"/>
  <c r="J152" i="47"/>
  <c r="K152" i="47"/>
  <c r="L152" i="47"/>
  <c r="M152" i="47"/>
  <c r="N152" i="47"/>
  <c r="O152" i="47"/>
  <c r="P152" i="47"/>
  <c r="D153" i="47"/>
  <c r="A153" i="47" s="1"/>
  <c r="E153" i="47" s="1"/>
  <c r="F153" i="47"/>
  <c r="G153" i="47"/>
  <c r="H153" i="47"/>
  <c r="I153" i="47"/>
  <c r="J153" i="47"/>
  <c r="K153" i="47"/>
  <c r="L153" i="47"/>
  <c r="M153" i="47"/>
  <c r="N153" i="47"/>
  <c r="O153" i="47"/>
  <c r="P153" i="47"/>
  <c r="D154" i="47"/>
  <c r="A154" i="47" s="1"/>
  <c r="E154" i="47" s="1"/>
  <c r="F154" i="47"/>
  <c r="G154" i="47"/>
  <c r="H154" i="47"/>
  <c r="I154" i="47"/>
  <c r="J154" i="47"/>
  <c r="K154" i="47"/>
  <c r="L154" i="47"/>
  <c r="M154" i="47"/>
  <c r="N154" i="47"/>
  <c r="O154" i="47"/>
  <c r="P154" i="47"/>
  <c r="D155" i="47"/>
  <c r="A155" i="47" s="1"/>
  <c r="E155" i="47" s="1"/>
  <c r="F155" i="47"/>
  <c r="G155" i="47"/>
  <c r="H155" i="47"/>
  <c r="I155" i="47"/>
  <c r="J155" i="47"/>
  <c r="K155" i="47"/>
  <c r="L155" i="47"/>
  <c r="M155" i="47"/>
  <c r="N155" i="47"/>
  <c r="O155" i="47"/>
  <c r="P155" i="47"/>
  <c r="D156" i="47"/>
  <c r="A156" i="47" s="1"/>
  <c r="E156" i="47" s="1"/>
  <c r="F156" i="47"/>
  <c r="G156" i="47"/>
  <c r="H156" i="47"/>
  <c r="I156" i="47"/>
  <c r="J156" i="47"/>
  <c r="K156" i="47"/>
  <c r="L156" i="47"/>
  <c r="M156" i="47"/>
  <c r="N156" i="47"/>
  <c r="O156" i="47"/>
  <c r="P156" i="47"/>
  <c r="D157" i="47"/>
  <c r="A157" i="47" s="1"/>
  <c r="E157" i="47" s="1"/>
  <c r="F157" i="47"/>
  <c r="G157" i="47"/>
  <c r="H157" i="47"/>
  <c r="I157" i="47"/>
  <c r="J157" i="47"/>
  <c r="K157" i="47"/>
  <c r="L157" i="47"/>
  <c r="M157" i="47"/>
  <c r="N157" i="47"/>
  <c r="O157" i="47"/>
  <c r="P157" i="47"/>
  <c r="D158" i="47"/>
  <c r="A158" i="47" s="1"/>
  <c r="E158" i="47" s="1"/>
  <c r="F158" i="47"/>
  <c r="G158" i="47"/>
  <c r="H158" i="47"/>
  <c r="I158" i="47"/>
  <c r="J158" i="47"/>
  <c r="K158" i="47"/>
  <c r="L158" i="47"/>
  <c r="M158" i="47"/>
  <c r="N158" i="47"/>
  <c r="O158" i="47"/>
  <c r="P158" i="47"/>
  <c r="D159" i="47"/>
  <c r="A159" i="47" s="1"/>
  <c r="E159" i="47" s="1"/>
  <c r="F159" i="47"/>
  <c r="G159" i="47"/>
  <c r="H159" i="47"/>
  <c r="I159" i="47"/>
  <c r="J159" i="47"/>
  <c r="K159" i="47"/>
  <c r="L159" i="47"/>
  <c r="M159" i="47"/>
  <c r="N159" i="47"/>
  <c r="O159" i="47"/>
  <c r="P159" i="47"/>
  <c r="D160" i="47"/>
  <c r="A160" i="47" s="1"/>
  <c r="E160" i="47" s="1"/>
  <c r="F160" i="47"/>
  <c r="G160" i="47"/>
  <c r="H160" i="47"/>
  <c r="I160" i="47"/>
  <c r="J160" i="47"/>
  <c r="K160" i="47"/>
  <c r="L160" i="47"/>
  <c r="M160" i="47"/>
  <c r="N160" i="47"/>
  <c r="O160" i="47"/>
  <c r="P160" i="47"/>
  <c r="D161" i="47"/>
  <c r="A161" i="47" s="1"/>
  <c r="E161" i="47" s="1"/>
  <c r="F161" i="47"/>
  <c r="G161" i="47"/>
  <c r="H161" i="47"/>
  <c r="I161" i="47"/>
  <c r="J161" i="47"/>
  <c r="K161" i="47"/>
  <c r="L161" i="47"/>
  <c r="M161" i="47"/>
  <c r="N161" i="47"/>
  <c r="O161" i="47"/>
  <c r="P161" i="47"/>
  <c r="D162" i="47"/>
  <c r="A162" i="47" s="1"/>
  <c r="E162" i="47" s="1"/>
  <c r="F162" i="47"/>
  <c r="G162" i="47"/>
  <c r="H162" i="47"/>
  <c r="I162" i="47"/>
  <c r="J162" i="47"/>
  <c r="K162" i="47"/>
  <c r="L162" i="47"/>
  <c r="M162" i="47"/>
  <c r="N162" i="47"/>
  <c r="O162" i="47"/>
  <c r="P162" i="47"/>
  <c r="D163" i="47"/>
  <c r="A163" i="47" s="1"/>
  <c r="E163" i="47" s="1"/>
  <c r="F163" i="47"/>
  <c r="G163" i="47"/>
  <c r="H163" i="47"/>
  <c r="I163" i="47"/>
  <c r="J163" i="47"/>
  <c r="K163" i="47"/>
  <c r="L163" i="47"/>
  <c r="M163" i="47"/>
  <c r="N163" i="47"/>
  <c r="O163" i="47"/>
  <c r="P163" i="47"/>
  <c r="D164" i="47"/>
  <c r="A164" i="47" s="1"/>
  <c r="E164" i="47" s="1"/>
  <c r="F164" i="47"/>
  <c r="G164" i="47"/>
  <c r="H164" i="47"/>
  <c r="I164" i="47"/>
  <c r="J164" i="47"/>
  <c r="K164" i="47"/>
  <c r="L164" i="47"/>
  <c r="M164" i="47"/>
  <c r="N164" i="47"/>
  <c r="O164" i="47"/>
  <c r="P164" i="47"/>
  <c r="D165" i="47"/>
  <c r="A165" i="47" s="1"/>
  <c r="E165" i="47" s="1"/>
  <c r="F165" i="47"/>
  <c r="G165" i="47"/>
  <c r="H165" i="47"/>
  <c r="I165" i="47"/>
  <c r="J165" i="47"/>
  <c r="K165" i="47"/>
  <c r="L165" i="47"/>
  <c r="M165" i="47"/>
  <c r="N165" i="47"/>
  <c r="O165" i="47"/>
  <c r="P165" i="47"/>
  <c r="D166" i="47"/>
  <c r="A166" i="47" s="1"/>
  <c r="E166" i="47" s="1"/>
  <c r="F166" i="47"/>
  <c r="G166" i="47"/>
  <c r="H166" i="47"/>
  <c r="I166" i="47"/>
  <c r="J166" i="47"/>
  <c r="K166" i="47"/>
  <c r="L166" i="47"/>
  <c r="M166" i="47"/>
  <c r="N166" i="47"/>
  <c r="O166" i="47"/>
  <c r="P166" i="47"/>
  <c r="D167" i="47"/>
  <c r="A167" i="47" s="1"/>
  <c r="E167" i="47" s="1"/>
  <c r="F167" i="47"/>
  <c r="G167" i="47"/>
  <c r="H167" i="47"/>
  <c r="I167" i="47"/>
  <c r="J167" i="47"/>
  <c r="K167" i="47"/>
  <c r="L167" i="47"/>
  <c r="M167" i="47"/>
  <c r="N167" i="47"/>
  <c r="O167" i="47"/>
  <c r="P167" i="47"/>
  <c r="D168" i="47"/>
  <c r="A168" i="47" s="1"/>
  <c r="E168" i="47" s="1"/>
  <c r="F168" i="47"/>
  <c r="G168" i="47"/>
  <c r="H168" i="47"/>
  <c r="I168" i="47"/>
  <c r="J168" i="47"/>
  <c r="K168" i="47"/>
  <c r="L168" i="47"/>
  <c r="M168" i="47"/>
  <c r="N168" i="47"/>
  <c r="O168" i="47"/>
  <c r="P168" i="47"/>
  <c r="D169" i="47"/>
  <c r="A169" i="47" s="1"/>
  <c r="E169" i="47" s="1"/>
  <c r="F169" i="47"/>
  <c r="G169" i="47"/>
  <c r="H169" i="47"/>
  <c r="I169" i="47"/>
  <c r="J169" i="47"/>
  <c r="K169" i="47"/>
  <c r="L169" i="47"/>
  <c r="M169" i="47"/>
  <c r="N169" i="47"/>
  <c r="O169" i="47"/>
  <c r="P169" i="47"/>
  <c r="D170" i="47"/>
  <c r="A170" i="47" s="1"/>
  <c r="E170" i="47" s="1"/>
  <c r="F170" i="47"/>
  <c r="G170" i="47"/>
  <c r="H170" i="47"/>
  <c r="I170" i="47"/>
  <c r="J170" i="47"/>
  <c r="K170" i="47"/>
  <c r="L170" i="47"/>
  <c r="M170" i="47"/>
  <c r="N170" i="47"/>
  <c r="O170" i="47"/>
  <c r="P170" i="47"/>
  <c r="D171" i="47"/>
  <c r="A171" i="47" s="1"/>
  <c r="E171" i="47" s="1"/>
  <c r="F171" i="47"/>
  <c r="G171" i="47"/>
  <c r="H171" i="47"/>
  <c r="I171" i="47"/>
  <c r="J171" i="47"/>
  <c r="K171" i="47"/>
  <c r="L171" i="47"/>
  <c r="M171" i="47"/>
  <c r="N171" i="47"/>
  <c r="O171" i="47"/>
  <c r="P171" i="47"/>
  <c r="D172" i="47"/>
  <c r="A172" i="47" s="1"/>
  <c r="E172" i="47" s="1"/>
  <c r="F172" i="47"/>
  <c r="G172" i="47"/>
  <c r="H172" i="47"/>
  <c r="I172" i="47"/>
  <c r="J172" i="47"/>
  <c r="K172" i="47"/>
  <c r="L172" i="47"/>
  <c r="M172" i="47"/>
  <c r="N172" i="47"/>
  <c r="O172" i="47"/>
  <c r="P172" i="47"/>
  <c r="D173" i="47"/>
  <c r="A173" i="47" s="1"/>
  <c r="E173" i="47" s="1"/>
  <c r="F173" i="47"/>
  <c r="G173" i="47"/>
  <c r="H173" i="47"/>
  <c r="I173" i="47"/>
  <c r="J173" i="47"/>
  <c r="K173" i="47"/>
  <c r="L173" i="47"/>
  <c r="M173" i="47"/>
  <c r="N173" i="47"/>
  <c r="O173" i="47"/>
  <c r="P173" i="47"/>
  <c r="D174" i="47"/>
  <c r="A174" i="47" s="1"/>
  <c r="E174" i="47" s="1"/>
  <c r="F174" i="47"/>
  <c r="G174" i="47"/>
  <c r="H174" i="47"/>
  <c r="I174" i="47"/>
  <c r="J174" i="47"/>
  <c r="K174" i="47"/>
  <c r="L174" i="47"/>
  <c r="M174" i="47"/>
  <c r="N174" i="47"/>
  <c r="O174" i="47"/>
  <c r="P174" i="47"/>
  <c r="D175" i="47"/>
  <c r="A175" i="47"/>
  <c r="E175" i="47" s="1"/>
  <c r="F175" i="47"/>
  <c r="G175" i="47"/>
  <c r="H175" i="47"/>
  <c r="I175" i="47"/>
  <c r="J175" i="47"/>
  <c r="K175" i="47"/>
  <c r="L175" i="47"/>
  <c r="M175" i="47"/>
  <c r="N175" i="47"/>
  <c r="O175" i="47"/>
  <c r="P175" i="47"/>
  <c r="D176" i="47"/>
  <c r="A176" i="47" s="1"/>
  <c r="E176" i="47" s="1"/>
  <c r="F176" i="47"/>
  <c r="G176" i="47"/>
  <c r="H176" i="47"/>
  <c r="I176" i="47"/>
  <c r="J176" i="47"/>
  <c r="K176" i="47"/>
  <c r="L176" i="47"/>
  <c r="M176" i="47"/>
  <c r="N176" i="47"/>
  <c r="O176" i="47"/>
  <c r="P176" i="47"/>
  <c r="D177" i="47"/>
  <c r="A177" i="47" s="1"/>
  <c r="E177" i="47" s="1"/>
  <c r="F177" i="47"/>
  <c r="G177" i="47"/>
  <c r="H177" i="47"/>
  <c r="I177" i="47"/>
  <c r="J177" i="47"/>
  <c r="K177" i="47"/>
  <c r="L177" i="47"/>
  <c r="M177" i="47"/>
  <c r="N177" i="47"/>
  <c r="O177" i="47"/>
  <c r="P177" i="47"/>
  <c r="D178" i="47"/>
  <c r="A178" i="47" s="1"/>
  <c r="E178" i="47" s="1"/>
  <c r="F178" i="47"/>
  <c r="G178" i="47"/>
  <c r="H178" i="47"/>
  <c r="I178" i="47"/>
  <c r="J178" i="47"/>
  <c r="K178" i="47"/>
  <c r="L178" i="47"/>
  <c r="M178" i="47"/>
  <c r="N178" i="47"/>
  <c r="O178" i="47"/>
  <c r="P178" i="47"/>
  <c r="D179" i="47"/>
  <c r="A179" i="47" s="1"/>
  <c r="E179" i="47" s="1"/>
  <c r="F179" i="47"/>
  <c r="G179" i="47"/>
  <c r="H179" i="47"/>
  <c r="I179" i="47"/>
  <c r="J179" i="47"/>
  <c r="K179" i="47"/>
  <c r="L179" i="47"/>
  <c r="M179" i="47"/>
  <c r="N179" i="47"/>
  <c r="O179" i="47"/>
  <c r="P179" i="47"/>
  <c r="D180" i="47"/>
  <c r="A180" i="47"/>
  <c r="E180" i="47" s="1"/>
  <c r="F180" i="47"/>
  <c r="G180" i="47"/>
  <c r="H180" i="47"/>
  <c r="I180" i="47"/>
  <c r="J180" i="47"/>
  <c r="K180" i="47"/>
  <c r="L180" i="47"/>
  <c r="M180" i="47"/>
  <c r="N180" i="47"/>
  <c r="O180" i="47"/>
  <c r="P180" i="47"/>
  <c r="D181" i="47"/>
  <c r="A181" i="47" s="1"/>
  <c r="E181" i="47" s="1"/>
  <c r="F181" i="47"/>
  <c r="G181" i="47"/>
  <c r="H181" i="47"/>
  <c r="I181" i="47"/>
  <c r="J181" i="47"/>
  <c r="K181" i="47"/>
  <c r="L181" i="47"/>
  <c r="M181" i="47"/>
  <c r="N181" i="47"/>
  <c r="O181" i="47"/>
  <c r="P181" i="47"/>
  <c r="D182" i="47"/>
  <c r="A182" i="47" s="1"/>
  <c r="E182" i="47" s="1"/>
  <c r="F182" i="47"/>
  <c r="G182" i="47"/>
  <c r="H182" i="47"/>
  <c r="I182" i="47"/>
  <c r="J182" i="47"/>
  <c r="K182" i="47"/>
  <c r="L182" i="47"/>
  <c r="M182" i="47"/>
  <c r="N182" i="47"/>
  <c r="O182" i="47"/>
  <c r="P182" i="47"/>
  <c r="D183" i="47"/>
  <c r="A183" i="47" s="1"/>
  <c r="E183" i="47" s="1"/>
  <c r="F183" i="47"/>
  <c r="G183" i="47"/>
  <c r="H183" i="47"/>
  <c r="I183" i="47"/>
  <c r="J183" i="47"/>
  <c r="K183" i="47"/>
  <c r="L183" i="47"/>
  <c r="M183" i="47"/>
  <c r="N183" i="47"/>
  <c r="O183" i="47"/>
  <c r="P183" i="47"/>
  <c r="D184" i="47"/>
  <c r="A184" i="47" s="1"/>
  <c r="E184" i="47" s="1"/>
  <c r="F184" i="47"/>
  <c r="G184" i="47"/>
  <c r="H184" i="47"/>
  <c r="I184" i="47"/>
  <c r="J184" i="47"/>
  <c r="K184" i="47"/>
  <c r="L184" i="47"/>
  <c r="M184" i="47"/>
  <c r="N184" i="47"/>
  <c r="O184" i="47"/>
  <c r="P184" i="47"/>
  <c r="D185" i="47"/>
  <c r="A185" i="47" s="1"/>
  <c r="E185" i="47" s="1"/>
  <c r="F185" i="47"/>
  <c r="G185" i="47"/>
  <c r="H185" i="47"/>
  <c r="I185" i="47"/>
  <c r="J185" i="47"/>
  <c r="K185" i="47"/>
  <c r="L185" i="47"/>
  <c r="M185" i="47"/>
  <c r="N185" i="47"/>
  <c r="O185" i="47"/>
  <c r="P185" i="47"/>
  <c r="D186" i="47"/>
  <c r="A186" i="47" s="1"/>
  <c r="E186" i="47" s="1"/>
  <c r="F186" i="47"/>
  <c r="G186" i="47"/>
  <c r="H186" i="47"/>
  <c r="I186" i="47"/>
  <c r="J186" i="47"/>
  <c r="K186" i="47"/>
  <c r="L186" i="47"/>
  <c r="M186" i="47"/>
  <c r="N186" i="47"/>
  <c r="O186" i="47"/>
  <c r="P186" i="47"/>
  <c r="D187" i="47"/>
  <c r="A187" i="47" s="1"/>
  <c r="E187" i="47" s="1"/>
  <c r="F187" i="47"/>
  <c r="G187" i="47"/>
  <c r="H187" i="47"/>
  <c r="I187" i="47"/>
  <c r="J187" i="47"/>
  <c r="K187" i="47"/>
  <c r="L187" i="47"/>
  <c r="M187" i="47"/>
  <c r="N187" i="47"/>
  <c r="O187" i="47"/>
  <c r="P187" i="47"/>
  <c r="D188" i="47"/>
  <c r="A188" i="47" s="1"/>
  <c r="E188" i="47" s="1"/>
  <c r="F188" i="47"/>
  <c r="G188" i="47"/>
  <c r="H188" i="47"/>
  <c r="I188" i="47"/>
  <c r="J188" i="47"/>
  <c r="K188" i="47"/>
  <c r="L188" i="47"/>
  <c r="M188" i="47"/>
  <c r="N188" i="47"/>
  <c r="O188" i="47"/>
  <c r="P188" i="47"/>
  <c r="D189" i="47"/>
  <c r="A189" i="47" s="1"/>
  <c r="E189" i="47" s="1"/>
  <c r="F189" i="47"/>
  <c r="G189" i="47"/>
  <c r="H189" i="47"/>
  <c r="I189" i="47"/>
  <c r="J189" i="47"/>
  <c r="K189" i="47"/>
  <c r="L189" i="47"/>
  <c r="M189" i="47"/>
  <c r="N189" i="47"/>
  <c r="O189" i="47"/>
  <c r="P189" i="47"/>
  <c r="D190" i="47"/>
  <c r="A190" i="47" s="1"/>
  <c r="E190" i="47" s="1"/>
  <c r="F190" i="47"/>
  <c r="G190" i="47"/>
  <c r="H190" i="47"/>
  <c r="I190" i="47"/>
  <c r="J190" i="47"/>
  <c r="K190" i="47"/>
  <c r="L190" i="47"/>
  <c r="M190" i="47"/>
  <c r="N190" i="47"/>
  <c r="O190" i="47"/>
  <c r="P190" i="47"/>
  <c r="D191" i="47"/>
  <c r="A191" i="47" s="1"/>
  <c r="E191" i="47" s="1"/>
  <c r="F191" i="47"/>
  <c r="G191" i="47"/>
  <c r="H191" i="47"/>
  <c r="I191" i="47"/>
  <c r="J191" i="47"/>
  <c r="K191" i="47"/>
  <c r="L191" i="47"/>
  <c r="M191" i="47"/>
  <c r="N191" i="47"/>
  <c r="O191" i="47"/>
  <c r="P191" i="47"/>
  <c r="D192" i="47"/>
  <c r="A192" i="47" s="1"/>
  <c r="E192" i="47" s="1"/>
  <c r="F192" i="47"/>
  <c r="G192" i="47"/>
  <c r="H192" i="47"/>
  <c r="I192" i="47"/>
  <c r="J192" i="47"/>
  <c r="K192" i="47"/>
  <c r="L192" i="47"/>
  <c r="M192" i="47"/>
  <c r="N192" i="47"/>
  <c r="O192" i="47"/>
  <c r="P192" i="47"/>
  <c r="D193" i="47"/>
  <c r="A193" i="47" s="1"/>
  <c r="E193" i="47" s="1"/>
  <c r="F193" i="47"/>
  <c r="G193" i="47"/>
  <c r="H193" i="47"/>
  <c r="I193" i="47"/>
  <c r="J193" i="47"/>
  <c r="K193" i="47"/>
  <c r="L193" i="47"/>
  <c r="M193" i="47"/>
  <c r="N193" i="47"/>
  <c r="O193" i="47"/>
  <c r="P193" i="47"/>
  <c r="D194" i="47"/>
  <c r="A194" i="47" s="1"/>
  <c r="E194" i="47" s="1"/>
  <c r="F194" i="47"/>
  <c r="G194" i="47"/>
  <c r="H194" i="47"/>
  <c r="I194" i="47"/>
  <c r="J194" i="47"/>
  <c r="K194" i="47"/>
  <c r="L194" i="47"/>
  <c r="M194" i="47"/>
  <c r="N194" i="47"/>
  <c r="O194" i="47"/>
  <c r="P194" i="47"/>
  <c r="D195" i="47"/>
  <c r="A195" i="47" s="1"/>
  <c r="E195" i="47" s="1"/>
  <c r="F195" i="47"/>
  <c r="G195" i="47"/>
  <c r="H195" i="47"/>
  <c r="I195" i="47"/>
  <c r="J195" i="47"/>
  <c r="K195" i="47"/>
  <c r="L195" i="47"/>
  <c r="M195" i="47"/>
  <c r="N195" i="47"/>
  <c r="O195" i="47"/>
  <c r="P195" i="47"/>
  <c r="D196" i="47"/>
  <c r="A196" i="47" s="1"/>
  <c r="E196" i="47" s="1"/>
  <c r="F196" i="47"/>
  <c r="G196" i="47"/>
  <c r="H196" i="47"/>
  <c r="I196" i="47"/>
  <c r="J196" i="47"/>
  <c r="K196" i="47"/>
  <c r="L196" i="47"/>
  <c r="M196" i="47"/>
  <c r="N196" i="47"/>
  <c r="O196" i="47"/>
  <c r="P196" i="47"/>
  <c r="D197" i="47"/>
  <c r="A197" i="47" s="1"/>
  <c r="E197" i="47" s="1"/>
  <c r="F197" i="47"/>
  <c r="G197" i="47"/>
  <c r="H197" i="47"/>
  <c r="I197" i="47"/>
  <c r="J197" i="47"/>
  <c r="K197" i="47"/>
  <c r="L197" i="47"/>
  <c r="M197" i="47"/>
  <c r="N197" i="47"/>
  <c r="O197" i="47"/>
  <c r="P197" i="47"/>
  <c r="D198" i="47"/>
  <c r="A198" i="47" s="1"/>
  <c r="E198" i="47" s="1"/>
  <c r="F198" i="47"/>
  <c r="G198" i="47"/>
  <c r="H198" i="47"/>
  <c r="I198" i="47"/>
  <c r="J198" i="47"/>
  <c r="K198" i="47"/>
  <c r="L198" i="47"/>
  <c r="M198" i="47"/>
  <c r="N198" i="47"/>
  <c r="O198" i="47"/>
  <c r="P198" i="47"/>
  <c r="D199" i="47"/>
  <c r="A199" i="47" s="1"/>
  <c r="E199" i="47" s="1"/>
  <c r="F199" i="47"/>
  <c r="G199" i="47"/>
  <c r="H199" i="47"/>
  <c r="I199" i="47"/>
  <c r="J199" i="47"/>
  <c r="K199" i="47"/>
  <c r="L199" i="47"/>
  <c r="M199" i="47"/>
  <c r="N199" i="47"/>
  <c r="O199" i="47"/>
  <c r="P199" i="47"/>
  <c r="D200" i="47"/>
  <c r="A200" i="47" s="1"/>
  <c r="E200" i="47" s="1"/>
  <c r="F200" i="47"/>
  <c r="G200" i="47"/>
  <c r="H200" i="47"/>
  <c r="I200" i="47"/>
  <c r="J200" i="47"/>
  <c r="K200" i="47"/>
  <c r="L200" i="47"/>
  <c r="M200" i="47"/>
  <c r="N200" i="47"/>
  <c r="O200" i="47"/>
  <c r="P200" i="47"/>
  <c r="D201" i="47"/>
  <c r="A201" i="47" s="1"/>
  <c r="E201" i="47" s="1"/>
  <c r="F201" i="47"/>
  <c r="G201" i="47"/>
  <c r="H201" i="47"/>
  <c r="I201" i="47"/>
  <c r="J201" i="47"/>
  <c r="K201" i="47"/>
  <c r="L201" i="47"/>
  <c r="M201" i="47"/>
  <c r="N201" i="47"/>
  <c r="O201" i="47"/>
  <c r="P201" i="47"/>
  <c r="D202" i="47"/>
  <c r="A202" i="47"/>
  <c r="E202" i="47" s="1"/>
  <c r="F202" i="47"/>
  <c r="G202" i="47"/>
  <c r="H202" i="47"/>
  <c r="I202" i="47"/>
  <c r="J202" i="47"/>
  <c r="K202" i="47"/>
  <c r="L202" i="47"/>
  <c r="M202" i="47"/>
  <c r="N202" i="47"/>
  <c r="O202" i="47"/>
  <c r="P202" i="47"/>
  <c r="D203" i="47"/>
  <c r="A203" i="47" s="1"/>
  <c r="E203" i="47" s="1"/>
  <c r="F203" i="47"/>
  <c r="G203" i="47"/>
  <c r="H203" i="47"/>
  <c r="I203" i="47"/>
  <c r="J203" i="47"/>
  <c r="K203" i="47"/>
  <c r="L203" i="47"/>
  <c r="M203" i="47"/>
  <c r="N203" i="47"/>
  <c r="O203" i="47"/>
  <c r="P203" i="47"/>
  <c r="D204" i="47"/>
  <c r="A204" i="47" s="1"/>
  <c r="E204" i="47" s="1"/>
  <c r="F204" i="47"/>
  <c r="G204" i="47"/>
  <c r="H204" i="47"/>
  <c r="I204" i="47"/>
  <c r="J204" i="47"/>
  <c r="K204" i="47"/>
  <c r="L204" i="47"/>
  <c r="M204" i="47"/>
  <c r="N204" i="47"/>
  <c r="O204" i="47"/>
  <c r="P204" i="47"/>
  <c r="D205" i="47"/>
  <c r="A205" i="47" s="1"/>
  <c r="E205" i="47" s="1"/>
  <c r="F205" i="47"/>
  <c r="G205" i="47"/>
  <c r="H205" i="47"/>
  <c r="I205" i="47"/>
  <c r="J205" i="47"/>
  <c r="K205" i="47"/>
  <c r="L205" i="47"/>
  <c r="M205" i="47"/>
  <c r="N205" i="47"/>
  <c r="O205" i="47"/>
  <c r="P205" i="47"/>
  <c r="D206" i="47"/>
  <c r="A206" i="47" s="1"/>
  <c r="E206" i="47" s="1"/>
  <c r="F206" i="47"/>
  <c r="G206" i="47"/>
  <c r="H206" i="47"/>
  <c r="I206" i="47"/>
  <c r="J206" i="47"/>
  <c r="K206" i="47"/>
  <c r="L206" i="47"/>
  <c r="M206" i="47"/>
  <c r="N206" i="47"/>
  <c r="O206" i="47"/>
  <c r="P206" i="47"/>
  <c r="D207" i="47"/>
  <c r="A207" i="47"/>
  <c r="E207" i="47" s="1"/>
  <c r="F207" i="47"/>
  <c r="G207" i="47"/>
  <c r="H207" i="47"/>
  <c r="I207" i="47"/>
  <c r="J207" i="47"/>
  <c r="K207" i="47"/>
  <c r="L207" i="47"/>
  <c r="M207" i="47"/>
  <c r="N207" i="47"/>
  <c r="O207" i="47"/>
  <c r="P207" i="47"/>
  <c r="D208" i="47"/>
  <c r="A208" i="47" s="1"/>
  <c r="E208" i="47" s="1"/>
  <c r="F208" i="47"/>
  <c r="G208" i="47"/>
  <c r="H208" i="47"/>
  <c r="I208" i="47"/>
  <c r="J208" i="47"/>
  <c r="K208" i="47"/>
  <c r="L208" i="47"/>
  <c r="M208" i="47"/>
  <c r="N208" i="47"/>
  <c r="O208" i="47"/>
  <c r="P208" i="47"/>
  <c r="D209" i="47"/>
  <c r="A209" i="47" s="1"/>
  <c r="E209" i="47" s="1"/>
  <c r="F209" i="47"/>
  <c r="G209" i="47"/>
  <c r="H209" i="47"/>
  <c r="I209" i="47"/>
  <c r="J209" i="47"/>
  <c r="K209" i="47"/>
  <c r="L209" i="47"/>
  <c r="M209" i="47"/>
  <c r="N209" i="47"/>
  <c r="O209" i="47"/>
  <c r="P209" i="47"/>
  <c r="D210" i="47"/>
  <c r="A210" i="47" s="1"/>
  <c r="E210" i="47" s="1"/>
  <c r="F210" i="47"/>
  <c r="G210" i="47"/>
  <c r="H210" i="47"/>
  <c r="I210" i="47"/>
  <c r="J210" i="47"/>
  <c r="K210" i="47"/>
  <c r="L210" i="47"/>
  <c r="M210" i="47"/>
  <c r="N210" i="47"/>
  <c r="O210" i="47"/>
  <c r="P210" i="47"/>
  <c r="D211" i="47"/>
  <c r="A211" i="47" s="1"/>
  <c r="E211" i="47" s="1"/>
  <c r="F211" i="47"/>
  <c r="G211" i="47"/>
  <c r="H211" i="47"/>
  <c r="I211" i="47"/>
  <c r="J211" i="47"/>
  <c r="K211" i="47"/>
  <c r="L211" i="47"/>
  <c r="M211" i="47"/>
  <c r="N211" i="47"/>
  <c r="O211" i="47"/>
  <c r="P211" i="47"/>
  <c r="D212" i="47"/>
  <c r="A212" i="47" s="1"/>
  <c r="E212" i="47" s="1"/>
  <c r="F212" i="47"/>
  <c r="G212" i="47"/>
  <c r="H212" i="47"/>
  <c r="I212" i="47"/>
  <c r="J212" i="47"/>
  <c r="K212" i="47"/>
  <c r="L212" i="47"/>
  <c r="M212" i="47"/>
  <c r="N212" i="47"/>
  <c r="O212" i="47"/>
  <c r="P212" i="47"/>
  <c r="D213" i="47"/>
  <c r="A213" i="47" s="1"/>
  <c r="E213" i="47" s="1"/>
  <c r="F213" i="47"/>
  <c r="G213" i="47"/>
  <c r="H213" i="47"/>
  <c r="I213" i="47"/>
  <c r="J213" i="47"/>
  <c r="K213" i="47"/>
  <c r="L213" i="47"/>
  <c r="M213" i="47"/>
  <c r="N213" i="47"/>
  <c r="O213" i="47"/>
  <c r="P213" i="47"/>
  <c r="D214" i="47"/>
  <c r="A214" i="47" s="1"/>
  <c r="E214" i="47" s="1"/>
  <c r="F214" i="47"/>
  <c r="G214" i="47"/>
  <c r="H214" i="47"/>
  <c r="I214" i="47"/>
  <c r="J214" i="47"/>
  <c r="K214" i="47"/>
  <c r="L214" i="47"/>
  <c r="M214" i="47"/>
  <c r="N214" i="47"/>
  <c r="O214" i="47"/>
  <c r="P214" i="47"/>
  <c r="D215" i="47"/>
  <c r="A215" i="47" s="1"/>
  <c r="E215" i="47" s="1"/>
  <c r="F215" i="47"/>
  <c r="G215" i="47"/>
  <c r="H215" i="47"/>
  <c r="I215" i="47"/>
  <c r="J215" i="47"/>
  <c r="K215" i="47"/>
  <c r="L215" i="47"/>
  <c r="M215" i="47"/>
  <c r="N215" i="47"/>
  <c r="O215" i="47"/>
  <c r="P215" i="47"/>
  <c r="D216" i="47"/>
  <c r="A216" i="47" s="1"/>
  <c r="E216" i="47" s="1"/>
  <c r="F216" i="47"/>
  <c r="G216" i="47"/>
  <c r="H216" i="47"/>
  <c r="I216" i="47"/>
  <c r="J216" i="47"/>
  <c r="K216" i="47"/>
  <c r="L216" i="47"/>
  <c r="M216" i="47"/>
  <c r="N216" i="47"/>
  <c r="O216" i="47"/>
  <c r="P216" i="47"/>
  <c r="D217" i="47"/>
  <c r="A217" i="47" s="1"/>
  <c r="E217" i="47" s="1"/>
  <c r="F217" i="47"/>
  <c r="G217" i="47"/>
  <c r="H217" i="47"/>
  <c r="I217" i="47"/>
  <c r="J217" i="47"/>
  <c r="K217" i="47"/>
  <c r="L217" i="47"/>
  <c r="M217" i="47"/>
  <c r="N217" i="47"/>
  <c r="O217" i="47"/>
  <c r="P217" i="47"/>
  <c r="D218" i="47"/>
  <c r="A218" i="47" s="1"/>
  <c r="E218" i="47" s="1"/>
  <c r="F218" i="47"/>
  <c r="G218" i="47"/>
  <c r="H218" i="47"/>
  <c r="I218" i="47"/>
  <c r="J218" i="47"/>
  <c r="K218" i="47"/>
  <c r="L218" i="47"/>
  <c r="M218" i="47"/>
  <c r="N218" i="47"/>
  <c r="O218" i="47"/>
  <c r="P218" i="47"/>
  <c r="D219" i="47"/>
  <c r="A219" i="47"/>
  <c r="E219" i="47" s="1"/>
  <c r="F219" i="47"/>
  <c r="G219" i="47"/>
  <c r="H219" i="47"/>
  <c r="I219" i="47"/>
  <c r="J219" i="47"/>
  <c r="K219" i="47"/>
  <c r="L219" i="47"/>
  <c r="M219" i="47"/>
  <c r="N219" i="47"/>
  <c r="O219" i="47"/>
  <c r="P219" i="47"/>
  <c r="D220" i="47"/>
  <c r="A220" i="47" s="1"/>
  <c r="E220" i="47" s="1"/>
  <c r="F220" i="47"/>
  <c r="G220" i="47"/>
  <c r="H220" i="47"/>
  <c r="I220" i="47"/>
  <c r="J220" i="47"/>
  <c r="K220" i="47"/>
  <c r="L220" i="47"/>
  <c r="M220" i="47"/>
  <c r="N220" i="47"/>
  <c r="O220" i="47"/>
  <c r="P220" i="47"/>
  <c r="D221" i="47"/>
  <c r="A221" i="47" s="1"/>
  <c r="E221" i="47" s="1"/>
  <c r="F221" i="47"/>
  <c r="G221" i="47"/>
  <c r="H221" i="47"/>
  <c r="I221" i="47"/>
  <c r="J221" i="47"/>
  <c r="K221" i="47"/>
  <c r="L221" i="47"/>
  <c r="M221" i="47"/>
  <c r="N221" i="47"/>
  <c r="O221" i="47"/>
  <c r="P221" i="47"/>
  <c r="D222" i="47"/>
  <c r="A222" i="47" s="1"/>
  <c r="E222" i="47" s="1"/>
  <c r="F222" i="47"/>
  <c r="G222" i="47"/>
  <c r="H222" i="47"/>
  <c r="I222" i="47"/>
  <c r="J222" i="47"/>
  <c r="K222" i="47"/>
  <c r="L222" i="47"/>
  <c r="M222" i="47"/>
  <c r="N222" i="47"/>
  <c r="O222" i="47"/>
  <c r="P222" i="47"/>
  <c r="D223" i="47"/>
  <c r="A223" i="47"/>
  <c r="E223" i="47" s="1"/>
  <c r="F223" i="47"/>
  <c r="G223" i="47"/>
  <c r="H223" i="47"/>
  <c r="I223" i="47"/>
  <c r="J223" i="47"/>
  <c r="K223" i="47"/>
  <c r="L223" i="47"/>
  <c r="M223" i="47"/>
  <c r="N223" i="47"/>
  <c r="O223" i="47"/>
  <c r="P223" i="47"/>
  <c r="D224" i="47"/>
  <c r="A224" i="47" s="1"/>
  <c r="E224" i="47" s="1"/>
  <c r="F224" i="47"/>
  <c r="G224" i="47"/>
  <c r="H224" i="47"/>
  <c r="I224" i="47"/>
  <c r="J224" i="47"/>
  <c r="K224" i="47"/>
  <c r="L224" i="47"/>
  <c r="M224" i="47"/>
  <c r="N224" i="47"/>
  <c r="O224" i="47"/>
  <c r="P224" i="47"/>
  <c r="D225" i="47"/>
  <c r="A225" i="47" s="1"/>
  <c r="E225" i="47" s="1"/>
  <c r="F225" i="47"/>
  <c r="G225" i="47"/>
  <c r="H225" i="47"/>
  <c r="I225" i="47"/>
  <c r="J225" i="47"/>
  <c r="K225" i="47"/>
  <c r="L225" i="47"/>
  <c r="M225" i="47"/>
  <c r="N225" i="47"/>
  <c r="O225" i="47"/>
  <c r="P225" i="47"/>
  <c r="D226" i="47"/>
  <c r="A226" i="47" s="1"/>
  <c r="E226" i="47" s="1"/>
  <c r="F226" i="47"/>
  <c r="G226" i="47"/>
  <c r="H226" i="47"/>
  <c r="I226" i="47"/>
  <c r="J226" i="47"/>
  <c r="K226" i="47"/>
  <c r="L226" i="47"/>
  <c r="M226" i="47"/>
  <c r="N226" i="47"/>
  <c r="O226" i="47"/>
  <c r="P226" i="47"/>
  <c r="D227" i="47"/>
  <c r="A227" i="47" s="1"/>
  <c r="E227" i="47" s="1"/>
  <c r="F227" i="47"/>
  <c r="G227" i="47"/>
  <c r="H227" i="47"/>
  <c r="I227" i="47"/>
  <c r="J227" i="47"/>
  <c r="K227" i="47"/>
  <c r="L227" i="47"/>
  <c r="M227" i="47"/>
  <c r="N227" i="47"/>
  <c r="O227" i="47"/>
  <c r="P227" i="47"/>
  <c r="D228" i="47"/>
  <c r="A228" i="47" s="1"/>
  <c r="E228" i="47" s="1"/>
  <c r="F228" i="47"/>
  <c r="G228" i="47"/>
  <c r="H228" i="47"/>
  <c r="I228" i="47"/>
  <c r="J228" i="47"/>
  <c r="K228" i="47"/>
  <c r="L228" i="47"/>
  <c r="M228" i="47"/>
  <c r="N228" i="47"/>
  <c r="O228" i="47"/>
  <c r="P228" i="47"/>
  <c r="D229" i="47"/>
  <c r="A229" i="47" s="1"/>
  <c r="E229" i="47" s="1"/>
  <c r="F229" i="47"/>
  <c r="G229" i="47"/>
  <c r="H229" i="47"/>
  <c r="I229" i="47"/>
  <c r="J229" i="47"/>
  <c r="K229" i="47"/>
  <c r="L229" i="47"/>
  <c r="M229" i="47"/>
  <c r="N229" i="47"/>
  <c r="O229" i="47"/>
  <c r="P229" i="47"/>
  <c r="C48" i="44"/>
  <c r="C49" i="44"/>
  <c r="C50" i="44" s="1"/>
  <c r="C43" i="44"/>
  <c r="C44" i="44" s="1"/>
  <c r="C45" i="44" s="1"/>
  <c r="C38" i="44"/>
  <c r="C39" i="44" s="1"/>
  <c r="C40" i="44" s="1"/>
  <c r="C33" i="44"/>
  <c r="C34" i="44" s="1"/>
  <c r="C35" i="44" s="1"/>
  <c r="C28" i="44"/>
  <c r="C29" i="44"/>
  <c r="C30" i="44" s="1"/>
  <c r="C23" i="44"/>
  <c r="C24" i="44" s="1"/>
  <c r="C25" i="44" s="1"/>
  <c r="BE54" i="53"/>
  <c r="BE57" i="53"/>
  <c r="BE60" i="53" s="1"/>
  <c r="BE63" i="53"/>
  <c r="BE66" i="53" s="1"/>
  <c r="BE69" i="53" s="1"/>
  <c r="BE72" i="53" s="1"/>
  <c r="BE75" i="53" s="1"/>
  <c r="BE78" i="53" s="1"/>
  <c r="BD54" i="53"/>
  <c r="P54" i="47" s="1"/>
  <c r="BE23" i="53"/>
  <c r="BE26" i="53" s="1"/>
  <c r="BE29" i="53" s="1"/>
  <c r="BD23" i="53"/>
  <c r="AX78" i="53"/>
  <c r="O78" i="47" s="1"/>
  <c r="AS78" i="53"/>
  <c r="N78" i="47" s="1"/>
  <c r="AN78" i="53"/>
  <c r="M78" i="47" s="1"/>
  <c r="AI78" i="53"/>
  <c r="L78" i="47" s="1"/>
  <c r="AD78" i="53"/>
  <c r="K78" i="47" s="1"/>
  <c r="Y78" i="53"/>
  <c r="J78" i="47" s="1"/>
  <c r="T78" i="53"/>
  <c r="I78" i="47" s="1"/>
  <c r="O78" i="53"/>
  <c r="H78" i="47" s="1"/>
  <c r="J78" i="53"/>
  <c r="G78" i="47" s="1"/>
  <c r="E78" i="53"/>
  <c r="F78" i="47" s="1"/>
  <c r="AX75" i="53"/>
  <c r="O75" i="47" s="1"/>
  <c r="AS75" i="53"/>
  <c r="N75" i="47" s="1"/>
  <c r="AN75" i="53"/>
  <c r="M75" i="47" s="1"/>
  <c r="AI75" i="53"/>
  <c r="L75" i="47" s="1"/>
  <c r="AD75" i="53"/>
  <c r="K75" i="47" s="1"/>
  <c r="Y75" i="53"/>
  <c r="J75" i="47" s="1"/>
  <c r="T75" i="53"/>
  <c r="I75" i="47" s="1"/>
  <c r="O75" i="53"/>
  <c r="H75" i="47" s="1"/>
  <c r="J75" i="53"/>
  <c r="G75" i="47" s="1"/>
  <c r="E75" i="53"/>
  <c r="F75" i="47" s="1"/>
  <c r="AX72" i="53"/>
  <c r="O72" i="47" s="1"/>
  <c r="AS72" i="53"/>
  <c r="N72" i="47" s="1"/>
  <c r="AN72" i="53"/>
  <c r="M72" i="47" s="1"/>
  <c r="AI72" i="53"/>
  <c r="L72" i="47" s="1"/>
  <c r="AD72" i="53"/>
  <c r="K72" i="47" s="1"/>
  <c r="Y72" i="53"/>
  <c r="J72" i="47" s="1"/>
  <c r="T72" i="53"/>
  <c r="I72" i="47" s="1"/>
  <c r="O72" i="53"/>
  <c r="H72" i="47" s="1"/>
  <c r="J72" i="53"/>
  <c r="G72" i="47" s="1"/>
  <c r="E72" i="53"/>
  <c r="F72" i="47" s="1"/>
  <c r="AX69" i="53"/>
  <c r="O69" i="47" s="1"/>
  <c r="AS69" i="53"/>
  <c r="N69" i="47" s="1"/>
  <c r="AN69" i="53"/>
  <c r="M69" i="47" s="1"/>
  <c r="AI69" i="53"/>
  <c r="L69" i="47" s="1"/>
  <c r="AD69" i="53"/>
  <c r="K69" i="47" s="1"/>
  <c r="Y69" i="53"/>
  <c r="J69" i="47" s="1"/>
  <c r="T69" i="53"/>
  <c r="I69" i="47" s="1"/>
  <c r="O69" i="53"/>
  <c r="H69" i="47" s="1"/>
  <c r="J69" i="53"/>
  <c r="G69" i="47" s="1"/>
  <c r="E69" i="53"/>
  <c r="F69" i="47" s="1"/>
  <c r="AX66" i="53"/>
  <c r="O66" i="47" s="1"/>
  <c r="AS66" i="53"/>
  <c r="N66" i="47" s="1"/>
  <c r="AN66" i="53"/>
  <c r="M66" i="47" s="1"/>
  <c r="AI66" i="53"/>
  <c r="L66" i="47" s="1"/>
  <c r="AD66" i="53"/>
  <c r="K66" i="47" s="1"/>
  <c r="Y66" i="53"/>
  <c r="J66" i="47" s="1"/>
  <c r="T66" i="53"/>
  <c r="I66" i="47" s="1"/>
  <c r="O66" i="53"/>
  <c r="H66" i="47" s="1"/>
  <c r="J66" i="53"/>
  <c r="G66" i="47" s="1"/>
  <c r="E66" i="53"/>
  <c r="F66" i="47" s="1"/>
  <c r="AX63" i="53"/>
  <c r="O63" i="47" s="1"/>
  <c r="AS63" i="53"/>
  <c r="N63" i="47" s="1"/>
  <c r="AN63" i="53"/>
  <c r="M63" i="47" s="1"/>
  <c r="AI63" i="53"/>
  <c r="L63" i="47" s="1"/>
  <c r="AD63" i="53"/>
  <c r="K63" i="47" s="1"/>
  <c r="Y63" i="53"/>
  <c r="J63" i="47" s="1"/>
  <c r="T63" i="53"/>
  <c r="I63" i="47" s="1"/>
  <c r="O63" i="53"/>
  <c r="H63" i="47" s="1"/>
  <c r="J63" i="53"/>
  <c r="G63" i="47" s="1"/>
  <c r="E63" i="53"/>
  <c r="F63" i="47" s="1"/>
  <c r="AX60" i="53"/>
  <c r="O60" i="47" s="1"/>
  <c r="AS60" i="53"/>
  <c r="N60" i="47" s="1"/>
  <c r="AN60" i="53"/>
  <c r="M60" i="47" s="1"/>
  <c r="AI60" i="53"/>
  <c r="L60" i="47" s="1"/>
  <c r="AD60" i="53"/>
  <c r="K60" i="47" s="1"/>
  <c r="Y60" i="53"/>
  <c r="J60" i="47" s="1"/>
  <c r="T60" i="53"/>
  <c r="I60" i="47" s="1"/>
  <c r="O60" i="53"/>
  <c r="H60" i="47" s="1"/>
  <c r="J60" i="53"/>
  <c r="G60" i="47" s="1"/>
  <c r="E60" i="53"/>
  <c r="F60" i="47" s="1"/>
  <c r="AX57" i="53"/>
  <c r="O57" i="47" s="1"/>
  <c r="AS57" i="53"/>
  <c r="N57" i="47" s="1"/>
  <c r="AN57" i="53"/>
  <c r="M57" i="47" s="1"/>
  <c r="AI57" i="53"/>
  <c r="L57" i="47" s="1"/>
  <c r="AD57" i="53"/>
  <c r="K57" i="47" s="1"/>
  <c r="Y57" i="53"/>
  <c r="J57" i="47" s="1"/>
  <c r="T57" i="53"/>
  <c r="I57" i="47" s="1"/>
  <c r="O57" i="53"/>
  <c r="H57" i="47" s="1"/>
  <c r="J57" i="53"/>
  <c r="G57" i="47" s="1"/>
  <c r="E57" i="53"/>
  <c r="F57" i="47" s="1"/>
  <c r="AX54" i="53"/>
  <c r="O54" i="47" s="1"/>
  <c r="AS54" i="53"/>
  <c r="N54" i="47" s="1"/>
  <c r="AN54" i="53"/>
  <c r="M54" i="47" s="1"/>
  <c r="AI54" i="53"/>
  <c r="L54" i="47" s="1"/>
  <c r="AD54" i="53"/>
  <c r="K54" i="47" s="1"/>
  <c r="Y54" i="53"/>
  <c r="J54" i="47" s="1"/>
  <c r="T54" i="53"/>
  <c r="I54" i="47" s="1"/>
  <c r="O54" i="53"/>
  <c r="H54" i="47" s="1"/>
  <c r="J54" i="53"/>
  <c r="G54" i="47" s="1"/>
  <c r="E54" i="53"/>
  <c r="F54" i="47" s="1"/>
  <c r="AX51" i="53"/>
  <c r="O51" i="47" s="1"/>
  <c r="AS51" i="53"/>
  <c r="N51" i="47" s="1"/>
  <c r="AN51" i="53"/>
  <c r="M51" i="47" s="1"/>
  <c r="AI51" i="53"/>
  <c r="L51" i="47" s="1"/>
  <c r="AD51" i="53"/>
  <c r="K51" i="47" s="1"/>
  <c r="Y51" i="53"/>
  <c r="J51" i="47" s="1"/>
  <c r="T51" i="53"/>
  <c r="I51" i="47" s="1"/>
  <c r="O51" i="53"/>
  <c r="H51" i="47" s="1"/>
  <c r="J51" i="53"/>
  <c r="G51" i="47" s="1"/>
  <c r="E51" i="53"/>
  <c r="F51" i="47" s="1"/>
  <c r="J29" i="53"/>
  <c r="G29" i="47" s="1"/>
  <c r="O29" i="53"/>
  <c r="H29" i="47" s="1"/>
  <c r="T29" i="53"/>
  <c r="I29" i="47" s="1"/>
  <c r="Y29" i="53"/>
  <c r="J29" i="47" s="1"/>
  <c r="AD29" i="53"/>
  <c r="K29" i="47" s="1"/>
  <c r="AI29" i="53"/>
  <c r="L29" i="47" s="1"/>
  <c r="AN29" i="53"/>
  <c r="M29" i="47" s="1"/>
  <c r="AS29" i="53"/>
  <c r="N29" i="47" s="1"/>
  <c r="AX29" i="53"/>
  <c r="O29" i="47" s="1"/>
  <c r="J32" i="53"/>
  <c r="G32" i="47" s="1"/>
  <c r="O32" i="53"/>
  <c r="H32" i="47" s="1"/>
  <c r="T32" i="53"/>
  <c r="I32" i="47" s="1"/>
  <c r="Y32" i="53"/>
  <c r="J32" i="47" s="1"/>
  <c r="AD32" i="53"/>
  <c r="K32" i="47" s="1"/>
  <c r="AI32" i="53"/>
  <c r="L32" i="47" s="1"/>
  <c r="AN32" i="53"/>
  <c r="M32" i="47" s="1"/>
  <c r="AS32" i="53"/>
  <c r="N32" i="47" s="1"/>
  <c r="AX32" i="53"/>
  <c r="O32" i="47" s="1"/>
  <c r="J35" i="53"/>
  <c r="G35" i="47" s="1"/>
  <c r="O35" i="53"/>
  <c r="H35" i="47" s="1"/>
  <c r="T35" i="53"/>
  <c r="I35" i="47" s="1"/>
  <c r="Y35" i="53"/>
  <c r="J35" i="47" s="1"/>
  <c r="AD35" i="53"/>
  <c r="K35" i="47" s="1"/>
  <c r="AI35" i="53"/>
  <c r="L35" i="47" s="1"/>
  <c r="AN35" i="53"/>
  <c r="M35" i="47" s="1"/>
  <c r="AS35" i="53"/>
  <c r="N35" i="47" s="1"/>
  <c r="AX35" i="53"/>
  <c r="O35" i="47" s="1"/>
  <c r="J38" i="53"/>
  <c r="G38" i="47" s="1"/>
  <c r="O38" i="53"/>
  <c r="H38" i="47" s="1"/>
  <c r="T38" i="53"/>
  <c r="I38" i="47" s="1"/>
  <c r="Y38" i="53"/>
  <c r="J38" i="47" s="1"/>
  <c r="AD38" i="53"/>
  <c r="K38" i="47" s="1"/>
  <c r="AI38" i="53"/>
  <c r="L38" i="47" s="1"/>
  <c r="AN38" i="53"/>
  <c r="M38" i="47" s="1"/>
  <c r="AS38" i="53"/>
  <c r="N38" i="47" s="1"/>
  <c r="AX38" i="53"/>
  <c r="O38" i="47" s="1"/>
  <c r="J41" i="53"/>
  <c r="G41" i="47" s="1"/>
  <c r="O41" i="53"/>
  <c r="H41" i="47" s="1"/>
  <c r="T41" i="53"/>
  <c r="I41" i="47" s="1"/>
  <c r="Y41" i="53"/>
  <c r="J41" i="47" s="1"/>
  <c r="AD41" i="53"/>
  <c r="K41" i="47" s="1"/>
  <c r="AI41" i="53"/>
  <c r="L41" i="47" s="1"/>
  <c r="AN41" i="53"/>
  <c r="M41" i="47" s="1"/>
  <c r="AS41" i="53"/>
  <c r="N41" i="47" s="1"/>
  <c r="AX41" i="53"/>
  <c r="O41" i="47" s="1"/>
  <c r="J44" i="53"/>
  <c r="G44" i="47" s="1"/>
  <c r="O44" i="53"/>
  <c r="H44" i="47" s="1"/>
  <c r="T44" i="53"/>
  <c r="I44" i="47" s="1"/>
  <c r="Y44" i="53"/>
  <c r="J44" i="47" s="1"/>
  <c r="AD44" i="53"/>
  <c r="K44" i="47" s="1"/>
  <c r="AI44" i="53"/>
  <c r="L44" i="47" s="1"/>
  <c r="AN44" i="53"/>
  <c r="M44" i="47" s="1"/>
  <c r="AS44" i="53"/>
  <c r="N44" i="47" s="1"/>
  <c r="AX44" i="53"/>
  <c r="O44" i="47" s="1"/>
  <c r="J47" i="53"/>
  <c r="G47" i="47" s="1"/>
  <c r="O47" i="53"/>
  <c r="H47" i="47" s="1"/>
  <c r="T47" i="53"/>
  <c r="I47" i="47" s="1"/>
  <c r="Y47" i="53"/>
  <c r="J47" i="47" s="1"/>
  <c r="AD47" i="53"/>
  <c r="K47" i="47" s="1"/>
  <c r="AI47" i="53"/>
  <c r="L47" i="47" s="1"/>
  <c r="AN47" i="53"/>
  <c r="M47" i="47" s="1"/>
  <c r="AS47" i="53"/>
  <c r="N47" i="47" s="1"/>
  <c r="AX47" i="53"/>
  <c r="O47" i="47" s="1"/>
  <c r="E47" i="53"/>
  <c r="F47" i="47" s="1"/>
  <c r="E44" i="53"/>
  <c r="F44" i="47" s="1"/>
  <c r="E41" i="53"/>
  <c r="F41" i="47" s="1"/>
  <c r="E38" i="53"/>
  <c r="F38" i="47" s="1"/>
  <c r="E35" i="53"/>
  <c r="F35" i="47" s="1"/>
  <c r="E32" i="53"/>
  <c r="F32" i="47" s="1"/>
  <c r="E29" i="53"/>
  <c r="F29" i="47" s="1"/>
  <c r="J26" i="53"/>
  <c r="G26" i="47" s="1"/>
  <c r="O26" i="53"/>
  <c r="H26" i="47" s="1"/>
  <c r="T26" i="53"/>
  <c r="I26" i="47" s="1"/>
  <c r="Y26" i="53"/>
  <c r="J26" i="47" s="1"/>
  <c r="AD26" i="53"/>
  <c r="K26" i="47" s="1"/>
  <c r="AI26" i="53"/>
  <c r="L26" i="47" s="1"/>
  <c r="AN26" i="53"/>
  <c r="M26" i="47" s="1"/>
  <c r="AS26" i="53"/>
  <c r="N26" i="47" s="1"/>
  <c r="AX26" i="53"/>
  <c r="O26" i="47" s="1"/>
  <c r="E26" i="53"/>
  <c r="F26" i="47" s="1"/>
  <c r="J23" i="53"/>
  <c r="G23" i="47" s="1"/>
  <c r="O23" i="53"/>
  <c r="H23" i="47" s="1"/>
  <c r="T23" i="53"/>
  <c r="I23" i="47" s="1"/>
  <c r="Y23" i="53"/>
  <c r="J23" i="47" s="1"/>
  <c r="AD23" i="53"/>
  <c r="K23" i="47" s="1"/>
  <c r="AI23" i="53"/>
  <c r="L23" i="47" s="1"/>
  <c r="AN23" i="53"/>
  <c r="M23" i="47" s="1"/>
  <c r="AS23" i="53"/>
  <c r="N23" i="47" s="1"/>
  <c r="AX23" i="53"/>
  <c r="O23" i="47" s="1"/>
  <c r="E23" i="53"/>
  <c r="F23" i="47" s="1"/>
  <c r="J20" i="53"/>
  <c r="G20" i="47" s="1"/>
  <c r="O20" i="53"/>
  <c r="H20" i="47" s="1"/>
  <c r="T20" i="53"/>
  <c r="I20" i="47" s="1"/>
  <c r="Y20" i="53"/>
  <c r="J20" i="47" s="1"/>
  <c r="AD20" i="53"/>
  <c r="K20" i="47" s="1"/>
  <c r="AI20" i="53"/>
  <c r="L20" i="47" s="1"/>
  <c r="AN20" i="53"/>
  <c r="M20" i="47" s="1"/>
  <c r="AS20" i="53"/>
  <c r="N20" i="47" s="1"/>
  <c r="AX20" i="53"/>
  <c r="O20" i="47" s="1"/>
  <c r="E20" i="53"/>
  <c r="F20" i="47" s="1"/>
  <c r="I26" i="54"/>
  <c r="I25" i="54"/>
  <c r="I24" i="54"/>
  <c r="I22" i="54"/>
  <c r="I21" i="54"/>
  <c r="I20" i="54"/>
  <c r="I19" i="54"/>
  <c r="I16" i="54"/>
  <c r="I15" i="54"/>
  <c r="I14" i="54"/>
  <c r="I13" i="54"/>
  <c r="I12" i="54"/>
  <c r="I9" i="54"/>
  <c r="I8" i="54"/>
  <c r="I7" i="54"/>
  <c r="I6" i="54"/>
  <c r="I5" i="54"/>
  <c r="I4" i="54"/>
  <c r="I3" i="54"/>
  <c r="C53" i="53"/>
  <c r="D53" i="47" s="1"/>
  <c r="A53" i="47" s="1"/>
  <c r="E53" i="47" s="1"/>
  <c r="C54" i="53"/>
  <c r="C57" i="53" s="1"/>
  <c r="C22" i="53"/>
  <c r="C20" i="53"/>
  <c r="D20" i="47" s="1"/>
  <c r="A20" i="47" s="1"/>
  <c r="E20" i="47" s="1"/>
  <c r="J8" i="53"/>
  <c r="G8" i="47" s="1"/>
  <c r="K232" i="47"/>
  <c r="J232" i="47"/>
  <c r="I232" i="47"/>
  <c r="H232" i="47"/>
  <c r="G232" i="47"/>
  <c r="F232" i="47"/>
  <c r="D232" i="47"/>
  <c r="A232" i="47" s="1"/>
  <c r="E232" i="47" s="1"/>
  <c r="L231" i="47"/>
  <c r="K231" i="47"/>
  <c r="J231" i="47"/>
  <c r="I231" i="47"/>
  <c r="H231" i="47"/>
  <c r="G231" i="47"/>
  <c r="F231" i="47"/>
  <c r="D231" i="47"/>
  <c r="A231" i="47" s="1"/>
  <c r="E231" i="47" s="1"/>
  <c r="L230" i="47"/>
  <c r="K230" i="47"/>
  <c r="J230" i="47"/>
  <c r="I230" i="47"/>
  <c r="H230" i="47"/>
  <c r="G230" i="47"/>
  <c r="F230" i="47"/>
  <c r="D230" i="47"/>
  <c r="A230" i="47" s="1"/>
  <c r="E230" i="47" s="1"/>
  <c r="D6" i="47"/>
  <c r="A6" i="47" s="1"/>
  <c r="E6" i="47" s="1"/>
  <c r="D54" i="47"/>
  <c r="A54" i="47" s="1"/>
  <c r="E54" i="47" s="1"/>
  <c r="D22" i="47"/>
  <c r="A22" i="47" s="1"/>
  <c r="E22" i="47" s="1"/>
  <c r="P23" i="47"/>
  <c r="BD57" i="53"/>
  <c r="P57" i="47" s="1"/>
  <c r="A48" i="47"/>
  <c r="E48" i="47" s="1"/>
  <c r="BD26" i="53"/>
  <c r="P26" i="47"/>
  <c r="C23" i="53"/>
  <c r="D23" i="47" s="1"/>
  <c r="A23" i="47" s="1"/>
  <c r="E23" i="47" s="1"/>
  <c r="C25" i="53"/>
  <c r="D25" i="47" s="1"/>
  <c r="A25" i="47" s="1"/>
  <c r="E25" i="47" s="1"/>
  <c r="BD29" i="53"/>
  <c r="C26" i="53"/>
  <c r="D26" i="47" s="1"/>
  <c r="A26" i="47" s="1"/>
  <c r="E26" i="47" s="1"/>
  <c r="A51" i="47"/>
  <c r="E51" i="47" s="1"/>
  <c r="BD32" i="53"/>
  <c r="A58" i="47"/>
  <c r="E58" i="47" s="1"/>
  <c r="A64" i="47"/>
  <c r="E64" i="47" s="1"/>
  <c r="A36" i="47"/>
  <c r="E36" i="47" s="1"/>
  <c r="C29" i="53" l="1"/>
  <c r="BD60" i="53"/>
  <c r="O8" i="53"/>
  <c r="C28" i="53"/>
  <c r="C60" i="53"/>
  <c r="D57" i="47"/>
  <c r="A57" i="47" s="1"/>
  <c r="E57" i="47" s="1"/>
  <c r="BE32" i="53"/>
  <c r="BE35" i="53" s="1"/>
  <c r="BE38" i="53" s="1"/>
  <c r="BE41" i="53" s="1"/>
  <c r="BE44" i="53" s="1"/>
  <c r="BE47" i="53" s="1"/>
  <c r="P29" i="47"/>
  <c r="P32" i="47"/>
  <c r="BD35" i="53"/>
  <c r="C56" i="53"/>
  <c r="J17" i="47"/>
  <c r="AD17" i="53"/>
  <c r="D28" i="47" l="1"/>
  <c r="A28" i="47" s="1"/>
  <c r="E28" i="47" s="1"/>
  <c r="C31" i="53"/>
  <c r="T8" i="53"/>
  <c r="H8" i="47"/>
  <c r="BD63" i="53"/>
  <c r="P60" i="47"/>
  <c r="C32" i="53"/>
  <c r="D29" i="47"/>
  <c r="A29" i="47" s="1"/>
  <c r="E29" i="47" s="1"/>
  <c r="BD38" i="53"/>
  <c r="P35" i="47"/>
  <c r="K17" i="47"/>
  <c r="AI17" i="53"/>
  <c r="C59" i="53"/>
  <c r="D56" i="47"/>
  <c r="A56" i="47" s="1"/>
  <c r="E56" i="47" s="1"/>
  <c r="C63" i="53"/>
  <c r="D60" i="47"/>
  <c r="A60" i="47" s="1"/>
  <c r="E60" i="47" s="1"/>
  <c r="C35" i="53" l="1"/>
  <c r="D32" i="47"/>
  <c r="A32" i="47" s="1"/>
  <c r="E32" i="47" s="1"/>
  <c r="I8" i="47"/>
  <c r="Y8" i="53"/>
  <c r="J8" i="47" s="1"/>
  <c r="D31" i="47"/>
  <c r="A31" i="47" s="1"/>
  <c r="E31" i="47" s="1"/>
  <c r="C34" i="53"/>
  <c r="BD66" i="53"/>
  <c r="P63" i="47"/>
  <c r="AN17" i="53"/>
  <c r="L17" i="47"/>
  <c r="C66" i="53"/>
  <c r="D63" i="47"/>
  <c r="A63" i="47" s="1"/>
  <c r="E63" i="47" s="1"/>
  <c r="C62" i="53"/>
  <c r="D59" i="47"/>
  <c r="A59" i="47" s="1"/>
  <c r="E59" i="47" s="1"/>
  <c r="P38" i="47"/>
  <c r="BD41" i="53"/>
  <c r="C37" i="53" l="1"/>
  <c r="D34" i="47"/>
  <c r="A34" i="47" s="1"/>
  <c r="E34" i="47" s="1"/>
  <c r="BD69" i="53"/>
  <c r="P66" i="47"/>
  <c r="C38" i="53"/>
  <c r="D35" i="47"/>
  <c r="A35" i="47" s="1"/>
  <c r="E35" i="47" s="1"/>
  <c r="P41" i="47"/>
  <c r="BD44" i="53"/>
  <c r="C65" i="53"/>
  <c r="D62" i="47"/>
  <c r="A62" i="47" s="1"/>
  <c r="E62" i="47" s="1"/>
  <c r="C69" i="53"/>
  <c r="D66" i="47"/>
  <c r="A66" i="47" s="1"/>
  <c r="E66" i="47" s="1"/>
  <c r="AS17" i="53"/>
  <c r="M17" i="47"/>
  <c r="BD72" i="53" l="1"/>
  <c r="P69" i="47"/>
  <c r="C41" i="53"/>
  <c r="D38" i="47"/>
  <c r="A38" i="47" s="1"/>
  <c r="E38" i="47" s="1"/>
  <c r="D37" i="47"/>
  <c r="A37" i="47" s="1"/>
  <c r="E37" i="47" s="1"/>
  <c r="C40" i="53"/>
  <c r="C68" i="53"/>
  <c r="D65" i="47"/>
  <c r="A65" i="47" s="1"/>
  <c r="E65" i="47" s="1"/>
  <c r="C72" i="53"/>
  <c r="D69" i="47"/>
  <c r="A69" i="47" s="1"/>
  <c r="E69" i="47" s="1"/>
  <c r="AX17" i="53"/>
  <c r="N17" i="47"/>
  <c r="BD47" i="53"/>
  <c r="P47" i="47" s="1"/>
  <c r="P44" i="47"/>
  <c r="C44" i="53" l="1"/>
  <c r="D41" i="47"/>
  <c r="A41" i="47" s="1"/>
  <c r="E41" i="47" s="1"/>
  <c r="D40" i="47"/>
  <c r="A40" i="47" s="1"/>
  <c r="E40" i="47" s="1"/>
  <c r="C43" i="53"/>
  <c r="BD75" i="53"/>
  <c r="P72" i="47"/>
  <c r="O17" i="47"/>
  <c r="BC17" i="53"/>
  <c r="P17" i="47" s="1"/>
  <c r="C71" i="53"/>
  <c r="D68" i="47"/>
  <c r="A68" i="47" s="1"/>
  <c r="E68" i="47" s="1"/>
  <c r="C75" i="53"/>
  <c r="D72" i="47"/>
  <c r="A72" i="47" s="1"/>
  <c r="E72" i="47" s="1"/>
  <c r="D43" i="47" l="1"/>
  <c r="A43" i="47" s="1"/>
  <c r="E43" i="47" s="1"/>
  <c r="C46" i="53"/>
  <c r="D46" i="47" s="1"/>
  <c r="A46" i="47" s="1"/>
  <c r="E46" i="47" s="1"/>
  <c r="P75" i="47"/>
  <c r="BD78" i="53"/>
  <c r="P78" i="47" s="1"/>
  <c r="C47" i="53"/>
  <c r="D47" i="47" s="1"/>
  <c r="A47" i="47" s="1"/>
  <c r="E47" i="47" s="1"/>
  <c r="D44" i="47"/>
  <c r="A44" i="47" s="1"/>
  <c r="E44" i="47" s="1"/>
  <c r="C78" i="53"/>
  <c r="D78" i="47" s="1"/>
  <c r="A78" i="47" s="1"/>
  <c r="E78" i="47" s="1"/>
  <c r="D75" i="47"/>
  <c r="A75" i="47" s="1"/>
  <c r="E75" i="47" s="1"/>
  <c r="C74" i="53"/>
  <c r="D71" i="47"/>
  <c r="A71" i="47" s="1"/>
  <c r="E71" i="47" s="1"/>
  <c r="C77" i="53" l="1"/>
  <c r="D77" i="47" s="1"/>
  <c r="A77" i="47" s="1"/>
  <c r="E77" i="47" s="1"/>
  <c r="D74" i="47"/>
  <c r="A74" i="47" s="1"/>
  <c r="E74" i="47" s="1"/>
</calcChain>
</file>

<file path=xl/comments1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9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主角优先售卖</t>
        </r>
      </text>
    </comment>
  </commentList>
</comments>
</file>

<file path=xl/comments3.xml><?xml version="1.0" encoding="utf-8"?>
<comments xmlns="http://schemas.openxmlformats.org/spreadsheetml/2006/main">
  <authors>
    <author>kin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sharedStrings.xml><?xml version="1.0" encoding="utf-8"?>
<sst xmlns="http://schemas.openxmlformats.org/spreadsheetml/2006/main" count="1659" uniqueCount="758">
  <si>
    <t>参数</t>
    <phoneticPr fontId="1" type="noConversion"/>
  </si>
  <si>
    <t>CREATE</t>
    <phoneticPr fontId="1" type="noConversion"/>
  </si>
  <si>
    <t>DATA</t>
    <phoneticPr fontId="1" type="noConversion"/>
  </si>
  <si>
    <t>CLOSE</t>
    <phoneticPr fontId="1" type="noConversion"/>
  </si>
  <si>
    <t>指令</t>
    <phoneticPr fontId="1" type="noConversion"/>
  </si>
  <si>
    <t>名字</t>
  </si>
  <si>
    <t>I</t>
  </si>
  <si>
    <t>I</t>
    <phoneticPr fontId="1" type="noConversion"/>
  </si>
  <si>
    <t>lua</t>
    <phoneticPr fontId="1" type="noConversion"/>
  </si>
  <si>
    <t>FINISH</t>
  </si>
  <si>
    <t>PATH</t>
  </si>
  <si>
    <t>本页标签名请勿修改</t>
    <phoneticPr fontId="1" type="noConversion"/>
  </si>
  <si>
    <t>cmd</t>
    <phoneticPr fontId="1" type="noConversion"/>
  </si>
  <si>
    <t>路径</t>
    <phoneticPr fontId="1" type="noConversion"/>
  </si>
  <si>
    <t>导出类型</t>
    <phoneticPr fontId="1" type="noConversion"/>
  </si>
  <si>
    <t>id</t>
    <phoneticPr fontId="1" type="noConversion"/>
  </si>
  <si>
    <t>icon</t>
    <phoneticPr fontId="1" type="noConversion"/>
  </si>
  <si>
    <t>S</t>
    <phoneticPr fontId="1" type="noConversion"/>
  </si>
  <si>
    <t>type</t>
  </si>
  <si>
    <t>I</t>
    <phoneticPr fontId="1" type="noConversion"/>
  </si>
  <si>
    <t>item_db</t>
    <phoneticPr fontId="1" type="noConversion"/>
  </si>
  <si>
    <t>S</t>
    <phoneticPr fontId="1" type="noConversion"/>
  </si>
  <si>
    <t>desc</t>
    <phoneticPr fontId="1" type="noConversion"/>
  </si>
  <si>
    <t>描述</t>
    <phoneticPr fontId="1" type="noConversion"/>
  </si>
  <si>
    <t>FLDTYPE</t>
    <phoneticPr fontId="1" type="noConversion"/>
  </si>
  <si>
    <t>IT</t>
    <phoneticPr fontId="1" type="noConversion"/>
  </si>
  <si>
    <t>FLDNAME</t>
    <phoneticPr fontId="1" type="noConversion"/>
  </si>
  <si>
    <t>DATA</t>
    <phoneticPr fontId="1" type="noConversion"/>
  </si>
  <si>
    <t>FINISH</t>
    <phoneticPr fontId="1" type="noConversion"/>
  </si>
  <si>
    <t>FLDTYPE</t>
    <phoneticPr fontId="1" type="noConversion"/>
  </si>
  <si>
    <t>FLDNAME</t>
    <phoneticPr fontId="1" type="noConversion"/>
  </si>
  <si>
    <t>FINISH</t>
    <phoneticPr fontId="1" type="noConversion"/>
  </si>
  <si>
    <t>CREATE</t>
  </si>
  <si>
    <t>drop_db</t>
    <phoneticPr fontId="1" type="noConversion"/>
  </si>
  <si>
    <t>FLDTYPE</t>
  </si>
  <si>
    <t>I</t>
    <phoneticPr fontId="1" type="noConversion"/>
  </si>
  <si>
    <t>FLDNAME</t>
  </si>
  <si>
    <t>id</t>
  </si>
  <si>
    <t>掉落类型
1、独立概率
2、圆桌概率(非溢出算法)</t>
    <phoneticPr fontId="1" type="noConversion"/>
  </si>
  <si>
    <t>FLDTYPE</t>
    <phoneticPr fontId="1" type="noConversion"/>
  </si>
  <si>
    <t>I</t>
    <phoneticPr fontId="1" type="noConversion"/>
  </si>
  <si>
    <t>B</t>
    <phoneticPr fontId="1" type="noConversion"/>
  </si>
  <si>
    <t>FLDNAME</t>
    <phoneticPr fontId="1" type="noConversion"/>
  </si>
  <si>
    <t>id</t>
    <phoneticPr fontId="1" type="noConversion"/>
  </si>
  <si>
    <t>DATA</t>
    <phoneticPr fontId="1" type="noConversion"/>
  </si>
  <si>
    <t>CLOSE</t>
    <phoneticPr fontId="1" type="noConversion"/>
  </si>
  <si>
    <t>FINISH</t>
    <phoneticPr fontId="1" type="noConversion"/>
  </si>
  <si>
    <t>I</t>
    <phoneticPr fontId="1" type="noConversion"/>
  </si>
  <si>
    <t>icon</t>
    <phoneticPr fontId="1" type="noConversion"/>
  </si>
  <si>
    <t>S</t>
    <phoneticPr fontId="1" type="noConversion"/>
  </si>
  <si>
    <t>desc</t>
    <phoneticPr fontId="1" type="noConversion"/>
  </si>
  <si>
    <t>name</t>
    <phoneticPr fontId="1" type="noConversion"/>
  </si>
  <si>
    <t>type</t>
    <phoneticPr fontId="1" type="noConversion"/>
  </si>
  <si>
    <t>lottery_db</t>
    <phoneticPr fontId="1" type="noConversion"/>
  </si>
  <si>
    <t>drop1</t>
    <phoneticPr fontId="1" type="noConversion"/>
  </si>
  <si>
    <t>drop2</t>
    <phoneticPr fontId="1" type="noConversion"/>
  </si>
  <si>
    <t>drop3</t>
    <phoneticPr fontId="1" type="noConversion"/>
  </si>
  <si>
    <t>IT</t>
    <phoneticPr fontId="1" type="noConversion"/>
  </si>
  <si>
    <t>id;min;max;rate</t>
    <phoneticPr fontId="1" type="noConversion"/>
  </si>
  <si>
    <t>drop4</t>
    <phoneticPr fontId="1" type="noConversion"/>
  </si>
  <si>
    <t>掉落2</t>
    <phoneticPr fontId="1" type="noConversion"/>
  </si>
  <si>
    <t>掉落3</t>
    <phoneticPr fontId="1" type="noConversion"/>
  </si>
  <si>
    <t>掉落4</t>
    <phoneticPr fontId="1" type="noConversion"/>
  </si>
  <si>
    <t>items</t>
    <phoneticPr fontId="1" type="noConversion"/>
  </si>
  <si>
    <t>T</t>
    <phoneticPr fontId="1" type="noConversion"/>
  </si>
  <si>
    <t>是否重置</t>
    <phoneticPr fontId="1" type="noConversion"/>
  </si>
  <si>
    <t>reset</t>
    <phoneticPr fontId="1" type="noConversion"/>
  </si>
  <si>
    <t>I</t>
    <phoneticPr fontId="1" type="noConversion"/>
  </si>
  <si>
    <t>开关</t>
    <phoneticPr fontId="1" type="noConversion"/>
  </si>
  <si>
    <t>switchId</t>
    <phoneticPr fontId="1" type="noConversion"/>
  </si>
  <si>
    <t>switch_db</t>
    <phoneticPr fontId="1" type="noConversion"/>
  </si>
  <si>
    <t>I</t>
    <phoneticPr fontId="1" type="noConversion"/>
  </si>
  <si>
    <t>value</t>
    <phoneticPr fontId="1" type="noConversion"/>
  </si>
  <si>
    <t>duration</t>
    <phoneticPr fontId="1" type="noConversion"/>
  </si>
  <si>
    <t>B</t>
    <phoneticPr fontId="1" type="noConversion"/>
  </si>
  <si>
    <t>active</t>
    <phoneticPr fontId="1" type="noConversion"/>
  </si>
  <si>
    <t>起始是否激活状态</t>
    <phoneticPr fontId="1" type="noConversion"/>
  </si>
  <si>
    <t xml:space="preserve"> </t>
    <phoneticPr fontId="1" type="noConversion"/>
  </si>
  <si>
    <t>S</t>
    <phoneticPr fontId="1" type="noConversion"/>
  </si>
  <si>
    <t>count</t>
    <phoneticPr fontId="1" type="noConversion"/>
  </si>
  <si>
    <t>—&gt; 天数
—&gt; 起始时间</t>
    <phoneticPr fontId="1" type="noConversion"/>
  </si>
  <si>
    <t>1、按天间隔更新
2、时段限制</t>
    <phoneticPr fontId="1" type="noConversion"/>
  </si>
  <si>
    <t>持续时间（秒）
(类型1无用)</t>
    <phoneticPr fontId="1" type="noConversion"/>
  </si>
  <si>
    <t>开关次数
(-1无限)</t>
    <phoneticPr fontId="1" type="noConversion"/>
  </si>
  <si>
    <t>物品id</t>
    <phoneticPr fontId="1" type="noConversion"/>
  </si>
  <si>
    <t>S</t>
    <phoneticPr fontId="1" type="noConversion"/>
  </si>
  <si>
    <t>icon</t>
    <phoneticPr fontId="1" type="noConversion"/>
  </si>
  <si>
    <t>wrapId</t>
    <phoneticPr fontId="1" type="noConversion"/>
  </si>
  <si>
    <t>switchId</t>
    <phoneticPr fontId="1" type="noConversion"/>
  </si>
  <si>
    <t>S</t>
    <phoneticPr fontId="1" type="noConversion"/>
  </si>
  <si>
    <t>开关</t>
    <phoneticPr fontId="1" type="noConversion"/>
  </si>
  <si>
    <t>IT</t>
    <phoneticPr fontId="1" type="noConversion"/>
  </si>
  <si>
    <t>消耗物品;数量</t>
    <phoneticPr fontId="1" type="noConversion"/>
  </si>
  <si>
    <t>标题图片</t>
    <phoneticPr fontId="1" type="noConversion"/>
  </si>
  <si>
    <t>drop5</t>
  </si>
  <si>
    <t>drop6</t>
  </si>
  <si>
    <t>掉落5</t>
  </si>
  <si>
    <t>掉落6</t>
  </si>
  <si>
    <t>可自主扩展</t>
    <phoneticPr fontId="1" type="noConversion"/>
  </si>
  <si>
    <t>物品id;数量</t>
    <phoneticPr fontId="1" type="noConversion"/>
  </si>
  <si>
    <t>IT</t>
    <phoneticPr fontId="1" type="noConversion"/>
  </si>
  <si>
    <t>pay_db</t>
    <phoneticPr fontId="8" type="noConversion"/>
  </si>
  <si>
    <t>sort</t>
    <phoneticPr fontId="1" type="noConversion"/>
  </si>
  <si>
    <t>I</t>
    <phoneticPr fontId="1" type="noConversion"/>
  </si>
  <si>
    <t>排序：越大的越靠前</t>
    <phoneticPr fontId="1" type="noConversion"/>
  </si>
  <si>
    <t>{{物品,数量},{物品,数量},{物品,数量},...}</t>
  </si>
  <si>
    <t>I</t>
    <phoneticPr fontId="1" type="noConversion"/>
  </si>
  <si>
    <t>gid</t>
    <phoneticPr fontId="1" type="noConversion"/>
  </si>
  <si>
    <t>drop_id1</t>
    <phoneticPr fontId="1" type="noConversion"/>
  </si>
  <si>
    <t>drop_min1</t>
    <phoneticPr fontId="1" type="noConversion"/>
  </si>
  <si>
    <t>drop_max1</t>
    <phoneticPr fontId="1" type="noConversion"/>
  </si>
  <si>
    <t>drop_rate1</t>
    <phoneticPr fontId="1" type="noConversion"/>
  </si>
  <si>
    <t>drop_id2</t>
  </si>
  <si>
    <t>drop_min2</t>
  </si>
  <si>
    <t>drop_max2</t>
  </si>
  <si>
    <t>drop_rate2</t>
  </si>
  <si>
    <t>drop_id3</t>
  </si>
  <si>
    <t>drop_min3</t>
  </si>
  <si>
    <t>drop_max3</t>
  </si>
  <si>
    <t>drop_rate3</t>
  </si>
  <si>
    <t>drop_id4</t>
  </si>
  <si>
    <t>drop_min4</t>
  </si>
  <si>
    <t>drop_max4</t>
  </si>
  <si>
    <t>drop_rate4</t>
  </si>
  <si>
    <t>drop_id5</t>
  </si>
  <si>
    <t>drop_min5</t>
  </si>
  <si>
    <t>drop_max5</t>
  </si>
  <si>
    <t>drop_rate5</t>
  </si>
  <si>
    <t>drop_id6</t>
  </si>
  <si>
    <t>drop_min6</t>
  </si>
  <si>
    <t>drop_max6</t>
  </si>
  <si>
    <t>drop_rate6</t>
  </si>
  <si>
    <t>drop_id7</t>
  </si>
  <si>
    <t>drop_min7</t>
  </si>
  <si>
    <t>drop_max7</t>
  </si>
  <si>
    <t>drop_rate7</t>
  </si>
  <si>
    <t>drop_id8</t>
  </si>
  <si>
    <t>drop_min8</t>
  </si>
  <si>
    <t>drop_max8</t>
  </si>
  <si>
    <t>drop_rate8</t>
  </si>
  <si>
    <t>drop_id9</t>
  </si>
  <si>
    <t>drop_min9</t>
  </si>
  <si>
    <t>drop_max9</t>
  </si>
  <si>
    <t>drop_rate9</t>
  </si>
  <si>
    <t>可备注，其他内容在掉落_design里修改</t>
    <phoneticPr fontId="1" type="noConversion"/>
  </si>
  <si>
    <t>{{1000,1},{1001,2},{1002,3}}</t>
    <phoneticPr fontId="1" type="noConversion"/>
  </si>
  <si>
    <t>true</t>
    <phoneticPr fontId="1" type="noConversion"/>
  </si>
  <si>
    <t>I</t>
    <phoneticPr fontId="1" type="noConversion"/>
  </si>
  <si>
    <t>gid</t>
    <phoneticPr fontId="1" type="noConversion"/>
  </si>
  <si>
    <t>quality</t>
    <phoneticPr fontId="1" type="noConversion"/>
  </si>
  <si>
    <t>I</t>
    <phoneticPr fontId="1" type="noConversion"/>
  </si>
  <si>
    <t>sort</t>
    <phoneticPr fontId="1" type="noConversion"/>
  </si>
  <si>
    <t>排序(大的越前)</t>
    <phoneticPr fontId="1" type="noConversion"/>
  </si>
  <si>
    <t>costItem</t>
    <phoneticPr fontId="1" type="noConversion"/>
  </si>
  <si>
    <t>item</t>
    <phoneticPr fontId="1" type="noConversion"/>
  </si>
  <si>
    <t>每日签到奖励</t>
    <phoneticPr fontId="1" type="noConversion"/>
  </si>
  <si>
    <t>天数</t>
    <phoneticPr fontId="1" type="noConversion"/>
  </si>
  <si>
    <t>奖励ID</t>
    <phoneticPr fontId="1" type="noConversion"/>
  </si>
  <si>
    <t>奖励数量</t>
    <phoneticPr fontId="1" type="noConversion"/>
  </si>
  <si>
    <t>日常任务开关</t>
    <phoneticPr fontId="1" type="noConversion"/>
  </si>
  <si>
    <t>关卡掉落</t>
    <phoneticPr fontId="1" type="noConversion"/>
  </si>
  <si>
    <t>小怪</t>
    <phoneticPr fontId="1" type="noConversion"/>
  </si>
  <si>
    <t>drop_id10</t>
  </si>
  <si>
    <t>drop_min10</t>
  </si>
  <si>
    <t>drop_max10</t>
  </si>
  <si>
    <t>drop_rate10</t>
  </si>
  <si>
    <t>drop_id11</t>
  </si>
  <si>
    <t>drop_min11</t>
  </si>
  <si>
    <t>drop_max11</t>
  </si>
  <si>
    <t>drop_rate11</t>
  </si>
  <si>
    <t>drop_id12</t>
  </si>
  <si>
    <t>drop_min12</t>
  </si>
  <si>
    <t>drop_max12</t>
  </si>
  <si>
    <t>drop_rate12</t>
  </si>
  <si>
    <t>drop_id13</t>
  </si>
  <si>
    <t>drop_min13</t>
  </si>
  <si>
    <t>drop_max13</t>
  </si>
  <si>
    <t>drop_rate13</t>
  </si>
  <si>
    <t>drop_id14</t>
  </si>
  <si>
    <t>drop_min14</t>
  </si>
  <si>
    <t>drop_max14</t>
  </si>
  <si>
    <t>drop_rate14</t>
  </si>
  <si>
    <t>drop_id15</t>
  </si>
  <si>
    <t>drop_min15</t>
  </si>
  <si>
    <t>drop_max15</t>
  </si>
  <si>
    <t>drop_rate15</t>
  </si>
  <si>
    <t>drop_id16</t>
  </si>
  <si>
    <t>drop_min16</t>
  </si>
  <si>
    <t>drop_max16</t>
  </si>
  <si>
    <t>drop_rate16</t>
  </si>
  <si>
    <t>drop_id17</t>
  </si>
  <si>
    <t>drop_min17</t>
  </si>
  <si>
    <t>drop_max17</t>
  </si>
  <si>
    <t>drop_rate17</t>
  </si>
  <si>
    <t>drop_id18</t>
  </si>
  <si>
    <t>drop_min18</t>
  </si>
  <si>
    <t>drop_max18</t>
  </si>
  <si>
    <t>drop_rate18</t>
  </si>
  <si>
    <t>drop_id19</t>
  </si>
  <si>
    <t>drop_min19</t>
  </si>
  <si>
    <t>drop_max19</t>
  </si>
  <si>
    <t>drop_rate19</t>
  </si>
  <si>
    <t>drop_id20</t>
  </si>
  <si>
    <t>drop_min20</t>
  </si>
  <si>
    <t>drop_max20</t>
  </si>
  <si>
    <t>drop_rate20</t>
  </si>
  <si>
    <t>drop7</t>
  </si>
  <si>
    <t>drop8</t>
  </si>
  <si>
    <t>drop9</t>
  </si>
  <si>
    <t>drop10</t>
  </si>
  <si>
    <t>drop11</t>
  </si>
  <si>
    <t>掉落7</t>
  </si>
  <si>
    <t>掉落8</t>
  </si>
  <si>
    <t>掉落9</t>
  </si>
  <si>
    <t>掉落10</t>
  </si>
  <si>
    <t>掉落11</t>
  </si>
  <si>
    <t>装备</t>
    <phoneticPr fontId="1" type="noConversion"/>
  </si>
  <si>
    <t>金币</t>
    <phoneticPr fontId="1" type="noConversion"/>
  </si>
  <si>
    <t>蓝色核心</t>
    <phoneticPr fontId="1" type="noConversion"/>
  </si>
  <si>
    <t>S</t>
    <phoneticPr fontId="1" type="noConversion"/>
  </si>
  <si>
    <t>iconBig</t>
    <phoneticPr fontId="1" type="noConversion"/>
  </si>
  <si>
    <t>大图标</t>
    <phoneticPr fontId="1" type="noConversion"/>
  </si>
  <si>
    <t>bgImage</t>
    <phoneticPr fontId="1" type="noConversion"/>
  </si>
  <si>
    <t>结算抽奖测试</t>
    <phoneticPr fontId="1" type="noConversion"/>
  </si>
  <si>
    <t>结算抽奖</t>
    <phoneticPr fontId="1" type="noConversion"/>
  </si>
  <si>
    <t>展示</t>
    <phoneticPr fontId="1" type="noConversion"/>
  </si>
  <si>
    <t>true</t>
    <phoneticPr fontId="1" type="noConversion"/>
  </si>
  <si>
    <t>抽奖</t>
    <phoneticPr fontId="1" type="noConversion"/>
  </si>
  <si>
    <t>金币</t>
    <phoneticPr fontId="1" type="noConversion"/>
  </si>
  <si>
    <t>{{40001,1}}</t>
    <phoneticPr fontId="1" type="noConversion"/>
  </si>
  <si>
    <t>true</t>
    <phoneticPr fontId="1" type="noConversion"/>
  </si>
  <si>
    <t>S</t>
    <phoneticPr fontId="1" type="noConversion"/>
  </si>
  <si>
    <t>弹出礼包界面的大icon</t>
    <phoneticPr fontId="1" type="noConversion"/>
  </si>
  <si>
    <t>伽罗</t>
    <phoneticPr fontId="1" type="noConversion"/>
  </si>
  <si>
    <t>小心</t>
    <phoneticPr fontId="1" type="noConversion"/>
  </si>
  <si>
    <t>商城礼包</t>
    <phoneticPr fontId="1" type="noConversion"/>
  </si>
  <si>
    <t>特殊关卡掉落</t>
    <phoneticPr fontId="1" type="noConversion"/>
  </si>
  <si>
    <t>图标</t>
    <phoneticPr fontId="1" type="noConversion"/>
  </si>
  <si>
    <t>S</t>
  </si>
  <si>
    <t>name</t>
  </si>
  <si>
    <t>礼包</t>
    <phoneticPr fontId="1" type="noConversion"/>
  </si>
  <si>
    <t>限时礼包开关</t>
    <phoneticPr fontId="1" type="noConversion"/>
  </si>
  <si>
    <t>0:0</t>
    <phoneticPr fontId="1" type="noConversion"/>
  </si>
  <si>
    <t>false</t>
    <phoneticPr fontId="1" type="noConversion"/>
  </si>
  <si>
    <t>推送礼包1</t>
    <phoneticPr fontId="1" type="noConversion"/>
  </si>
  <si>
    <t>推送礼包2</t>
    <phoneticPr fontId="1" type="noConversion"/>
  </si>
  <si>
    <t>主界面推送礼包1</t>
    <phoneticPr fontId="1" type="noConversion"/>
  </si>
  <si>
    <t>随机礼包1</t>
    <phoneticPr fontId="1" type="noConversion"/>
  </si>
  <si>
    <t>随机礼包2</t>
    <phoneticPr fontId="1" type="noConversion"/>
  </si>
  <si>
    <t>99</t>
    <phoneticPr fontId="1" type="noConversion"/>
  </si>
  <si>
    <t>主角礼包</t>
    <phoneticPr fontId="1" type="noConversion"/>
  </si>
  <si>
    <t>1</t>
    <phoneticPr fontId="1" type="noConversion"/>
  </si>
  <si>
    <t>S</t>
    <phoneticPr fontId="1" type="noConversion"/>
  </si>
  <si>
    <t>主界面显示图标</t>
    <phoneticPr fontId="1" type="noConversion"/>
  </si>
  <si>
    <t>desc2</t>
    <phoneticPr fontId="1" type="noConversion"/>
  </si>
  <si>
    <t>S</t>
    <phoneticPr fontId="1" type="noConversion"/>
  </si>
  <si>
    <t>礼包描述</t>
    <phoneticPr fontId="1" type="noConversion"/>
  </si>
  <si>
    <t>商店内的描述</t>
    <phoneticPr fontId="1" type="noConversion"/>
  </si>
  <si>
    <t>I</t>
    <phoneticPr fontId="1" type="noConversion"/>
  </si>
  <si>
    <t>dialogStyle</t>
    <phoneticPr fontId="1" type="noConversion"/>
  </si>
  <si>
    <t>弹窗类型</t>
    <phoneticPr fontId="1" type="noConversion"/>
  </si>
  <si>
    <t>1000;20</t>
    <phoneticPr fontId="1" type="noConversion"/>
  </si>
  <si>
    <t>VIP开关</t>
    <phoneticPr fontId="1" type="noConversion"/>
  </si>
  <si>
    <t>I</t>
    <phoneticPr fontId="1" type="noConversion"/>
  </si>
  <si>
    <t>payId</t>
    <phoneticPr fontId="1" type="noConversion"/>
  </si>
  <si>
    <t>快速消费ID</t>
    <phoneticPr fontId="1" type="noConversion"/>
  </si>
  <si>
    <t>PRELOAD</t>
  </si>
  <si>
    <t>..\tools</t>
  </si>
  <si>
    <t>format_cfg.bat</t>
  </si>
  <si>
    <t>.\lua</t>
    <phoneticPr fontId="1" type="noConversion"/>
  </si>
  <si>
    <t>DATA</t>
    <phoneticPr fontId="1" type="noConversion"/>
  </si>
  <si>
    <t>true</t>
    <phoneticPr fontId="1" type="noConversion"/>
  </si>
  <si>
    <t>抽奖展示</t>
    <phoneticPr fontId="1" type="noConversion"/>
  </si>
  <si>
    <t>购买抽奖</t>
    <phoneticPr fontId="1" type="noConversion"/>
  </si>
  <si>
    <t>{{40002,1}}</t>
    <phoneticPr fontId="1" type="noConversion"/>
  </si>
  <si>
    <t>{{40003,1}}</t>
    <phoneticPr fontId="1" type="noConversion"/>
  </si>
  <si>
    <t>抽奖</t>
    <phoneticPr fontId="1" type="noConversion"/>
  </si>
  <si>
    <t>特殊</t>
    <phoneticPr fontId="1" type="noConversion"/>
  </si>
  <si>
    <t>S</t>
    <phoneticPr fontId="1" type="noConversion"/>
  </si>
  <si>
    <t>view</t>
    <phoneticPr fontId="1" type="noConversion"/>
  </si>
  <si>
    <t>图片展示</t>
    <phoneticPr fontId="1" type="noConversion"/>
  </si>
  <si>
    <t>包装Id
（跟类型关联3,4）</t>
    <phoneticPr fontId="1" type="noConversion"/>
  </si>
  <si>
    <t>dropType</t>
  </si>
  <si>
    <t>dropView</t>
  </si>
  <si>
    <t>Indep/Some/FabBox</t>
  </si>
  <si>
    <t>Indep/Some/FabDanjia</t>
    <phoneticPr fontId="1" type="noConversion"/>
  </si>
  <si>
    <t>类型:
0:人民币(无法持有)
1:货币，2:物品
3:掉落，4:抽奖</t>
    <phoneticPr fontId="1" type="noConversion"/>
  </si>
  <si>
    <t>抽奖</t>
    <phoneticPr fontId="1" type="noConversion"/>
  </si>
  <si>
    <t xml:space="preserve">品质
0.无品质
1.普通
2.绿色
3.蓝色
4.紫色
</t>
    <phoneticPr fontId="1" type="noConversion"/>
  </si>
  <si>
    <t>Indep/Some/FabGold</t>
    <phoneticPr fontId="1" type="noConversion"/>
  </si>
  <si>
    <t>默认宝箱外观</t>
    <phoneticPr fontId="1" type="noConversion"/>
  </si>
  <si>
    <t>I</t>
    <phoneticPr fontId="1" type="noConversion"/>
  </si>
  <si>
    <t>valTime</t>
    <phoneticPr fontId="1" type="noConversion"/>
  </si>
  <si>
    <t>有效时间s</t>
    <phoneticPr fontId="1" type="noConversion"/>
  </si>
  <si>
    <t>0、立即获取
1、自由拾取</t>
    <phoneticPr fontId="1" type="noConversion"/>
  </si>
  <si>
    <t>CLOSE</t>
    <phoneticPr fontId="1" type="noConversion"/>
  </si>
  <si>
    <t>FINISH</t>
    <phoneticPr fontId="1" type="noConversion"/>
  </si>
  <si>
    <t>drop_view_db</t>
    <phoneticPr fontId="1" type="noConversion"/>
  </si>
  <si>
    <t>S</t>
    <phoneticPr fontId="1" type="noConversion"/>
  </si>
  <si>
    <t>tipImage</t>
    <phoneticPr fontId="1" type="noConversion"/>
  </si>
  <si>
    <t>提示图片</t>
    <phoneticPr fontId="1" type="noConversion"/>
  </si>
  <si>
    <t>模型外观</t>
    <phoneticPr fontId="1" type="noConversion"/>
  </si>
  <si>
    <t>DATA</t>
  </si>
  <si>
    <t>钻石</t>
  </si>
  <si>
    <t>%s钻石</t>
  </si>
  <si>
    <t>金币</t>
  </si>
  <si>
    <t>%s金币</t>
  </si>
  <si>
    <t>%s体力</t>
  </si>
  <si>
    <t>元</t>
  </si>
  <si>
    <t>物品外观</t>
    <phoneticPr fontId="1" type="noConversion"/>
  </si>
  <si>
    <t>S</t>
    <phoneticPr fontId="1" type="noConversion"/>
  </si>
  <si>
    <t>switch</t>
    <phoneticPr fontId="1" type="noConversion"/>
  </si>
  <si>
    <t>开关</t>
    <phoneticPr fontId="1" type="noConversion"/>
  </si>
  <si>
    <t>S</t>
    <phoneticPr fontId="1" type="noConversion"/>
  </si>
  <si>
    <t>背景图片</t>
    <phoneticPr fontId="1" type="noConversion"/>
  </si>
  <si>
    <t>quality</t>
    <phoneticPr fontId="1" type="noConversion"/>
  </si>
  <si>
    <t>品质</t>
    <phoneticPr fontId="1" type="noConversion"/>
  </si>
  <si>
    <t>属性</t>
    <phoneticPr fontId="1" type="noConversion"/>
  </si>
  <si>
    <t>Text/q4</t>
  </si>
  <si>
    <t>Text/attr_huo_1</t>
    <phoneticPr fontId="1" type="noConversion"/>
  </si>
  <si>
    <t>Text/attr_mu_1</t>
    <phoneticPr fontId="1" type="noConversion"/>
  </si>
  <si>
    <t>attr</t>
    <phoneticPr fontId="1" type="noConversion"/>
  </si>
  <si>
    <t>Icon/gift1</t>
    <phoneticPr fontId="1" type="noConversion"/>
  </si>
  <si>
    <t>Icon/item2</t>
    <phoneticPr fontId="1" type="noConversion"/>
  </si>
  <si>
    <t>Text/q2</t>
    <phoneticPr fontId="1" type="noConversion"/>
  </si>
  <si>
    <t>Icon/item3</t>
    <phoneticPr fontId="1" type="noConversion"/>
  </si>
  <si>
    <t>Icon/item4</t>
    <phoneticPr fontId="1" type="noConversion"/>
  </si>
  <si>
    <t>生命药水</t>
    <phoneticPr fontId="1" type="noConversion"/>
  </si>
  <si>
    <t>复活石</t>
    <phoneticPr fontId="1" type="noConversion"/>
  </si>
  <si>
    <t>Icon/gift4</t>
    <phoneticPr fontId="1" type="noConversion"/>
  </si>
  <si>
    <t>Icon/gift2</t>
    <phoneticPr fontId="1" type="noConversion"/>
  </si>
  <si>
    <t>Icon/item5</t>
    <phoneticPr fontId="1" type="noConversion"/>
  </si>
  <si>
    <t>Icon/item6</t>
    <phoneticPr fontId="1" type="noConversion"/>
  </si>
  <si>
    <t>Icon/item7</t>
    <phoneticPr fontId="1" type="noConversion"/>
  </si>
  <si>
    <t>角色碎片</t>
    <phoneticPr fontId="1" type="noConversion"/>
  </si>
  <si>
    <t>时装碎片</t>
    <phoneticPr fontId="1" type="noConversion"/>
  </si>
  <si>
    <t>道具碎片</t>
    <phoneticPr fontId="1" type="noConversion"/>
  </si>
  <si>
    <t>战斗失败时获得一次重生。</t>
    <phoneticPr fontId="1" type="noConversion"/>
  </si>
  <si>
    <t>恢复100%的生命值。</t>
    <phoneticPr fontId="1" type="noConversion"/>
  </si>
  <si>
    <t>在兑换商城中兑换道具。</t>
    <phoneticPr fontId="1" type="noConversion"/>
  </si>
  <si>
    <t>在兑换商城中兑换主角。</t>
    <phoneticPr fontId="1" type="noConversion"/>
  </si>
  <si>
    <t>在兑换商城中兑换时装。</t>
    <phoneticPr fontId="1" type="noConversion"/>
  </si>
  <si>
    <t>森美拉</t>
    <phoneticPr fontId="1" type="noConversion"/>
  </si>
  <si>
    <t>吉亚多</t>
    <phoneticPr fontId="1" type="noConversion"/>
  </si>
  <si>
    <t>索里</t>
    <phoneticPr fontId="1" type="noConversion"/>
  </si>
  <si>
    <t>卡维力</t>
    <phoneticPr fontId="1" type="noConversion"/>
  </si>
  <si>
    <t>加比纳</t>
    <phoneticPr fontId="1" type="noConversion"/>
  </si>
  <si>
    <t>雷古曼</t>
    <phoneticPr fontId="1" type="noConversion"/>
  </si>
  <si>
    <t>玩家可进行操作的角色。</t>
    <phoneticPr fontId="1" type="noConversion"/>
  </si>
  <si>
    <t>Icon/head1</t>
    <phoneticPr fontId="1" type="noConversion"/>
  </si>
  <si>
    <t>Icon/head2</t>
  </si>
  <si>
    <t>Icon/head3</t>
  </si>
  <si>
    <t>Icon/head4</t>
  </si>
  <si>
    <t>Icon/head5</t>
  </si>
  <si>
    <t>Icon/head6</t>
  </si>
  <si>
    <t>Icon/head7</t>
  </si>
  <si>
    <t>Icon/head8</t>
  </si>
  <si>
    <t>Icon/head9</t>
  </si>
  <si>
    <t>Icon/head10</t>
  </si>
  <si>
    <t>Icon/head11</t>
  </si>
  <si>
    <t>Icon/head12</t>
  </si>
  <si>
    <t>Icon/head14</t>
  </si>
  <si>
    <t>Icon/head15</t>
  </si>
  <si>
    <t>Icon/head16</t>
  </si>
  <si>
    <t>Icon/head17</t>
  </si>
  <si>
    <t>Icon/head18</t>
  </si>
  <si>
    <t>森美拉机甲</t>
    <phoneticPr fontId="1" type="noConversion"/>
  </si>
  <si>
    <t>变身成为机甲进行战斗。</t>
    <phoneticPr fontId="1" type="noConversion"/>
  </si>
  <si>
    <t>Icon/rob1</t>
    <phoneticPr fontId="1" type="noConversion"/>
  </si>
  <si>
    <t>Icon/rob6</t>
    <phoneticPr fontId="1" type="noConversion"/>
  </si>
  <si>
    <t>Icon/rob5</t>
    <phoneticPr fontId="1" type="noConversion"/>
  </si>
  <si>
    <t>Icon/rob4</t>
    <phoneticPr fontId="1" type="noConversion"/>
  </si>
  <si>
    <t>Icon/rob3</t>
    <phoneticPr fontId="1" type="noConversion"/>
  </si>
  <si>
    <t>Icon/rob2</t>
    <phoneticPr fontId="1" type="noConversion"/>
  </si>
  <si>
    <t>吉亚多</t>
    <phoneticPr fontId="1" type="noConversion"/>
  </si>
  <si>
    <t>吉亚多机甲</t>
    <phoneticPr fontId="1" type="noConversion"/>
  </si>
  <si>
    <t>索里</t>
    <phoneticPr fontId="1" type="noConversion"/>
  </si>
  <si>
    <t>索里机甲</t>
    <phoneticPr fontId="1" type="noConversion"/>
  </si>
  <si>
    <t>卡维力</t>
    <phoneticPr fontId="1" type="noConversion"/>
  </si>
  <si>
    <t>卡维力机甲</t>
    <phoneticPr fontId="1" type="noConversion"/>
  </si>
  <si>
    <t>加比纳</t>
    <phoneticPr fontId="1" type="noConversion"/>
  </si>
  <si>
    <t>加比纳机甲</t>
    <phoneticPr fontId="1" type="noConversion"/>
  </si>
  <si>
    <t>雷古曼机甲</t>
    <phoneticPr fontId="1" type="noConversion"/>
  </si>
  <si>
    <t>Text/q4</t>
    <phoneticPr fontId="1" type="noConversion"/>
  </si>
  <si>
    <t>Text/q3</t>
    <phoneticPr fontId="1" type="noConversion"/>
  </si>
  <si>
    <t>Text/q3</t>
    <phoneticPr fontId="1" type="noConversion"/>
  </si>
  <si>
    <t>2200;1</t>
    <phoneticPr fontId="1" type="noConversion"/>
  </si>
  <si>
    <t>2300;1</t>
    <phoneticPr fontId="1" type="noConversion"/>
  </si>
  <si>
    <t>2400;1</t>
    <phoneticPr fontId="1" type="noConversion"/>
  </si>
  <si>
    <t>Icon/head13</t>
    <phoneticPr fontId="1" type="noConversion"/>
  </si>
  <si>
    <t>2100;1</t>
    <phoneticPr fontId="1" type="noConversion"/>
  </si>
  <si>
    <t>2001;1</t>
    <phoneticPr fontId="1" type="noConversion"/>
  </si>
  <si>
    <t>2002;1</t>
    <phoneticPr fontId="1" type="noConversion"/>
  </si>
  <si>
    <t>2101;1</t>
    <phoneticPr fontId="1" type="noConversion"/>
  </si>
  <si>
    <t>2102;1</t>
    <phoneticPr fontId="1" type="noConversion"/>
  </si>
  <si>
    <t>2201;1</t>
    <phoneticPr fontId="1" type="noConversion"/>
  </si>
  <si>
    <t>2301;1</t>
    <phoneticPr fontId="1" type="noConversion"/>
  </si>
  <si>
    <t>2302;1</t>
    <phoneticPr fontId="1" type="noConversion"/>
  </si>
  <si>
    <t>2401;1</t>
    <phoneticPr fontId="1" type="noConversion"/>
  </si>
  <si>
    <t>2402;1</t>
    <phoneticPr fontId="1" type="noConversion"/>
  </si>
  <si>
    <t>2501;1</t>
    <phoneticPr fontId="1" type="noConversion"/>
  </si>
  <si>
    <t>2502;1</t>
    <phoneticPr fontId="1" type="noConversion"/>
  </si>
  <si>
    <t>2500;1</t>
    <phoneticPr fontId="1" type="noConversion"/>
  </si>
  <si>
    <t>2503;1</t>
    <phoneticPr fontId="1" type="noConversion"/>
  </si>
  <si>
    <t>Icon/lock</t>
    <phoneticPr fontId="1" type="noConversion"/>
  </si>
  <si>
    <t>哈巴龙</t>
  </si>
  <si>
    <t>敌敌龙</t>
  </si>
  <si>
    <t>阴影龙</t>
  </si>
  <si>
    <t>水怪龙</t>
  </si>
  <si>
    <t>旋风龙</t>
  </si>
  <si>
    <t>黑灵龙</t>
  </si>
  <si>
    <t>地灰龙</t>
  </si>
  <si>
    <t>巫术龙</t>
  </si>
  <si>
    <t>炫冰龙</t>
  </si>
  <si>
    <t>火柴龙</t>
    <phoneticPr fontId="1" type="noConversion"/>
  </si>
  <si>
    <t>协助玩家进行战斗的宠物。</t>
    <phoneticPr fontId="1" type="noConversion"/>
  </si>
  <si>
    <t>Text/q2</t>
    <phoneticPr fontId="1" type="noConversion"/>
  </si>
  <si>
    <t>Text/q1</t>
    <phoneticPr fontId="1" type="noConversion"/>
  </si>
  <si>
    <t>Text/attr_shui_1</t>
    <phoneticPr fontId="1" type="noConversion"/>
  </si>
  <si>
    <t>Text/attr_tu_1</t>
    <phoneticPr fontId="1" type="noConversion"/>
  </si>
  <si>
    <t>Text/attr_jin_1</t>
    <phoneticPr fontId="1" type="noConversion"/>
  </si>
  <si>
    <t>3000;1</t>
    <phoneticPr fontId="1" type="noConversion"/>
  </si>
  <si>
    <t>3001;1</t>
    <phoneticPr fontId="1" type="noConversion"/>
  </si>
  <si>
    <t>3002;1</t>
    <phoneticPr fontId="1" type="noConversion"/>
  </si>
  <si>
    <t>3003;1</t>
    <phoneticPr fontId="1" type="noConversion"/>
  </si>
  <si>
    <t>3004;1</t>
    <phoneticPr fontId="1" type="noConversion"/>
  </si>
  <si>
    <t>3005;1</t>
    <phoneticPr fontId="1" type="noConversion"/>
  </si>
  <si>
    <t>3006;1</t>
    <phoneticPr fontId="1" type="noConversion"/>
  </si>
  <si>
    <t>3007;1</t>
    <phoneticPr fontId="1" type="noConversion"/>
  </si>
  <si>
    <t>3008;1</t>
    <phoneticPr fontId="1" type="noConversion"/>
  </si>
  <si>
    <t>1000;99</t>
  </si>
  <si>
    <t>1000;199</t>
  </si>
  <si>
    <t>1000;299</t>
  </si>
  <si>
    <t>1000;399</t>
  </si>
  <si>
    <t>1000;499</t>
  </si>
  <si>
    <t>1000;599</t>
  </si>
  <si>
    <t>1000;699</t>
  </si>
  <si>
    <t>Icon/gift2</t>
    <phoneticPr fontId="1" type="noConversion"/>
  </si>
  <si>
    <t>Icon/gift5</t>
    <phoneticPr fontId="1" type="noConversion"/>
  </si>
  <si>
    <t>Icon/gift4</t>
    <phoneticPr fontId="1" type="noConversion"/>
  </si>
  <si>
    <t>3009;1</t>
    <phoneticPr fontId="1" type="noConversion"/>
  </si>
  <si>
    <t>1100;1</t>
    <phoneticPr fontId="1" type="noConversion"/>
  </si>
  <si>
    <t>1101;1</t>
    <phoneticPr fontId="1" type="noConversion"/>
  </si>
  <si>
    <t>60000金币</t>
    <phoneticPr fontId="1" type="noConversion"/>
  </si>
  <si>
    <t>60钻石</t>
    <phoneticPr fontId="1" type="noConversion"/>
  </si>
  <si>
    <t>170钻石</t>
    <phoneticPr fontId="1" type="noConversion"/>
  </si>
  <si>
    <t>450钻石</t>
    <phoneticPr fontId="1" type="noConversion"/>
  </si>
  <si>
    <t>1000;450</t>
    <phoneticPr fontId="1" type="noConversion"/>
  </si>
  <si>
    <t>6点体力</t>
    <phoneticPr fontId="1" type="noConversion"/>
  </si>
  <si>
    <t>30点体力</t>
    <phoneticPr fontId="1" type="noConversion"/>
  </si>
  <si>
    <t>100点体力</t>
    <phoneticPr fontId="1" type="noConversion"/>
  </si>
  <si>
    <t>1002;6</t>
    <phoneticPr fontId="1" type="noConversion"/>
  </si>
  <si>
    <t>1001;60000</t>
    <phoneticPr fontId="1" type="noConversion"/>
  </si>
  <si>
    <t>Icon/gift3</t>
    <phoneticPr fontId="1" type="noConversion"/>
  </si>
  <si>
    <t>60点体力</t>
    <phoneticPr fontId="1" type="noConversion"/>
  </si>
  <si>
    <t>15点体力</t>
    <phoneticPr fontId="1" type="noConversion"/>
  </si>
  <si>
    <t>1002;15</t>
    <phoneticPr fontId="1" type="noConversion"/>
  </si>
  <si>
    <t>1002;60</t>
    <phoneticPr fontId="1" type="noConversion"/>
  </si>
  <si>
    <t>1000;200</t>
    <phoneticPr fontId="1" type="noConversion"/>
  </si>
  <si>
    <t>1000;66</t>
    <phoneticPr fontId="1" type="noConversion"/>
  </si>
  <si>
    <t>少量钻石礼盒</t>
  </si>
  <si>
    <t>大量钻石礼盒</t>
    <phoneticPr fontId="1" type="noConversion"/>
  </si>
  <si>
    <t>超值钻石礼盒</t>
    <phoneticPr fontId="1" type="noConversion"/>
  </si>
  <si>
    <t>双倍金币礼盒</t>
    <phoneticPr fontId="1" type="noConversion"/>
  </si>
  <si>
    <t>战斗时装</t>
    <phoneticPr fontId="1" type="noConversion"/>
  </si>
  <si>
    <t>铠甲时装</t>
    <phoneticPr fontId="1" type="noConversion"/>
  </si>
  <si>
    <t>圣斗时装</t>
    <phoneticPr fontId="1" type="noConversion"/>
  </si>
  <si>
    <t>斗龙时装</t>
    <phoneticPr fontId="1" type="noConversion"/>
  </si>
  <si>
    <t>技能:超级护盾</t>
    <phoneticPr fontId="1" type="noConversion"/>
  </si>
  <si>
    <t>技能:高速移动</t>
  </si>
  <si>
    <t>技能:巨大形态</t>
  </si>
  <si>
    <t>技能:替死鬼</t>
  </si>
  <si>
    <t>技能:木灵恢复</t>
  </si>
  <si>
    <t>技能:黑洞爆炸</t>
  </si>
  <si>
    <t>技能:狂暴之力</t>
  </si>
  <si>
    <t>技能:流沙阵法</t>
  </si>
  <si>
    <t>技能:魅惑</t>
  </si>
  <si>
    <t>技能:冰冻四方</t>
  </si>
  <si>
    <t>1000;300</t>
    <phoneticPr fontId="1" type="noConversion"/>
  </si>
  <si>
    <t>1000;150</t>
    <phoneticPr fontId="1" type="noConversion"/>
  </si>
  <si>
    <t>1000;66</t>
    <phoneticPr fontId="1" type="noConversion"/>
  </si>
  <si>
    <t>1000;60</t>
    <phoneticPr fontId="1" type="noConversion"/>
  </si>
  <si>
    <t>1000;120</t>
    <phoneticPr fontId="1" type="noConversion"/>
  </si>
  <si>
    <t>1000;300</t>
    <phoneticPr fontId="1" type="noConversion"/>
  </si>
  <si>
    <t>1000;60</t>
    <phoneticPr fontId="1" type="noConversion"/>
  </si>
  <si>
    <t>1000;280</t>
    <phoneticPr fontId="1" type="noConversion"/>
  </si>
  <si>
    <t>1000;280</t>
    <phoneticPr fontId="1" type="noConversion"/>
  </si>
  <si>
    <t>1000;10</t>
    <phoneticPr fontId="1" type="noConversion"/>
  </si>
  <si>
    <t>吉亚多礼盒</t>
    <phoneticPr fontId="1" type="noConversion"/>
  </si>
  <si>
    <t>索里礼盒</t>
    <phoneticPr fontId="1" type="noConversion"/>
  </si>
  <si>
    <t>卡维力礼盒</t>
    <phoneticPr fontId="1" type="noConversion"/>
  </si>
  <si>
    <t>加比纳礼盒</t>
    <phoneticPr fontId="1" type="noConversion"/>
  </si>
  <si>
    <t>雷古曼礼盒</t>
    <phoneticPr fontId="1" type="noConversion"/>
  </si>
  <si>
    <t>吉亚多超值礼盒</t>
    <phoneticPr fontId="1" type="noConversion"/>
  </si>
  <si>
    <t>卡维力超值礼盒</t>
    <phoneticPr fontId="1" type="noConversion"/>
  </si>
  <si>
    <t>加比纳超值礼盒</t>
    <phoneticPr fontId="1" type="noConversion"/>
  </si>
  <si>
    <t>雷古曼超值礼盒</t>
    <phoneticPr fontId="1" type="noConversion"/>
  </si>
  <si>
    <t>4000;1</t>
    <phoneticPr fontId="1" type="noConversion"/>
  </si>
  <si>
    <t>4001;1</t>
    <phoneticPr fontId="1" type="noConversion"/>
  </si>
  <si>
    <t>4002;1</t>
    <phoneticPr fontId="1" type="noConversion"/>
  </si>
  <si>
    <t>4003;1</t>
    <phoneticPr fontId="1" type="noConversion"/>
  </si>
  <si>
    <t>Icon/mon1</t>
    <phoneticPr fontId="1" type="noConversion"/>
  </si>
  <si>
    <t>Icon/mon2</t>
    <phoneticPr fontId="1" type="noConversion"/>
  </si>
  <si>
    <t>Icon/mon3</t>
  </si>
  <si>
    <t>Icon/mon4</t>
  </si>
  <si>
    <t>Icon/mon5</t>
  </si>
  <si>
    <t>Icon/mon6</t>
  </si>
  <si>
    <t>Icon/mon7</t>
  </si>
  <si>
    <t>Icon/mon8</t>
  </si>
  <si>
    <t>Icon/mon9</t>
  </si>
  <si>
    <t>Icon/mon10</t>
  </si>
  <si>
    <t>Text/shop1</t>
    <phoneticPr fontId="1" type="noConversion"/>
  </si>
  <si>
    <t>Text/shop2</t>
  </si>
  <si>
    <t>Text/shop4</t>
  </si>
  <si>
    <t>Text/shop5</t>
  </si>
  <si>
    <t>Text/shop6</t>
  </si>
  <si>
    <t>Text/shop7</t>
  </si>
  <si>
    <t>Text/shop8</t>
  </si>
  <si>
    <t>Text/shop9</t>
  </si>
  <si>
    <t>Text/shop10</t>
  </si>
  <si>
    <t>Text/shop11</t>
  </si>
  <si>
    <t>Text/shop12</t>
  </si>
  <si>
    <t>Text/shop13</t>
  </si>
  <si>
    <t>Text/shop14</t>
  </si>
  <si>
    <t>索里超值礼盒</t>
    <phoneticPr fontId="1" type="noConversion"/>
  </si>
  <si>
    <t>Text/gift1</t>
    <phoneticPr fontId="1" type="noConversion"/>
  </si>
  <si>
    <t>Text/gift3</t>
  </si>
  <si>
    <t>Text/gift4</t>
  </si>
  <si>
    <t>(type =2时有效)
分组id:
0.默认
1.装备
2.符文
3.道具
4.消耗品</t>
    <phoneticPr fontId="1" type="noConversion"/>
  </si>
  <si>
    <t>主界面推送礼包3</t>
    <phoneticPr fontId="1" type="noConversion"/>
  </si>
  <si>
    <t>menuIcon</t>
    <phoneticPr fontId="1" type="noConversion"/>
  </si>
  <si>
    <t>Button/button18</t>
  </si>
  <si>
    <t>Model/Item/jb/prefab</t>
    <phoneticPr fontId="1" type="noConversion"/>
  </si>
  <si>
    <t>roleId</t>
    <phoneticPr fontId="1" type="noConversion"/>
  </si>
  <si>
    <t>角色id</t>
    <phoneticPr fontId="1" type="noConversion"/>
  </si>
  <si>
    <t>体力</t>
    <phoneticPr fontId="1" type="noConversion"/>
  </si>
  <si>
    <t xml:space="preserve"> </t>
    <phoneticPr fontId="1" type="noConversion"/>
  </si>
  <si>
    <t>titleImage</t>
    <phoneticPr fontId="1" type="noConversion"/>
  </si>
  <si>
    <t>2003;1</t>
    <phoneticPr fontId="1" type="noConversion"/>
  </si>
  <si>
    <t>2103;1</t>
    <phoneticPr fontId="1" type="noConversion"/>
  </si>
  <si>
    <t>2203;1</t>
    <phoneticPr fontId="1" type="noConversion"/>
  </si>
  <si>
    <t>2303;1</t>
    <phoneticPr fontId="1" type="noConversion"/>
  </si>
  <si>
    <t>2403;1</t>
    <phoneticPr fontId="1" type="noConversion"/>
  </si>
  <si>
    <t>0、普通
1、特定（金币、钻石……）
2、纯计费点类型
3、机甲解锁类型</t>
    <phoneticPr fontId="1" type="noConversion"/>
  </si>
  <si>
    <t>%.2f元</t>
    <phoneticPr fontId="1" type="noConversion"/>
  </si>
  <si>
    <t>{{104,1},{622,1}}</t>
    <phoneticPr fontId="1" type="noConversion"/>
  </si>
  <si>
    <t>兑换部分</t>
    <phoneticPr fontId="1" type="noConversion"/>
  </si>
  <si>
    <t>商城部分</t>
    <phoneticPr fontId="1" type="noConversion"/>
  </si>
  <si>
    <t>金币大礼盒</t>
    <phoneticPr fontId="1" type="noConversion"/>
  </si>
  <si>
    <t>45000金币</t>
    <phoneticPr fontId="1" type="noConversion"/>
  </si>
  <si>
    <t>1001;45000</t>
    <phoneticPr fontId="1" type="noConversion"/>
  </si>
  <si>
    <t>1001;45000</t>
    <phoneticPr fontId="1" type="noConversion"/>
  </si>
  <si>
    <t>炫冰龙礼盒</t>
    <phoneticPr fontId="1" type="noConversion"/>
  </si>
  <si>
    <t>阴影龙礼盒</t>
    <phoneticPr fontId="1" type="noConversion"/>
  </si>
  <si>
    <t>吉亚多礼盒</t>
    <phoneticPr fontId="14" type="noConversion"/>
  </si>
  <si>
    <t>卡维力礼盒</t>
    <phoneticPr fontId="14" type="noConversion"/>
  </si>
  <si>
    <t>加比纳礼盒</t>
    <phoneticPr fontId="14" type="noConversion"/>
  </si>
  <si>
    <t>雷古曼礼盒</t>
    <phoneticPr fontId="14" type="noConversion"/>
  </si>
  <si>
    <t>超值道具礼盒</t>
    <phoneticPr fontId="1" type="noConversion"/>
  </si>
  <si>
    <t>新手礼盒</t>
    <phoneticPr fontId="1" type="noConversion"/>
  </si>
  <si>
    <t>三星过关奖励</t>
    <phoneticPr fontId="14" type="noConversion"/>
  </si>
  <si>
    <t>旋风龙礼盒</t>
    <phoneticPr fontId="14" type="noConversion"/>
  </si>
  <si>
    <t>炫酷时装礼盒</t>
    <phoneticPr fontId="14" type="noConversion"/>
  </si>
  <si>
    <t>暂不售卖</t>
    <phoneticPr fontId="1" type="noConversion"/>
  </si>
  <si>
    <t>商城时装</t>
    <phoneticPr fontId="1" type="noConversion"/>
  </si>
  <si>
    <t>商城宠物</t>
    <phoneticPr fontId="1" type="noConversion"/>
  </si>
  <si>
    <t>Text/gift5</t>
    <phoneticPr fontId="1" type="noConversion"/>
  </si>
  <si>
    <t>Text/gift6</t>
    <phoneticPr fontId="1" type="noConversion"/>
  </si>
  <si>
    <t>Text/gift7</t>
    <phoneticPr fontId="1" type="noConversion"/>
  </si>
  <si>
    <t>Text/gift8</t>
  </si>
  <si>
    <t>Text/gift9</t>
  </si>
  <si>
    <t>Text/gift10</t>
  </si>
  <si>
    <t>Text/gift11</t>
  </si>
  <si>
    <t>Text/gift12</t>
  </si>
  <si>
    <t>Text/shop15</t>
    <phoneticPr fontId="1" type="noConversion"/>
  </si>
  <si>
    <t>4004;1</t>
    <phoneticPr fontId="1" type="noConversion"/>
  </si>
  <si>
    <t>4005;1</t>
    <phoneticPr fontId="1" type="noConversion"/>
  </si>
  <si>
    <t>4006;1</t>
    <phoneticPr fontId="1" type="noConversion"/>
  </si>
  <si>
    <t>4007;1</t>
    <phoneticPr fontId="1" type="noConversion"/>
  </si>
  <si>
    <t>4008;1</t>
    <phoneticPr fontId="1" type="noConversion"/>
  </si>
  <si>
    <t>4009;1</t>
    <phoneticPr fontId="1" type="noConversion"/>
  </si>
  <si>
    <t>4010;1</t>
    <phoneticPr fontId="1" type="noConversion"/>
  </si>
  <si>
    <t>4011;1</t>
    <phoneticPr fontId="1" type="noConversion"/>
  </si>
  <si>
    <t>斗龙争霸赛开关</t>
    <phoneticPr fontId="1" type="noConversion"/>
  </si>
  <si>
    <t>1</t>
    <phoneticPr fontId="1" type="noConversion"/>
  </si>
  <si>
    <t>drop12</t>
  </si>
  <si>
    <t>drop13</t>
  </si>
  <si>
    <t>drop14</t>
  </si>
  <si>
    <t>drop15</t>
  </si>
  <si>
    <t>drop16</t>
  </si>
  <si>
    <t>drop17</t>
  </si>
  <si>
    <t>drop18</t>
  </si>
  <si>
    <t>drop19</t>
  </si>
  <si>
    <t>drop20</t>
  </si>
  <si>
    <t>掉落12</t>
  </si>
  <si>
    <t>掉落13</t>
  </si>
  <si>
    <t>掉落14</t>
  </si>
  <si>
    <t>掉落15</t>
  </si>
  <si>
    <t>掉落16</t>
  </si>
  <si>
    <t>掉落17</t>
  </si>
  <si>
    <t>掉落18</t>
  </si>
  <si>
    <t>掉落19</t>
  </si>
  <si>
    <t>掉落20</t>
  </si>
  <si>
    <t>宠物大乱斗</t>
    <phoneticPr fontId="1" type="noConversion"/>
  </si>
  <si>
    <t>{{105,1},{106,1}}</t>
    <phoneticPr fontId="1" type="noConversion"/>
  </si>
  <si>
    <t>索里礼盒</t>
    <phoneticPr fontId="1" type="noConversion"/>
  </si>
  <si>
    <t>Text/gift2</t>
    <phoneticPr fontId="1" type="noConversion"/>
  </si>
  <si>
    <t>DATA</t>
    <phoneticPr fontId="1" type="noConversion"/>
  </si>
  <si>
    <t>2202;1</t>
    <phoneticPr fontId="1" type="noConversion"/>
  </si>
  <si>
    <t>SpineAnim/ui_luoxiaoyi/prefab</t>
    <phoneticPr fontId="1" type="noConversion"/>
  </si>
  <si>
    <t>SpineAnim/ui_bainuo/prefab</t>
    <phoneticPr fontId="1" type="noConversion"/>
  </si>
  <si>
    <t>SpineAnim/ui_lantianhua/prefab</t>
    <phoneticPr fontId="1" type="noConversion"/>
  </si>
  <si>
    <t>SpineAnim/ui_leiguman/prefab</t>
    <phoneticPr fontId="1" type="noConversion"/>
  </si>
  <si>
    <t>Icon/shop1</t>
    <phoneticPr fontId="1" type="noConversion"/>
  </si>
  <si>
    <t>Icon/shop2</t>
  </si>
  <si>
    <t>Icon/shop3</t>
  </si>
  <si>
    <t>Icon/shop4</t>
  </si>
  <si>
    <t>Icon/shop5</t>
  </si>
  <si>
    <t>Icon/shop6</t>
  </si>
  <si>
    <t>Icon/shop7</t>
  </si>
  <si>
    <t>Icon/shop8</t>
  </si>
  <si>
    <t>Icon/shop9</t>
  </si>
  <si>
    <t>Icon/shop10</t>
  </si>
  <si>
    <t>Icon/shop11</t>
  </si>
  <si>
    <t>Icon/shop12</t>
  </si>
  <si>
    <t>Icon/shop13</t>
    <phoneticPr fontId="1" type="noConversion"/>
  </si>
  <si>
    <t>Icon/shop14</t>
    <phoneticPr fontId="1" type="noConversion"/>
  </si>
  <si>
    <t>{{101,1},{103,1},{610,1}}</t>
    <phoneticPr fontId="1" type="noConversion"/>
  </si>
  <si>
    <t>主界面推送礼包2</t>
    <phoneticPr fontId="1" type="noConversion"/>
  </si>
  <si>
    <t>主界面推送礼包4</t>
    <phoneticPr fontId="1" type="noConversion"/>
  </si>
  <si>
    <t>计时签到用金币礼包</t>
    <phoneticPr fontId="1" type="noConversion"/>
  </si>
  <si>
    <t>掉落</t>
    <phoneticPr fontId="1" type="noConversion"/>
  </si>
  <si>
    <t>0;0</t>
    <phoneticPr fontId="1" type="noConversion"/>
  </si>
  <si>
    <t>日常领取开关</t>
    <phoneticPr fontId="1" type="noConversion"/>
  </si>
  <si>
    <t>签到开关</t>
    <phoneticPr fontId="1" type="noConversion"/>
  </si>
  <si>
    <t>每日签到</t>
    <phoneticPr fontId="1" type="noConversion"/>
  </si>
  <si>
    <t>{{0,1},{0,1},{0,1},{0,1},{0,1},{0,1},{0,1}}</t>
    <phoneticPr fontId="1" type="noConversion"/>
  </si>
  <si>
    <t>Icon/item8</t>
    <phoneticPr fontId="1" type="noConversion"/>
  </si>
  <si>
    <t>在兑换商城中兑换宠物。</t>
    <phoneticPr fontId="1" type="noConversion"/>
  </si>
  <si>
    <t>宠物碎片</t>
    <phoneticPr fontId="1" type="noConversion"/>
  </si>
  <si>
    <t>1202;150</t>
    <phoneticPr fontId="1" type="noConversion"/>
  </si>
  <si>
    <t>1202;250</t>
    <phoneticPr fontId="1" type="noConversion"/>
  </si>
  <si>
    <t>1202;250</t>
    <phoneticPr fontId="1" type="noConversion"/>
  </si>
  <si>
    <t>1202;350</t>
    <phoneticPr fontId="1" type="noConversion"/>
  </si>
  <si>
    <t>1202;350</t>
    <phoneticPr fontId="1" type="noConversion"/>
  </si>
  <si>
    <t>1202;450</t>
    <phoneticPr fontId="1" type="noConversion"/>
  </si>
  <si>
    <t>1202;550</t>
    <phoneticPr fontId="1" type="noConversion"/>
  </si>
  <si>
    <t>1202;650</t>
    <phoneticPr fontId="1" type="noConversion"/>
  </si>
  <si>
    <t>1202;750</t>
    <phoneticPr fontId="1" type="noConversion"/>
  </si>
  <si>
    <t>1201;150</t>
    <phoneticPr fontId="1" type="noConversion"/>
  </si>
  <si>
    <t>1201;250</t>
    <phoneticPr fontId="1" type="noConversion"/>
  </si>
  <si>
    <t>1201;350</t>
    <phoneticPr fontId="1" type="noConversion"/>
  </si>
  <si>
    <t>1201;450</t>
    <phoneticPr fontId="1" type="noConversion"/>
  </si>
  <si>
    <t>1201;550</t>
    <phoneticPr fontId="1" type="noConversion"/>
  </si>
  <si>
    <t>1200;10</t>
    <phoneticPr fontId="1" type="noConversion"/>
  </si>
  <si>
    <t>1200;20</t>
    <phoneticPr fontId="1" type="noConversion"/>
  </si>
  <si>
    <t>1200;180</t>
    <phoneticPr fontId="1" type="noConversion"/>
  </si>
  <si>
    <t>1201;180</t>
    <phoneticPr fontId="1" type="noConversion"/>
  </si>
  <si>
    <t>1202;180</t>
    <phoneticPr fontId="1" type="noConversion"/>
  </si>
  <si>
    <t>1203;180</t>
    <phoneticPr fontId="1" type="noConversion"/>
  </si>
  <si>
    <t>Text/shop16</t>
    <phoneticPr fontId="1" type="noConversion"/>
  </si>
  <si>
    <t>Icon/shop15</t>
    <phoneticPr fontId="1" type="noConversion"/>
  </si>
  <si>
    <t>免费礼盒</t>
    <phoneticPr fontId="1" type="noConversion"/>
  </si>
  <si>
    <t>·</t>
    <phoneticPr fontId="1" type="noConversion"/>
  </si>
  <si>
    <t>战斗时装</t>
    <phoneticPr fontId="1" type="noConversion"/>
  </si>
  <si>
    <t>铠甲时装</t>
    <phoneticPr fontId="1" type="noConversion"/>
  </si>
  <si>
    <t>索里机甲</t>
    <phoneticPr fontId="1" type="noConversion"/>
  </si>
  <si>
    <t>卡维力</t>
    <phoneticPr fontId="1" type="noConversion"/>
  </si>
  <si>
    <t>斗龙时装</t>
    <phoneticPr fontId="1" type="noConversion"/>
  </si>
  <si>
    <t>圣斗时装</t>
    <phoneticPr fontId="1" type="noConversion"/>
  </si>
  <si>
    <t>加比纳</t>
    <phoneticPr fontId="1" type="noConversion"/>
  </si>
  <si>
    <t>加比纳机甲</t>
    <phoneticPr fontId="1" type="noConversion"/>
  </si>
  <si>
    <t>雷古曼</t>
    <phoneticPr fontId="1" type="noConversion"/>
  </si>
  <si>
    <t>一键满级</t>
    <phoneticPr fontId="1" type="noConversion"/>
  </si>
  <si>
    <t>变身特权</t>
    <phoneticPr fontId="1" type="noConversion"/>
  </si>
  <si>
    <t>2003;1</t>
    <phoneticPr fontId="1" type="noConversion"/>
  </si>
  <si>
    <t>2103;1</t>
    <phoneticPr fontId="1" type="noConversion"/>
  </si>
  <si>
    <t>2203;1</t>
    <phoneticPr fontId="1" type="noConversion"/>
  </si>
  <si>
    <t>2303;1</t>
    <phoneticPr fontId="1" type="noConversion"/>
  </si>
  <si>
    <t>2403;1</t>
    <phoneticPr fontId="1" type="noConversion"/>
  </si>
  <si>
    <t>1000;280</t>
    <phoneticPr fontId="1" type="noConversion"/>
  </si>
  <si>
    <t>1000;499</t>
    <phoneticPr fontId="1" type="noConversion"/>
  </si>
  <si>
    <t>三星过关奖励免费</t>
    <phoneticPr fontId="14" type="noConversion"/>
  </si>
  <si>
    <t>5001;1</t>
    <phoneticPr fontId="1" type="noConversion"/>
  </si>
  <si>
    <t>获得吉亚多机甲</t>
    <phoneticPr fontId="1" type="noConversion"/>
  </si>
  <si>
    <t>获得加比纳机甲</t>
    <phoneticPr fontId="1" type="noConversion"/>
  </si>
  <si>
    <t>获得雷古曼机甲</t>
    <phoneticPr fontId="1" type="noConversion"/>
  </si>
  <si>
    <t>获得索里机甲</t>
    <phoneticPr fontId="1" type="noConversion"/>
  </si>
  <si>
    <t>提升角色至最大等级</t>
    <phoneticPr fontId="1" type="noConversion"/>
  </si>
  <si>
    <t>获得卡维力机甲</t>
    <phoneticPr fontId="1" type="noConversion"/>
  </si>
  <si>
    <t>获得森美拉机甲</t>
    <phoneticPr fontId="1" type="noConversion"/>
  </si>
  <si>
    <t>1200;1</t>
    <phoneticPr fontId="1" type="noConversion"/>
  </si>
  <si>
    <t>1201;1</t>
    <phoneticPr fontId="1" type="noConversion"/>
  </si>
  <si>
    <t>1202;1</t>
    <phoneticPr fontId="1" type="noConversion"/>
  </si>
  <si>
    <t>1203;1</t>
    <phoneticPr fontId="1" type="noConversion"/>
  </si>
  <si>
    <t>1000;1</t>
    <phoneticPr fontId="1" type="noConversion"/>
  </si>
  <si>
    <t>1000;1</t>
    <phoneticPr fontId="1" type="noConversion"/>
  </si>
  <si>
    <t>1000;1</t>
    <phoneticPr fontId="1" type="noConversion"/>
  </si>
  <si>
    <t>三星过关奖励金币</t>
    <phoneticPr fontId="1" type="noConversion"/>
  </si>
  <si>
    <t>捕龙达人</t>
    <phoneticPr fontId="1" type="noConversion"/>
  </si>
  <si>
    <t>Model/Item/item/prefab</t>
    <phoneticPr fontId="1" type="noConversion"/>
  </si>
  <si>
    <t>斗龙争霸战</t>
    <phoneticPr fontId="1" type="noConversion"/>
  </si>
  <si>
    <t>宠物大乱斗</t>
    <phoneticPr fontId="1" type="noConversion"/>
  </si>
  <si>
    <t>捕龙达人</t>
    <phoneticPr fontId="1" type="noConversion"/>
  </si>
  <si>
    <t>{{1001,1000},{20121,1},{1101,50},{20321,1},{30102,1},{20421,1},{1101,50},{1001,500},{1002,10},{1001,500},{1601,1},{1001,500},{1600,1},{1001,500},{1603,1},{1001,500},{1602,1},{1001,500},{1002,10},{1001,500},{1601,1},{1001,500},{1600,1},{1001,500},{1603,1},{1001,500},{1602,1},{1001,500},{1002,10},{1001,500}}</t>
    <phoneticPr fontId="1" type="noConversion"/>
  </si>
  <si>
    <t>{{1001,100},{1001,300},{1001,500},{1001,700},{1001,1000}}</t>
    <phoneticPr fontId="1" type="noConversion"/>
  </si>
  <si>
    <t>Text/q1</t>
    <phoneticPr fontId="1" type="noConversion"/>
  </si>
  <si>
    <t>Text/q3</t>
  </si>
  <si>
    <t>Text/q2</t>
    <phoneticPr fontId="1" type="noConversion"/>
  </si>
  <si>
    <t>1000;60</t>
    <phoneticPr fontId="1" type="noConversion"/>
  </si>
  <si>
    <t>1000;180</t>
    <phoneticPr fontId="1" type="noConversion"/>
  </si>
  <si>
    <t>1000;280</t>
    <phoneticPr fontId="1" type="noConversion"/>
  </si>
  <si>
    <t>展示用</t>
    <phoneticPr fontId="1" type="noConversion"/>
  </si>
  <si>
    <t>实际掉落用</t>
    <phoneticPr fontId="1" type="noConversion"/>
  </si>
  <si>
    <t>Icon/gift6</t>
    <phoneticPr fontId="1" type="noConversion"/>
  </si>
  <si>
    <t>Icon/gift7</t>
    <phoneticPr fontId="1" type="noConversion"/>
  </si>
  <si>
    <t>挑战次数</t>
    <phoneticPr fontId="1" type="noConversion"/>
  </si>
  <si>
    <t>额外一次挑战机会</t>
    <phoneticPr fontId="1" type="noConversion"/>
  </si>
  <si>
    <t>1000;20</t>
    <phoneticPr fontId="1" type="noConversion"/>
  </si>
  <si>
    <t>1203;60</t>
  </si>
  <si>
    <t>1203;180</t>
  </si>
  <si>
    <t>1203;280</t>
  </si>
  <si>
    <t>100金币</t>
    <phoneticPr fontId="1" type="noConversion"/>
  </si>
  <si>
    <t>300金币</t>
    <phoneticPr fontId="1" type="noConversion"/>
  </si>
  <si>
    <t>500金币</t>
    <phoneticPr fontId="1" type="noConversion"/>
  </si>
  <si>
    <t>700金币</t>
    <phoneticPr fontId="1" type="noConversion"/>
  </si>
  <si>
    <t>1000金币</t>
    <phoneticPr fontId="1" type="noConversion"/>
  </si>
  <si>
    <t>{{702,1},{703,1},{704,1},{705,1},{706,1}}</t>
    <phoneticPr fontId="1" type="noConversion"/>
  </si>
  <si>
    <t>1001;150</t>
  </si>
  <si>
    <t>1001;200</t>
  </si>
  <si>
    <t>1001;250</t>
  </si>
  <si>
    <t>1001;50</t>
    <phoneticPr fontId="1" type="noConversion"/>
  </si>
  <si>
    <t>1001;100</t>
    <phoneticPr fontId="1" type="noConversion"/>
  </si>
  <si>
    <t>5000</t>
  </si>
  <si>
    <t>5000</t>
    <phoneticPr fontId="1" type="noConversion"/>
  </si>
  <si>
    <t>新手礼包</t>
    <phoneticPr fontId="1" type="noConversion"/>
  </si>
  <si>
    <t>新手礼包</t>
    <phoneticPr fontId="14" type="noConversion"/>
  </si>
  <si>
    <t>节日礼包</t>
    <phoneticPr fontId="1" type="noConversion"/>
  </si>
  <si>
    <t>节日礼包</t>
    <phoneticPr fontId="14" type="noConversion"/>
  </si>
  <si>
    <t>会员礼包</t>
    <phoneticPr fontId="1" type="noConversion"/>
  </si>
  <si>
    <t>会员礼包</t>
    <phoneticPr fontId="14" type="noConversion"/>
  </si>
  <si>
    <t>豪华礼包</t>
    <phoneticPr fontId="1" type="noConversion"/>
  </si>
  <si>
    <t>土豪礼包</t>
    <phoneticPr fontId="1" type="noConversion"/>
  </si>
  <si>
    <t>土豪礼包</t>
    <phoneticPr fontId="14" type="noConversion"/>
  </si>
  <si>
    <t>新手礼包</t>
    <phoneticPr fontId="14" type="noConversion"/>
  </si>
  <si>
    <t>节日礼包</t>
    <phoneticPr fontId="14" type="noConversion"/>
  </si>
  <si>
    <t>会员礼包</t>
    <phoneticPr fontId="14" type="noConversion"/>
  </si>
  <si>
    <t>成长礼包</t>
    <phoneticPr fontId="14" type="noConversion"/>
  </si>
  <si>
    <t>豪华礼包</t>
    <phoneticPr fontId="14" type="noConversion"/>
  </si>
  <si>
    <t>土豪礼包</t>
    <phoneticPr fontId="14" type="noConversion"/>
  </si>
  <si>
    <t>成长礼包</t>
    <phoneticPr fontId="1" type="noConversion"/>
  </si>
  <si>
    <t>成长礼包</t>
    <phoneticPr fontId="14" type="noConversion"/>
  </si>
  <si>
    <t>豪华礼包</t>
    <phoneticPr fontId="14" type="noConversion"/>
  </si>
  <si>
    <t>Icon/item9</t>
    <phoneticPr fontId="1" type="noConversion"/>
  </si>
  <si>
    <t>活动碎片</t>
    <phoneticPr fontId="1" type="noConversion"/>
  </si>
  <si>
    <t>1204;20</t>
    <phoneticPr fontId="1" type="noConversion"/>
  </si>
  <si>
    <t>1204;40</t>
    <phoneticPr fontId="1" type="noConversion"/>
  </si>
  <si>
    <t>0、不显示
1、礼包
2、角色
3、时装
4、宠物
5、道具
6、兑换角色
7、兑换时装
8、兑换宠物
9、兑换道具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</si>
</sst>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9"/>
      <color indexed="81"/>
      <name val="Tahoma"/>
      <family val="2"/>
    </font>
    <font>
      <sz val="36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0"/>
      <name val="宋体"/>
      <family val="3"/>
      <charset val="134"/>
    </font>
    <font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7064">
    <xf numFmtId="0" fontId="0" fillId="0" borderId="0" applyProtection="0">
      <alignment vertical="center"/>
    </xf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5" fillId="0" borderId="0">
      <alignment vertical="center"/>
    </xf>
  </cellStyleXfs>
  <cellXfs count="66"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49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Protection="1">
      <alignment vertical="center"/>
    </xf>
    <xf numFmtId="0" fontId="12" fillId="0" borderId="0" xfId="0" applyFont="1" applyProtection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1" fillId="0" borderId="0" xfId="0" applyFont="1">
      <alignment vertical="center"/>
    </xf>
    <xf numFmtId="0" fontId="11" fillId="0" borderId="0" xfId="0" applyFont="1" applyBorder="1">
      <alignment vertical="center"/>
    </xf>
    <xf numFmtId="0" fontId="12" fillId="0" borderId="0" xfId="0" applyFont="1" applyAlignment="1" applyProtection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49" fontId="9" fillId="0" borderId="0" xfId="0" applyNumberFormat="1" applyFont="1" applyProtection="1">
      <alignment vertical="center"/>
    </xf>
    <xf numFmtId="49" fontId="12" fillId="0" borderId="0" xfId="0" applyNumberFormat="1" applyFont="1" applyProtection="1">
      <alignment vertical="center"/>
    </xf>
    <xf numFmtId="0" fontId="13" fillId="0" borderId="0" xfId="0" applyFont="1" applyProtection="1">
      <alignment vertical="center"/>
    </xf>
    <xf numFmtId="49" fontId="12" fillId="0" borderId="0" xfId="0" quotePrefix="1" applyNumberFormat="1" applyFont="1" applyProtection="1">
      <alignment vertical="center"/>
    </xf>
    <xf numFmtId="0" fontId="12" fillId="0" borderId="0" xfId="0" applyNumberFormat="1" applyFont="1" applyProtection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49" fontId="9" fillId="0" borderId="0" xfId="0" applyNumberFormat="1" applyFont="1" applyBorder="1" applyAlignment="1" applyProtection="1">
      <alignment horizontal="left" vertical="center" wrapText="1"/>
      <protection locked="0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vertical="center" wrapText="1"/>
    </xf>
    <xf numFmtId="0" fontId="15" fillId="0" borderId="0" xfId="0" applyFont="1" applyProtection="1">
      <alignment vertical="center"/>
    </xf>
    <xf numFmtId="49" fontId="9" fillId="0" borderId="0" xfId="0" applyNumberFormat="1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wrapText="1"/>
    </xf>
    <xf numFmtId="49" fontId="9" fillId="0" borderId="0" xfId="0" applyNumberFormat="1" applyFont="1" applyAlignment="1" applyProtection="1">
      <alignment horizontal="center" vertical="center" wrapText="1"/>
    </xf>
    <xf numFmtId="49" fontId="12" fillId="0" borderId="0" xfId="0" applyNumberFormat="1" applyFont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16" fillId="0" borderId="0" xfId="0" applyFont="1" applyProtection="1">
      <alignment vertical="center"/>
    </xf>
    <xf numFmtId="0" fontId="12" fillId="6" borderId="1" xfId="0" applyFont="1" applyFill="1" applyBorder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12" fillId="7" borderId="0" xfId="0" applyFont="1" applyFill="1" applyAlignment="1" applyProtection="1">
      <alignment horizontal="center" vertical="center"/>
    </xf>
    <xf numFmtId="0" fontId="11" fillId="7" borderId="0" xfId="0" applyFont="1" applyFill="1" applyAlignment="1">
      <alignment horizontal="center"/>
    </xf>
    <xf numFmtId="0" fontId="11" fillId="7" borderId="0" xfId="0" applyFont="1" applyFill="1" applyAlignment="1">
      <alignment vertical="center"/>
    </xf>
    <xf numFmtId="0" fontId="12" fillId="7" borderId="0" xfId="0" applyFont="1" applyFill="1" applyAlignment="1" applyProtection="1">
      <alignment horizontal="left" vertical="center"/>
    </xf>
    <xf numFmtId="0" fontId="12" fillId="0" borderId="0" xfId="0" applyFont="1" applyFill="1" applyAlignment="1" applyProtection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 vertical="center"/>
    </xf>
    <xf numFmtId="0" fontId="16" fillId="0" borderId="0" xfId="0" applyFont="1" applyFill="1" applyProtection="1">
      <alignment vertical="center"/>
    </xf>
    <xf numFmtId="0" fontId="12" fillId="0" borderId="0" xfId="0" applyFont="1" applyFill="1" applyAlignment="1" applyProtection="1">
      <alignment horizontal="left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Alignment="1" applyProtection="1">
      <alignment vertical="center"/>
    </xf>
    <xf numFmtId="0" fontId="12" fillId="0" borderId="0" xfId="0" applyFont="1" applyFill="1" applyAlignment="1" applyProtection="1">
      <alignment vertical="center"/>
    </xf>
    <xf numFmtId="0" fontId="11" fillId="0" borderId="0" xfId="0" applyFont="1" applyFill="1" applyAlignment="1">
      <alignment vertical="center"/>
    </xf>
    <xf numFmtId="0" fontId="12" fillId="6" borderId="2" xfId="0" applyFont="1" applyFill="1" applyBorder="1" applyAlignment="1" applyProtection="1">
      <alignment horizontal="center" vertical="center"/>
    </xf>
    <xf numFmtId="0" fontId="12" fillId="6" borderId="3" xfId="0" applyFont="1" applyFill="1" applyBorder="1" applyAlignment="1" applyProtection="1">
      <alignment horizontal="center" vertical="center"/>
    </xf>
    <xf numFmtId="0" fontId="0" fillId="0" borderId="0" xfId="0" applyAlignment="1"/>
    <xf numFmtId="0" fontId="7" fillId="0" borderId="0" xfId="0" applyFont="1" applyAlignment="1" applyProtection="1">
      <alignment horizontal="center" vertical="center"/>
    </xf>
  </cellXfs>
  <cellStyles count="17064">
    <cellStyle name="20% - 强调文字颜色 1 10" xfId="1"/>
    <cellStyle name="20% - 强调文字颜色 1 10 10" xfId="2"/>
    <cellStyle name="20% - 强调文字颜色 1 10 11" xfId="3"/>
    <cellStyle name="20% - 强调文字颜色 1 10 12" xfId="4"/>
    <cellStyle name="20% - 强调文字颜色 1 10 13" xfId="5"/>
    <cellStyle name="20% - 强调文字颜色 1 10 14" xfId="6"/>
    <cellStyle name="20% - 强调文字颜色 1 10 15" xfId="7"/>
    <cellStyle name="20% - 强调文字颜色 1 10 16" xfId="8"/>
    <cellStyle name="20% - 强调文字颜色 1 10 17" xfId="9"/>
    <cellStyle name="20% - 强调文字颜色 1 10 18" xfId="10"/>
    <cellStyle name="20% - 强调文字颜色 1 10 19" xfId="11"/>
    <cellStyle name="20% - 强调文字颜色 1 10 2" xfId="12"/>
    <cellStyle name="20% - 强调文字颜色 1 10 2 10" xfId="13"/>
    <cellStyle name="20% - 强调文字颜色 1 10 2 11" xfId="14"/>
    <cellStyle name="20% - 强调文字颜色 1 10 2 12" xfId="15"/>
    <cellStyle name="20% - 强调文字颜色 1 10 2 13" xfId="16"/>
    <cellStyle name="20% - 强调文字颜色 1 10 2 14" xfId="17"/>
    <cellStyle name="20% - 强调文字颜色 1 10 2 15" xfId="18"/>
    <cellStyle name="20% - 强调文字颜色 1 10 2 16" xfId="19"/>
    <cellStyle name="20% - 强调文字颜色 1 10 2 17" xfId="20"/>
    <cellStyle name="20% - 强调文字颜色 1 10 2 18" xfId="21"/>
    <cellStyle name="20% - 强调文字颜色 1 10 2 19" xfId="22"/>
    <cellStyle name="20% - 强调文字颜色 1 10 2 2" xfId="23"/>
    <cellStyle name="20% - 强调文字颜色 1 10 2 20" xfId="24"/>
    <cellStyle name="20% - 强调文字颜色 1 10 2 21" xfId="25"/>
    <cellStyle name="20% - 强调文字颜色 1 10 2 22" xfId="26"/>
    <cellStyle name="20% - 强调文字颜色 1 10 2 23" xfId="27"/>
    <cellStyle name="20% - 强调文字颜色 1 10 2 24" xfId="28"/>
    <cellStyle name="20% - 强调文字颜色 1 10 2 25" xfId="29"/>
    <cellStyle name="20% - 强调文字颜色 1 10 2 26" xfId="30"/>
    <cellStyle name="20% - 强调文字颜色 1 10 2 27" xfId="31"/>
    <cellStyle name="20% - 强调文字颜色 1 10 2 3" xfId="32"/>
    <cellStyle name="20% - 强调文字颜色 1 10 2 4" xfId="33"/>
    <cellStyle name="20% - 强调文字颜色 1 10 2 5" xfId="34"/>
    <cellStyle name="20% - 强调文字颜色 1 10 2 6" xfId="35"/>
    <cellStyle name="20% - 强调文字颜色 1 10 2 7" xfId="36"/>
    <cellStyle name="20% - 强调文字颜色 1 10 2 8" xfId="37"/>
    <cellStyle name="20% - 强调文字颜色 1 10 2 9" xfId="38"/>
    <cellStyle name="20% - 强调文字颜色 1 10 20" xfId="39"/>
    <cellStyle name="20% - 强调文字颜色 1 10 21" xfId="40"/>
    <cellStyle name="20% - 强调文字颜色 1 10 22" xfId="41"/>
    <cellStyle name="20% - 强调文字颜色 1 10 23" xfId="42"/>
    <cellStyle name="20% - 强调文字颜色 1 10 24" xfId="43"/>
    <cellStyle name="20% - 强调文字颜色 1 10 25" xfId="44"/>
    <cellStyle name="20% - 强调文字颜色 1 10 26" xfId="45"/>
    <cellStyle name="20% - 强调文字颜色 1 10 27" xfId="46"/>
    <cellStyle name="20% - 强调文字颜色 1 10 28" xfId="47"/>
    <cellStyle name="20% - 强调文字颜色 1 10 3" xfId="48"/>
    <cellStyle name="20% - 强调文字颜色 1 10 4" xfId="49"/>
    <cellStyle name="20% - 强调文字颜色 1 10 5" xfId="50"/>
    <cellStyle name="20% - 强调文字颜色 1 10 6" xfId="51"/>
    <cellStyle name="20% - 强调文字颜色 1 10 7" xfId="52"/>
    <cellStyle name="20% - 强调文字颜色 1 10 8" xfId="53"/>
    <cellStyle name="20% - 强调文字颜色 1 10 9" xfId="54"/>
    <cellStyle name="20% - 强调文字颜色 1 11" xfId="55"/>
    <cellStyle name="20% - 强调文字颜色 1 11 10" xfId="56"/>
    <cellStyle name="20% - 强调文字颜色 1 11 11" xfId="57"/>
    <cellStyle name="20% - 强调文字颜色 1 11 12" xfId="58"/>
    <cellStyle name="20% - 强调文字颜色 1 11 13" xfId="59"/>
    <cellStyle name="20% - 强调文字颜色 1 11 14" xfId="60"/>
    <cellStyle name="20% - 强调文字颜色 1 11 15" xfId="61"/>
    <cellStyle name="20% - 强调文字颜色 1 11 16" xfId="62"/>
    <cellStyle name="20% - 强调文字颜色 1 11 17" xfId="63"/>
    <cellStyle name="20% - 强调文字颜色 1 11 18" xfId="64"/>
    <cellStyle name="20% - 强调文字颜色 1 11 19" xfId="65"/>
    <cellStyle name="20% - 强调文字颜色 1 11 2" xfId="66"/>
    <cellStyle name="20% - 强调文字颜色 1 11 2 10" xfId="67"/>
    <cellStyle name="20% - 强调文字颜色 1 11 2 11" xfId="68"/>
    <cellStyle name="20% - 强调文字颜色 1 11 2 12" xfId="69"/>
    <cellStyle name="20% - 强调文字颜色 1 11 2 13" xfId="70"/>
    <cellStyle name="20% - 强调文字颜色 1 11 2 14" xfId="71"/>
    <cellStyle name="20% - 强调文字颜色 1 11 2 15" xfId="72"/>
    <cellStyle name="20% - 强调文字颜色 1 11 2 16" xfId="73"/>
    <cellStyle name="20% - 强调文字颜色 1 11 2 17" xfId="74"/>
    <cellStyle name="20% - 强调文字颜色 1 11 2 18" xfId="75"/>
    <cellStyle name="20% - 强调文字颜色 1 11 2 19" xfId="76"/>
    <cellStyle name="20% - 强调文字颜色 1 11 2 2" xfId="77"/>
    <cellStyle name="20% - 强调文字颜色 1 11 2 20" xfId="78"/>
    <cellStyle name="20% - 强调文字颜色 1 11 2 21" xfId="79"/>
    <cellStyle name="20% - 强调文字颜色 1 11 2 22" xfId="80"/>
    <cellStyle name="20% - 强调文字颜色 1 11 2 23" xfId="81"/>
    <cellStyle name="20% - 强调文字颜色 1 11 2 24" xfId="82"/>
    <cellStyle name="20% - 强调文字颜色 1 11 2 25" xfId="83"/>
    <cellStyle name="20% - 强调文字颜色 1 11 2 26" xfId="84"/>
    <cellStyle name="20% - 强调文字颜色 1 11 2 27" xfId="85"/>
    <cellStyle name="20% - 强调文字颜色 1 11 2 3" xfId="86"/>
    <cellStyle name="20% - 强调文字颜色 1 11 2 4" xfId="87"/>
    <cellStyle name="20% - 强调文字颜色 1 11 2 5" xfId="88"/>
    <cellStyle name="20% - 强调文字颜色 1 11 2 6" xfId="89"/>
    <cellStyle name="20% - 强调文字颜色 1 11 2 7" xfId="90"/>
    <cellStyle name="20% - 强调文字颜色 1 11 2 8" xfId="91"/>
    <cellStyle name="20% - 强调文字颜色 1 11 2 9" xfId="92"/>
    <cellStyle name="20% - 强调文字颜色 1 11 20" xfId="93"/>
    <cellStyle name="20% - 强调文字颜色 1 11 21" xfId="94"/>
    <cellStyle name="20% - 强调文字颜色 1 11 22" xfId="95"/>
    <cellStyle name="20% - 强调文字颜色 1 11 23" xfId="96"/>
    <cellStyle name="20% - 强调文字颜色 1 11 24" xfId="97"/>
    <cellStyle name="20% - 强调文字颜色 1 11 25" xfId="98"/>
    <cellStyle name="20% - 强调文字颜色 1 11 26" xfId="99"/>
    <cellStyle name="20% - 强调文字颜色 1 11 27" xfId="100"/>
    <cellStyle name="20% - 强调文字颜色 1 11 28" xfId="101"/>
    <cellStyle name="20% - 强调文字颜色 1 11 3" xfId="102"/>
    <cellStyle name="20% - 强调文字颜色 1 11 4" xfId="103"/>
    <cellStyle name="20% - 强调文字颜色 1 11 5" xfId="104"/>
    <cellStyle name="20% - 强调文字颜色 1 11 6" xfId="105"/>
    <cellStyle name="20% - 强调文字颜色 1 11 7" xfId="106"/>
    <cellStyle name="20% - 强调文字颜色 1 11 8" xfId="107"/>
    <cellStyle name="20% - 强调文字颜色 1 11 9" xfId="108"/>
    <cellStyle name="20% - 强调文字颜色 1 12" xfId="109"/>
    <cellStyle name="20% - 强调文字颜色 1 13" xfId="110"/>
    <cellStyle name="20% - 强调文字颜色 1 14" xfId="111"/>
    <cellStyle name="20% - 强调文字颜色 1 15" xfId="112"/>
    <cellStyle name="20% - 强调文字颜色 1 16" xfId="113"/>
    <cellStyle name="20% - 强调文字颜色 1 17" xfId="114"/>
    <cellStyle name="20% - 强调文字颜色 1 18" xfId="115"/>
    <cellStyle name="20% - 强调文字颜色 1 19" xfId="116"/>
    <cellStyle name="20% - 强调文字颜色 1 2" xfId="117"/>
    <cellStyle name="20% - 强调文字颜色 1 2 10" xfId="118"/>
    <cellStyle name="20% - 强调文字颜色 1 2 11" xfId="119"/>
    <cellStyle name="20% - 强调文字颜色 1 2 12" xfId="120"/>
    <cellStyle name="20% - 强调文字颜色 1 2 13" xfId="121"/>
    <cellStyle name="20% - 强调文字颜色 1 2 14" xfId="122"/>
    <cellStyle name="20% - 强调文字颜色 1 2 15" xfId="123"/>
    <cellStyle name="20% - 强调文字颜色 1 2 16" xfId="124"/>
    <cellStyle name="20% - 强调文字颜色 1 2 17" xfId="125"/>
    <cellStyle name="20% - 强调文字颜色 1 2 18" xfId="126"/>
    <cellStyle name="20% - 强调文字颜色 1 2 19" xfId="127"/>
    <cellStyle name="20% - 强调文字颜色 1 2 2" xfId="128"/>
    <cellStyle name="20% - 强调文字颜色 1 2 2 10" xfId="129"/>
    <cellStyle name="20% - 强调文字颜色 1 2 2 11" xfId="130"/>
    <cellStyle name="20% - 强调文字颜色 1 2 2 12" xfId="131"/>
    <cellStyle name="20% - 强调文字颜色 1 2 2 13" xfId="132"/>
    <cellStyle name="20% - 强调文字颜色 1 2 2 14" xfId="133"/>
    <cellStyle name="20% - 强调文字颜色 1 2 2 15" xfId="134"/>
    <cellStyle name="20% - 强调文字颜色 1 2 2 16" xfId="135"/>
    <cellStyle name="20% - 强调文字颜色 1 2 2 17" xfId="136"/>
    <cellStyle name="20% - 强调文字颜色 1 2 2 18" xfId="137"/>
    <cellStyle name="20% - 强调文字颜色 1 2 2 19" xfId="138"/>
    <cellStyle name="20% - 强调文字颜色 1 2 2 2" xfId="139"/>
    <cellStyle name="20% - 强调文字颜色 1 2 2 2 10" xfId="140"/>
    <cellStyle name="20% - 强调文字颜色 1 2 2 2 11" xfId="141"/>
    <cellStyle name="20% - 强调文字颜色 1 2 2 2 12" xfId="142"/>
    <cellStyle name="20% - 强调文字颜色 1 2 2 2 13" xfId="143"/>
    <cellStyle name="20% - 强调文字颜色 1 2 2 2 14" xfId="144"/>
    <cellStyle name="20% - 强调文字颜色 1 2 2 2 15" xfId="145"/>
    <cellStyle name="20% - 强调文字颜色 1 2 2 2 16" xfId="146"/>
    <cellStyle name="20% - 强调文字颜色 1 2 2 2 17" xfId="147"/>
    <cellStyle name="20% - 强调文字颜色 1 2 2 2 18" xfId="148"/>
    <cellStyle name="20% - 强调文字颜色 1 2 2 2 19" xfId="149"/>
    <cellStyle name="20% - 强调文字颜色 1 2 2 2 2" xfId="150"/>
    <cellStyle name="20% - 强调文字颜色 1 2 2 2 20" xfId="151"/>
    <cellStyle name="20% - 强调文字颜色 1 2 2 2 21" xfId="152"/>
    <cellStyle name="20% - 强调文字颜色 1 2 2 2 22" xfId="153"/>
    <cellStyle name="20% - 强调文字颜色 1 2 2 2 23" xfId="154"/>
    <cellStyle name="20% - 强调文字颜色 1 2 2 2 24" xfId="155"/>
    <cellStyle name="20% - 强调文字颜色 1 2 2 2 25" xfId="156"/>
    <cellStyle name="20% - 强调文字颜色 1 2 2 2 26" xfId="157"/>
    <cellStyle name="20% - 强调文字颜色 1 2 2 2 27" xfId="158"/>
    <cellStyle name="20% - 强调文字颜色 1 2 2 2 3" xfId="159"/>
    <cellStyle name="20% - 强调文字颜色 1 2 2 2 4" xfId="160"/>
    <cellStyle name="20% - 强调文字颜色 1 2 2 2 5" xfId="161"/>
    <cellStyle name="20% - 强调文字颜色 1 2 2 2 6" xfId="162"/>
    <cellStyle name="20% - 强调文字颜色 1 2 2 2 7" xfId="163"/>
    <cellStyle name="20% - 强调文字颜色 1 2 2 2 8" xfId="164"/>
    <cellStyle name="20% - 强调文字颜色 1 2 2 2 9" xfId="165"/>
    <cellStyle name="20% - 强调文字颜色 1 2 2 20" xfId="166"/>
    <cellStyle name="20% - 强调文字颜色 1 2 2 21" xfId="167"/>
    <cellStyle name="20% - 强调文字颜色 1 2 2 22" xfId="168"/>
    <cellStyle name="20% - 强调文字颜色 1 2 2 23" xfId="169"/>
    <cellStyle name="20% - 强调文字颜色 1 2 2 24" xfId="170"/>
    <cellStyle name="20% - 强调文字颜色 1 2 2 25" xfId="171"/>
    <cellStyle name="20% - 强调文字颜色 1 2 2 26" xfId="172"/>
    <cellStyle name="20% - 强调文字颜色 1 2 2 27" xfId="173"/>
    <cellStyle name="20% - 强调文字颜色 1 2 2 28" xfId="174"/>
    <cellStyle name="20% - 强调文字颜色 1 2 2 3" xfId="175"/>
    <cellStyle name="20% - 强调文字颜色 1 2 2 4" xfId="176"/>
    <cellStyle name="20% - 强调文字颜色 1 2 2 5" xfId="177"/>
    <cellStyle name="20% - 强调文字颜色 1 2 2 6" xfId="178"/>
    <cellStyle name="20% - 强调文字颜色 1 2 2 7" xfId="179"/>
    <cellStyle name="20% - 强调文字颜色 1 2 2 8" xfId="180"/>
    <cellStyle name="20% - 强调文字颜色 1 2 2 9" xfId="181"/>
    <cellStyle name="20% - 强调文字颜色 1 2 20" xfId="182"/>
    <cellStyle name="20% - 强调文字颜色 1 2 21" xfId="183"/>
    <cellStyle name="20% - 强调文字颜色 1 2 22" xfId="184"/>
    <cellStyle name="20% - 强调文字颜色 1 2 23" xfId="185"/>
    <cellStyle name="20% - 强调文字颜色 1 2 24" xfId="186"/>
    <cellStyle name="20% - 强调文字颜色 1 2 25" xfId="187"/>
    <cellStyle name="20% - 强调文字颜色 1 2 26" xfId="188"/>
    <cellStyle name="20% - 强调文字颜色 1 2 27" xfId="189"/>
    <cellStyle name="20% - 强调文字颜色 1 2 28" xfId="190"/>
    <cellStyle name="20% - 强调文字颜色 1 2 29" xfId="191"/>
    <cellStyle name="20% - 强调文字颜色 1 2 3" xfId="192"/>
    <cellStyle name="20% - 强调文字颜色 1 2 3 10" xfId="193"/>
    <cellStyle name="20% - 强调文字颜色 1 2 3 11" xfId="194"/>
    <cellStyle name="20% - 强调文字颜色 1 2 3 12" xfId="195"/>
    <cellStyle name="20% - 强调文字颜色 1 2 3 13" xfId="196"/>
    <cellStyle name="20% - 强调文字颜色 1 2 3 14" xfId="197"/>
    <cellStyle name="20% - 强调文字颜色 1 2 3 15" xfId="198"/>
    <cellStyle name="20% - 强调文字颜色 1 2 3 16" xfId="199"/>
    <cellStyle name="20% - 强调文字颜色 1 2 3 17" xfId="200"/>
    <cellStyle name="20% - 强调文字颜色 1 2 3 18" xfId="201"/>
    <cellStyle name="20% - 强调文字颜色 1 2 3 19" xfId="202"/>
    <cellStyle name="20% - 强调文字颜色 1 2 3 2" xfId="203"/>
    <cellStyle name="20% - 强调文字颜色 1 2 3 2 10" xfId="204"/>
    <cellStyle name="20% - 强调文字颜色 1 2 3 2 11" xfId="205"/>
    <cellStyle name="20% - 强调文字颜色 1 2 3 2 12" xfId="206"/>
    <cellStyle name="20% - 强调文字颜色 1 2 3 2 13" xfId="207"/>
    <cellStyle name="20% - 强调文字颜色 1 2 3 2 14" xfId="208"/>
    <cellStyle name="20% - 强调文字颜色 1 2 3 2 15" xfId="209"/>
    <cellStyle name="20% - 强调文字颜色 1 2 3 2 16" xfId="210"/>
    <cellStyle name="20% - 强调文字颜色 1 2 3 2 17" xfId="211"/>
    <cellStyle name="20% - 强调文字颜色 1 2 3 2 18" xfId="212"/>
    <cellStyle name="20% - 强调文字颜色 1 2 3 2 19" xfId="213"/>
    <cellStyle name="20% - 强调文字颜色 1 2 3 2 2" xfId="214"/>
    <cellStyle name="20% - 强调文字颜色 1 2 3 2 20" xfId="215"/>
    <cellStyle name="20% - 强调文字颜色 1 2 3 2 21" xfId="216"/>
    <cellStyle name="20% - 强调文字颜色 1 2 3 2 22" xfId="217"/>
    <cellStyle name="20% - 强调文字颜色 1 2 3 2 23" xfId="218"/>
    <cellStyle name="20% - 强调文字颜色 1 2 3 2 24" xfId="219"/>
    <cellStyle name="20% - 强调文字颜色 1 2 3 2 25" xfId="220"/>
    <cellStyle name="20% - 强调文字颜色 1 2 3 2 26" xfId="221"/>
    <cellStyle name="20% - 强调文字颜色 1 2 3 2 27" xfId="222"/>
    <cellStyle name="20% - 强调文字颜色 1 2 3 2 3" xfId="223"/>
    <cellStyle name="20% - 强调文字颜色 1 2 3 2 4" xfId="224"/>
    <cellStyle name="20% - 强调文字颜色 1 2 3 2 5" xfId="225"/>
    <cellStyle name="20% - 强调文字颜色 1 2 3 2 6" xfId="226"/>
    <cellStyle name="20% - 强调文字颜色 1 2 3 2 7" xfId="227"/>
    <cellStyle name="20% - 强调文字颜色 1 2 3 2 8" xfId="228"/>
    <cellStyle name="20% - 强调文字颜色 1 2 3 2 9" xfId="229"/>
    <cellStyle name="20% - 强调文字颜色 1 2 3 20" xfId="230"/>
    <cellStyle name="20% - 强调文字颜色 1 2 3 21" xfId="231"/>
    <cellStyle name="20% - 强调文字颜色 1 2 3 22" xfId="232"/>
    <cellStyle name="20% - 强调文字颜色 1 2 3 23" xfId="233"/>
    <cellStyle name="20% - 强调文字颜色 1 2 3 24" xfId="234"/>
    <cellStyle name="20% - 强调文字颜色 1 2 3 25" xfId="235"/>
    <cellStyle name="20% - 强调文字颜色 1 2 3 26" xfId="236"/>
    <cellStyle name="20% - 强调文字颜色 1 2 3 27" xfId="237"/>
    <cellStyle name="20% - 强调文字颜色 1 2 3 28" xfId="238"/>
    <cellStyle name="20% - 强调文字颜色 1 2 3 3" xfId="239"/>
    <cellStyle name="20% - 强调文字颜色 1 2 3 4" xfId="240"/>
    <cellStyle name="20% - 强调文字颜色 1 2 3 5" xfId="241"/>
    <cellStyle name="20% - 强调文字颜色 1 2 3 6" xfId="242"/>
    <cellStyle name="20% - 强调文字颜色 1 2 3 7" xfId="243"/>
    <cellStyle name="20% - 强调文字颜色 1 2 3 8" xfId="244"/>
    <cellStyle name="20% - 强调文字颜色 1 2 3 9" xfId="245"/>
    <cellStyle name="20% - 强调文字颜色 1 2 30" xfId="246"/>
    <cellStyle name="20% - 强调文字颜色 1 2 31" xfId="247"/>
    <cellStyle name="20% - 强调文字颜色 1 2 32" xfId="248"/>
    <cellStyle name="20% - 强调文字颜色 1 2 33" xfId="249"/>
    <cellStyle name="20% - 强调文字颜色 1 2 4" xfId="250"/>
    <cellStyle name="20% - 强调文字颜色 1 2 4 10" xfId="251"/>
    <cellStyle name="20% - 强调文字颜色 1 2 4 11" xfId="252"/>
    <cellStyle name="20% - 强调文字颜色 1 2 4 12" xfId="253"/>
    <cellStyle name="20% - 强调文字颜色 1 2 4 13" xfId="254"/>
    <cellStyle name="20% - 强调文字颜色 1 2 4 14" xfId="255"/>
    <cellStyle name="20% - 强调文字颜色 1 2 4 15" xfId="256"/>
    <cellStyle name="20% - 强调文字颜色 1 2 4 16" xfId="257"/>
    <cellStyle name="20% - 强调文字颜色 1 2 4 17" xfId="258"/>
    <cellStyle name="20% - 强调文字颜色 1 2 4 18" xfId="259"/>
    <cellStyle name="20% - 强调文字颜色 1 2 4 19" xfId="260"/>
    <cellStyle name="20% - 强调文字颜色 1 2 4 2" xfId="261"/>
    <cellStyle name="20% - 强调文字颜色 1 2 4 20" xfId="262"/>
    <cellStyle name="20% - 强调文字颜色 1 2 4 21" xfId="263"/>
    <cellStyle name="20% - 强调文字颜色 1 2 4 22" xfId="264"/>
    <cellStyle name="20% - 强调文字颜色 1 2 4 23" xfId="265"/>
    <cellStyle name="20% - 强调文字颜色 1 2 4 24" xfId="266"/>
    <cellStyle name="20% - 强调文字颜色 1 2 4 25" xfId="267"/>
    <cellStyle name="20% - 强调文字颜色 1 2 4 26" xfId="268"/>
    <cellStyle name="20% - 强调文字颜色 1 2 4 27" xfId="269"/>
    <cellStyle name="20% - 强调文字颜色 1 2 4 3" xfId="270"/>
    <cellStyle name="20% - 强调文字颜色 1 2 4 4" xfId="271"/>
    <cellStyle name="20% - 强调文字颜色 1 2 4 5" xfId="272"/>
    <cellStyle name="20% - 强调文字颜色 1 2 4 6" xfId="273"/>
    <cellStyle name="20% - 强调文字颜色 1 2 4 7" xfId="274"/>
    <cellStyle name="20% - 强调文字颜色 1 2 4 8" xfId="275"/>
    <cellStyle name="20% - 强调文字颜色 1 2 4 9" xfId="276"/>
    <cellStyle name="20% - 强调文字颜色 1 2 5" xfId="277"/>
    <cellStyle name="20% - 强调文字颜色 1 2 6" xfId="278"/>
    <cellStyle name="20% - 强调文字颜色 1 2 7" xfId="279"/>
    <cellStyle name="20% - 强调文字颜色 1 2 8" xfId="280"/>
    <cellStyle name="20% - 强调文字颜色 1 2 9" xfId="281"/>
    <cellStyle name="20% - 强调文字颜色 1 20" xfId="282"/>
    <cellStyle name="20% - 强调文字颜色 1 21" xfId="283"/>
    <cellStyle name="20% - 强调文字颜色 1 22" xfId="284"/>
    <cellStyle name="20% - 强调文字颜色 1 23" xfId="285"/>
    <cellStyle name="20% - 强调文字颜色 1 24" xfId="286"/>
    <cellStyle name="20% - 强调文字颜色 1 25" xfId="287"/>
    <cellStyle name="20% - 强调文字颜色 1 26" xfId="288"/>
    <cellStyle name="20% - 强调文字颜色 1 27" xfId="289"/>
    <cellStyle name="20% - 强调文字颜色 1 28" xfId="290"/>
    <cellStyle name="20% - 强调文字颜色 1 29" xfId="291"/>
    <cellStyle name="20% - 强调文字颜色 1 3" xfId="292"/>
    <cellStyle name="20% - 强调文字颜色 1 3 10" xfId="293"/>
    <cellStyle name="20% - 强调文字颜色 1 3 11" xfId="294"/>
    <cellStyle name="20% - 强调文字颜色 1 3 12" xfId="295"/>
    <cellStyle name="20% - 强调文字颜色 1 3 13" xfId="296"/>
    <cellStyle name="20% - 强调文字颜色 1 3 14" xfId="297"/>
    <cellStyle name="20% - 强调文字颜色 1 3 15" xfId="298"/>
    <cellStyle name="20% - 强调文字颜色 1 3 16" xfId="299"/>
    <cellStyle name="20% - 强调文字颜色 1 3 17" xfId="300"/>
    <cellStyle name="20% - 强调文字颜色 1 3 18" xfId="301"/>
    <cellStyle name="20% - 强调文字颜色 1 3 19" xfId="302"/>
    <cellStyle name="20% - 强调文字颜色 1 3 2" xfId="303"/>
    <cellStyle name="20% - 强调文字颜色 1 3 2 10" xfId="304"/>
    <cellStyle name="20% - 强调文字颜色 1 3 2 11" xfId="305"/>
    <cellStyle name="20% - 强调文字颜色 1 3 2 12" xfId="306"/>
    <cellStyle name="20% - 强调文字颜色 1 3 2 13" xfId="307"/>
    <cellStyle name="20% - 强调文字颜色 1 3 2 14" xfId="308"/>
    <cellStyle name="20% - 强调文字颜色 1 3 2 15" xfId="309"/>
    <cellStyle name="20% - 强调文字颜色 1 3 2 16" xfId="310"/>
    <cellStyle name="20% - 强调文字颜色 1 3 2 17" xfId="311"/>
    <cellStyle name="20% - 强调文字颜色 1 3 2 18" xfId="312"/>
    <cellStyle name="20% - 强调文字颜色 1 3 2 19" xfId="313"/>
    <cellStyle name="20% - 强调文字颜色 1 3 2 2" xfId="314"/>
    <cellStyle name="20% - 强调文字颜色 1 3 2 20" xfId="315"/>
    <cellStyle name="20% - 强调文字颜色 1 3 2 21" xfId="316"/>
    <cellStyle name="20% - 强调文字颜色 1 3 2 22" xfId="317"/>
    <cellStyle name="20% - 强调文字颜色 1 3 2 23" xfId="318"/>
    <cellStyle name="20% - 强调文字颜色 1 3 2 24" xfId="319"/>
    <cellStyle name="20% - 强调文字颜色 1 3 2 25" xfId="320"/>
    <cellStyle name="20% - 强调文字颜色 1 3 2 26" xfId="321"/>
    <cellStyle name="20% - 强调文字颜色 1 3 2 27" xfId="322"/>
    <cellStyle name="20% - 强调文字颜色 1 3 2 3" xfId="323"/>
    <cellStyle name="20% - 强调文字颜色 1 3 2 4" xfId="324"/>
    <cellStyle name="20% - 强调文字颜色 1 3 2 5" xfId="325"/>
    <cellStyle name="20% - 强调文字颜色 1 3 2 6" xfId="326"/>
    <cellStyle name="20% - 强调文字颜色 1 3 2 7" xfId="327"/>
    <cellStyle name="20% - 强调文字颜色 1 3 2 8" xfId="328"/>
    <cellStyle name="20% - 强调文字颜色 1 3 2 9" xfId="329"/>
    <cellStyle name="20% - 强调文字颜色 1 3 20" xfId="330"/>
    <cellStyle name="20% - 强调文字颜色 1 3 21" xfId="331"/>
    <cellStyle name="20% - 强调文字颜色 1 3 22" xfId="332"/>
    <cellStyle name="20% - 强调文字颜色 1 3 23" xfId="333"/>
    <cellStyle name="20% - 强调文字颜色 1 3 24" xfId="334"/>
    <cellStyle name="20% - 强调文字颜色 1 3 25" xfId="335"/>
    <cellStyle name="20% - 强调文字颜色 1 3 26" xfId="336"/>
    <cellStyle name="20% - 强调文字颜色 1 3 27" xfId="337"/>
    <cellStyle name="20% - 强调文字颜色 1 3 28" xfId="338"/>
    <cellStyle name="20% - 强调文字颜色 1 3 3" xfId="339"/>
    <cellStyle name="20% - 强调文字颜色 1 3 4" xfId="340"/>
    <cellStyle name="20% - 强调文字颜色 1 3 5" xfId="341"/>
    <cellStyle name="20% - 强调文字颜色 1 3 6" xfId="342"/>
    <cellStyle name="20% - 强调文字颜色 1 3 7" xfId="343"/>
    <cellStyle name="20% - 强调文字颜色 1 3 8" xfId="344"/>
    <cellStyle name="20% - 强调文字颜色 1 3 9" xfId="345"/>
    <cellStyle name="20% - 强调文字颜色 1 30" xfId="346"/>
    <cellStyle name="20% - 强调文字颜色 1 31" xfId="347"/>
    <cellStyle name="20% - 强调文字颜色 1 32" xfId="348"/>
    <cellStyle name="20% - 强调文字颜色 1 33" xfId="349"/>
    <cellStyle name="20% - 强调文字颜色 1 34" xfId="350"/>
    <cellStyle name="20% - 强调文字颜色 1 35" xfId="351"/>
    <cellStyle name="20% - 强调文字颜色 1 36" xfId="352"/>
    <cellStyle name="20% - 强调文字颜色 1 37" xfId="353"/>
    <cellStyle name="20% - 强调文字颜色 1 38" xfId="354"/>
    <cellStyle name="20% - 强调文字颜色 1 39" xfId="355"/>
    <cellStyle name="20% - 强调文字颜色 1 4" xfId="356"/>
    <cellStyle name="20% - 强调文字颜色 1 4 10" xfId="357"/>
    <cellStyle name="20% - 强调文字颜色 1 4 11" xfId="358"/>
    <cellStyle name="20% - 强调文字颜色 1 4 12" xfId="359"/>
    <cellStyle name="20% - 强调文字颜色 1 4 13" xfId="360"/>
    <cellStyle name="20% - 强调文字颜色 1 4 14" xfId="361"/>
    <cellStyle name="20% - 强调文字颜色 1 4 15" xfId="362"/>
    <cellStyle name="20% - 强调文字颜色 1 4 16" xfId="363"/>
    <cellStyle name="20% - 强调文字颜色 1 4 17" xfId="364"/>
    <cellStyle name="20% - 强调文字颜色 1 4 18" xfId="365"/>
    <cellStyle name="20% - 强调文字颜色 1 4 19" xfId="366"/>
    <cellStyle name="20% - 强调文字颜色 1 4 2" xfId="367"/>
    <cellStyle name="20% - 强调文字颜色 1 4 2 10" xfId="368"/>
    <cellStyle name="20% - 强调文字颜色 1 4 2 11" xfId="369"/>
    <cellStyle name="20% - 强调文字颜色 1 4 2 12" xfId="370"/>
    <cellStyle name="20% - 强调文字颜色 1 4 2 13" xfId="371"/>
    <cellStyle name="20% - 强调文字颜色 1 4 2 14" xfId="372"/>
    <cellStyle name="20% - 强调文字颜色 1 4 2 15" xfId="373"/>
    <cellStyle name="20% - 强调文字颜色 1 4 2 16" xfId="374"/>
    <cellStyle name="20% - 强调文字颜色 1 4 2 17" xfId="375"/>
    <cellStyle name="20% - 强调文字颜色 1 4 2 18" xfId="376"/>
    <cellStyle name="20% - 强调文字颜色 1 4 2 19" xfId="377"/>
    <cellStyle name="20% - 强调文字颜色 1 4 2 2" xfId="378"/>
    <cellStyle name="20% - 强调文字颜色 1 4 2 20" xfId="379"/>
    <cellStyle name="20% - 强调文字颜色 1 4 2 21" xfId="380"/>
    <cellStyle name="20% - 强调文字颜色 1 4 2 22" xfId="381"/>
    <cellStyle name="20% - 强调文字颜色 1 4 2 23" xfId="382"/>
    <cellStyle name="20% - 强调文字颜色 1 4 2 24" xfId="383"/>
    <cellStyle name="20% - 强调文字颜色 1 4 2 25" xfId="384"/>
    <cellStyle name="20% - 强调文字颜色 1 4 2 26" xfId="385"/>
    <cellStyle name="20% - 强调文字颜色 1 4 2 27" xfId="386"/>
    <cellStyle name="20% - 强调文字颜色 1 4 2 3" xfId="387"/>
    <cellStyle name="20% - 强调文字颜色 1 4 2 4" xfId="388"/>
    <cellStyle name="20% - 强调文字颜色 1 4 2 5" xfId="389"/>
    <cellStyle name="20% - 强调文字颜色 1 4 2 6" xfId="390"/>
    <cellStyle name="20% - 强调文字颜色 1 4 2 7" xfId="391"/>
    <cellStyle name="20% - 强调文字颜色 1 4 2 8" xfId="392"/>
    <cellStyle name="20% - 强调文字颜色 1 4 2 9" xfId="393"/>
    <cellStyle name="20% - 强调文字颜色 1 4 20" xfId="394"/>
    <cellStyle name="20% - 强调文字颜色 1 4 21" xfId="395"/>
    <cellStyle name="20% - 强调文字颜色 1 4 22" xfId="396"/>
    <cellStyle name="20% - 强调文字颜色 1 4 23" xfId="397"/>
    <cellStyle name="20% - 强调文字颜色 1 4 24" xfId="398"/>
    <cellStyle name="20% - 强调文字颜色 1 4 25" xfId="399"/>
    <cellStyle name="20% - 强调文字颜色 1 4 26" xfId="400"/>
    <cellStyle name="20% - 强调文字颜色 1 4 27" xfId="401"/>
    <cellStyle name="20% - 强调文字颜色 1 4 28" xfId="402"/>
    <cellStyle name="20% - 强调文字颜色 1 4 3" xfId="403"/>
    <cellStyle name="20% - 强调文字颜色 1 4 4" xfId="404"/>
    <cellStyle name="20% - 强调文字颜色 1 4 5" xfId="405"/>
    <cellStyle name="20% - 强调文字颜色 1 4 6" xfId="406"/>
    <cellStyle name="20% - 强调文字颜色 1 4 7" xfId="407"/>
    <cellStyle name="20% - 强调文字颜色 1 4 8" xfId="408"/>
    <cellStyle name="20% - 强调文字颜色 1 4 9" xfId="409"/>
    <cellStyle name="20% - 强调文字颜色 1 40" xfId="410"/>
    <cellStyle name="20% - 强调文字颜色 1 5" xfId="411"/>
    <cellStyle name="20% - 强调文字颜色 1 5 10" xfId="412"/>
    <cellStyle name="20% - 强调文字颜色 1 5 11" xfId="413"/>
    <cellStyle name="20% - 强调文字颜色 1 5 12" xfId="414"/>
    <cellStyle name="20% - 强调文字颜色 1 5 13" xfId="415"/>
    <cellStyle name="20% - 强调文字颜色 1 5 14" xfId="416"/>
    <cellStyle name="20% - 强调文字颜色 1 5 15" xfId="417"/>
    <cellStyle name="20% - 强调文字颜色 1 5 16" xfId="418"/>
    <cellStyle name="20% - 强调文字颜色 1 5 17" xfId="419"/>
    <cellStyle name="20% - 强调文字颜色 1 5 18" xfId="420"/>
    <cellStyle name="20% - 强调文字颜色 1 5 19" xfId="421"/>
    <cellStyle name="20% - 强调文字颜色 1 5 2" xfId="422"/>
    <cellStyle name="20% - 强调文字颜色 1 5 2 10" xfId="423"/>
    <cellStyle name="20% - 强调文字颜色 1 5 2 11" xfId="424"/>
    <cellStyle name="20% - 强调文字颜色 1 5 2 12" xfId="425"/>
    <cellStyle name="20% - 强调文字颜色 1 5 2 13" xfId="426"/>
    <cellStyle name="20% - 强调文字颜色 1 5 2 14" xfId="427"/>
    <cellStyle name="20% - 强调文字颜色 1 5 2 15" xfId="428"/>
    <cellStyle name="20% - 强调文字颜色 1 5 2 16" xfId="429"/>
    <cellStyle name="20% - 强调文字颜色 1 5 2 17" xfId="430"/>
    <cellStyle name="20% - 强调文字颜色 1 5 2 18" xfId="431"/>
    <cellStyle name="20% - 强调文字颜色 1 5 2 19" xfId="432"/>
    <cellStyle name="20% - 强调文字颜色 1 5 2 2" xfId="433"/>
    <cellStyle name="20% - 强调文字颜色 1 5 2 20" xfId="434"/>
    <cellStyle name="20% - 强调文字颜色 1 5 2 21" xfId="435"/>
    <cellStyle name="20% - 强调文字颜色 1 5 2 22" xfId="436"/>
    <cellStyle name="20% - 强调文字颜色 1 5 2 23" xfId="437"/>
    <cellStyle name="20% - 强调文字颜色 1 5 2 24" xfId="438"/>
    <cellStyle name="20% - 强调文字颜色 1 5 2 25" xfId="439"/>
    <cellStyle name="20% - 强调文字颜色 1 5 2 26" xfId="440"/>
    <cellStyle name="20% - 强调文字颜色 1 5 2 27" xfId="441"/>
    <cellStyle name="20% - 强调文字颜色 1 5 2 3" xfId="442"/>
    <cellStyle name="20% - 强调文字颜色 1 5 2 4" xfId="443"/>
    <cellStyle name="20% - 强调文字颜色 1 5 2 5" xfId="444"/>
    <cellStyle name="20% - 强调文字颜色 1 5 2 6" xfId="445"/>
    <cellStyle name="20% - 强调文字颜色 1 5 2 7" xfId="446"/>
    <cellStyle name="20% - 强调文字颜色 1 5 2 8" xfId="447"/>
    <cellStyle name="20% - 强调文字颜色 1 5 2 9" xfId="448"/>
    <cellStyle name="20% - 强调文字颜色 1 5 20" xfId="449"/>
    <cellStyle name="20% - 强调文字颜色 1 5 21" xfId="450"/>
    <cellStyle name="20% - 强调文字颜色 1 5 22" xfId="451"/>
    <cellStyle name="20% - 强调文字颜色 1 5 23" xfId="452"/>
    <cellStyle name="20% - 强调文字颜色 1 5 24" xfId="453"/>
    <cellStyle name="20% - 强调文字颜色 1 5 25" xfId="454"/>
    <cellStyle name="20% - 强调文字颜色 1 5 26" xfId="455"/>
    <cellStyle name="20% - 强调文字颜色 1 5 27" xfId="456"/>
    <cellStyle name="20% - 强调文字颜色 1 5 28" xfId="457"/>
    <cellStyle name="20% - 强调文字颜色 1 5 3" xfId="458"/>
    <cellStyle name="20% - 强调文字颜色 1 5 4" xfId="459"/>
    <cellStyle name="20% - 强调文字颜色 1 5 5" xfId="460"/>
    <cellStyle name="20% - 强调文字颜色 1 5 6" xfId="461"/>
    <cellStyle name="20% - 强调文字颜色 1 5 7" xfId="462"/>
    <cellStyle name="20% - 强调文字颜色 1 5 8" xfId="463"/>
    <cellStyle name="20% - 强调文字颜色 1 5 9" xfId="464"/>
    <cellStyle name="20% - 强调文字颜色 1 6" xfId="465"/>
    <cellStyle name="20% - 强调文字颜色 1 6 10" xfId="466"/>
    <cellStyle name="20% - 强调文字颜色 1 6 11" xfId="467"/>
    <cellStyle name="20% - 强调文字颜色 1 6 12" xfId="468"/>
    <cellStyle name="20% - 强调文字颜色 1 6 13" xfId="469"/>
    <cellStyle name="20% - 强调文字颜色 1 6 14" xfId="470"/>
    <cellStyle name="20% - 强调文字颜色 1 6 15" xfId="471"/>
    <cellStyle name="20% - 强调文字颜色 1 6 16" xfId="472"/>
    <cellStyle name="20% - 强调文字颜色 1 6 17" xfId="473"/>
    <cellStyle name="20% - 强调文字颜色 1 6 18" xfId="474"/>
    <cellStyle name="20% - 强调文字颜色 1 6 19" xfId="475"/>
    <cellStyle name="20% - 强调文字颜色 1 6 2" xfId="476"/>
    <cellStyle name="20% - 强调文字颜色 1 6 2 10" xfId="477"/>
    <cellStyle name="20% - 强调文字颜色 1 6 2 11" xfId="478"/>
    <cellStyle name="20% - 强调文字颜色 1 6 2 12" xfId="479"/>
    <cellStyle name="20% - 强调文字颜色 1 6 2 13" xfId="480"/>
    <cellStyle name="20% - 强调文字颜色 1 6 2 14" xfId="481"/>
    <cellStyle name="20% - 强调文字颜色 1 6 2 15" xfId="482"/>
    <cellStyle name="20% - 强调文字颜色 1 6 2 16" xfId="483"/>
    <cellStyle name="20% - 强调文字颜色 1 6 2 17" xfId="484"/>
    <cellStyle name="20% - 强调文字颜色 1 6 2 18" xfId="485"/>
    <cellStyle name="20% - 强调文字颜色 1 6 2 19" xfId="486"/>
    <cellStyle name="20% - 强调文字颜色 1 6 2 2" xfId="487"/>
    <cellStyle name="20% - 强调文字颜色 1 6 2 20" xfId="488"/>
    <cellStyle name="20% - 强调文字颜色 1 6 2 21" xfId="489"/>
    <cellStyle name="20% - 强调文字颜色 1 6 2 22" xfId="490"/>
    <cellStyle name="20% - 强调文字颜色 1 6 2 23" xfId="491"/>
    <cellStyle name="20% - 强调文字颜色 1 6 2 24" xfId="492"/>
    <cellStyle name="20% - 强调文字颜色 1 6 2 25" xfId="493"/>
    <cellStyle name="20% - 强调文字颜色 1 6 2 26" xfId="494"/>
    <cellStyle name="20% - 强调文字颜色 1 6 2 27" xfId="495"/>
    <cellStyle name="20% - 强调文字颜色 1 6 2 3" xfId="496"/>
    <cellStyle name="20% - 强调文字颜色 1 6 2 4" xfId="497"/>
    <cellStyle name="20% - 强调文字颜色 1 6 2 5" xfId="498"/>
    <cellStyle name="20% - 强调文字颜色 1 6 2 6" xfId="499"/>
    <cellStyle name="20% - 强调文字颜色 1 6 2 7" xfId="500"/>
    <cellStyle name="20% - 强调文字颜色 1 6 2 8" xfId="501"/>
    <cellStyle name="20% - 强调文字颜色 1 6 2 9" xfId="502"/>
    <cellStyle name="20% - 强调文字颜色 1 6 20" xfId="503"/>
    <cellStyle name="20% - 强调文字颜色 1 6 21" xfId="504"/>
    <cellStyle name="20% - 强调文字颜色 1 6 22" xfId="505"/>
    <cellStyle name="20% - 强调文字颜色 1 6 23" xfId="506"/>
    <cellStyle name="20% - 强调文字颜色 1 6 24" xfId="507"/>
    <cellStyle name="20% - 强调文字颜色 1 6 25" xfId="508"/>
    <cellStyle name="20% - 强调文字颜色 1 6 26" xfId="509"/>
    <cellStyle name="20% - 强调文字颜色 1 6 27" xfId="510"/>
    <cellStyle name="20% - 强调文字颜色 1 6 28" xfId="511"/>
    <cellStyle name="20% - 强调文字颜色 1 6 3" xfId="512"/>
    <cellStyle name="20% - 强调文字颜色 1 6 4" xfId="513"/>
    <cellStyle name="20% - 强调文字颜色 1 6 5" xfId="514"/>
    <cellStyle name="20% - 强调文字颜色 1 6 6" xfId="515"/>
    <cellStyle name="20% - 强调文字颜色 1 6 7" xfId="516"/>
    <cellStyle name="20% - 强调文字颜色 1 6 8" xfId="517"/>
    <cellStyle name="20% - 强调文字颜色 1 6 9" xfId="518"/>
    <cellStyle name="20% - 强调文字颜色 1 7" xfId="519"/>
    <cellStyle name="20% - 强调文字颜色 1 7 10" xfId="520"/>
    <cellStyle name="20% - 强调文字颜色 1 7 11" xfId="521"/>
    <cellStyle name="20% - 强调文字颜色 1 7 12" xfId="522"/>
    <cellStyle name="20% - 强调文字颜色 1 7 13" xfId="523"/>
    <cellStyle name="20% - 强调文字颜色 1 7 14" xfId="524"/>
    <cellStyle name="20% - 强调文字颜色 1 7 15" xfId="525"/>
    <cellStyle name="20% - 强调文字颜色 1 7 16" xfId="526"/>
    <cellStyle name="20% - 强调文字颜色 1 7 17" xfId="527"/>
    <cellStyle name="20% - 强调文字颜色 1 7 18" xfId="528"/>
    <cellStyle name="20% - 强调文字颜色 1 7 19" xfId="529"/>
    <cellStyle name="20% - 强调文字颜色 1 7 2" xfId="530"/>
    <cellStyle name="20% - 强调文字颜色 1 7 2 10" xfId="531"/>
    <cellStyle name="20% - 强调文字颜色 1 7 2 11" xfId="532"/>
    <cellStyle name="20% - 强调文字颜色 1 7 2 12" xfId="533"/>
    <cellStyle name="20% - 强调文字颜色 1 7 2 13" xfId="534"/>
    <cellStyle name="20% - 强调文字颜色 1 7 2 14" xfId="535"/>
    <cellStyle name="20% - 强调文字颜色 1 7 2 15" xfId="536"/>
    <cellStyle name="20% - 强调文字颜色 1 7 2 16" xfId="537"/>
    <cellStyle name="20% - 强调文字颜色 1 7 2 17" xfId="538"/>
    <cellStyle name="20% - 强调文字颜色 1 7 2 18" xfId="539"/>
    <cellStyle name="20% - 强调文字颜色 1 7 2 19" xfId="540"/>
    <cellStyle name="20% - 强调文字颜色 1 7 2 2" xfId="541"/>
    <cellStyle name="20% - 强调文字颜色 1 7 2 20" xfId="542"/>
    <cellStyle name="20% - 强调文字颜色 1 7 2 21" xfId="543"/>
    <cellStyle name="20% - 强调文字颜色 1 7 2 22" xfId="544"/>
    <cellStyle name="20% - 强调文字颜色 1 7 2 23" xfId="545"/>
    <cellStyle name="20% - 强调文字颜色 1 7 2 24" xfId="546"/>
    <cellStyle name="20% - 强调文字颜色 1 7 2 25" xfId="547"/>
    <cellStyle name="20% - 强调文字颜色 1 7 2 26" xfId="548"/>
    <cellStyle name="20% - 强调文字颜色 1 7 2 27" xfId="549"/>
    <cellStyle name="20% - 强调文字颜色 1 7 2 3" xfId="550"/>
    <cellStyle name="20% - 强调文字颜色 1 7 2 4" xfId="551"/>
    <cellStyle name="20% - 强调文字颜色 1 7 2 5" xfId="552"/>
    <cellStyle name="20% - 强调文字颜色 1 7 2 6" xfId="553"/>
    <cellStyle name="20% - 强调文字颜色 1 7 2 7" xfId="554"/>
    <cellStyle name="20% - 强调文字颜色 1 7 2 8" xfId="555"/>
    <cellStyle name="20% - 强调文字颜色 1 7 2 9" xfId="556"/>
    <cellStyle name="20% - 强调文字颜色 1 7 20" xfId="557"/>
    <cellStyle name="20% - 强调文字颜色 1 7 21" xfId="558"/>
    <cellStyle name="20% - 强调文字颜色 1 7 22" xfId="559"/>
    <cellStyle name="20% - 强调文字颜色 1 7 23" xfId="560"/>
    <cellStyle name="20% - 强调文字颜色 1 7 24" xfId="561"/>
    <cellStyle name="20% - 强调文字颜色 1 7 25" xfId="562"/>
    <cellStyle name="20% - 强调文字颜色 1 7 26" xfId="563"/>
    <cellStyle name="20% - 强调文字颜色 1 7 27" xfId="564"/>
    <cellStyle name="20% - 强调文字颜色 1 7 28" xfId="565"/>
    <cellStyle name="20% - 强调文字颜色 1 7 3" xfId="566"/>
    <cellStyle name="20% - 强调文字颜色 1 7 4" xfId="567"/>
    <cellStyle name="20% - 强调文字颜色 1 7 5" xfId="568"/>
    <cellStyle name="20% - 强调文字颜色 1 7 6" xfId="569"/>
    <cellStyle name="20% - 强调文字颜色 1 7 7" xfId="570"/>
    <cellStyle name="20% - 强调文字颜色 1 7 8" xfId="571"/>
    <cellStyle name="20% - 强调文字颜色 1 7 9" xfId="572"/>
    <cellStyle name="20% - 强调文字颜色 1 8" xfId="573"/>
    <cellStyle name="20% - 强调文字颜色 1 8 10" xfId="574"/>
    <cellStyle name="20% - 强调文字颜色 1 8 11" xfId="575"/>
    <cellStyle name="20% - 强调文字颜色 1 8 12" xfId="576"/>
    <cellStyle name="20% - 强调文字颜色 1 8 13" xfId="577"/>
    <cellStyle name="20% - 强调文字颜色 1 8 14" xfId="578"/>
    <cellStyle name="20% - 强调文字颜色 1 8 15" xfId="579"/>
    <cellStyle name="20% - 强调文字颜色 1 8 16" xfId="580"/>
    <cellStyle name="20% - 强调文字颜色 1 8 17" xfId="581"/>
    <cellStyle name="20% - 强调文字颜色 1 8 18" xfId="582"/>
    <cellStyle name="20% - 强调文字颜色 1 8 19" xfId="583"/>
    <cellStyle name="20% - 强调文字颜色 1 8 2" xfId="584"/>
    <cellStyle name="20% - 强调文字颜色 1 8 2 10" xfId="585"/>
    <cellStyle name="20% - 强调文字颜色 1 8 2 11" xfId="586"/>
    <cellStyle name="20% - 强调文字颜色 1 8 2 12" xfId="587"/>
    <cellStyle name="20% - 强调文字颜色 1 8 2 13" xfId="588"/>
    <cellStyle name="20% - 强调文字颜色 1 8 2 14" xfId="589"/>
    <cellStyle name="20% - 强调文字颜色 1 8 2 15" xfId="590"/>
    <cellStyle name="20% - 强调文字颜色 1 8 2 16" xfId="591"/>
    <cellStyle name="20% - 强调文字颜色 1 8 2 17" xfId="592"/>
    <cellStyle name="20% - 强调文字颜色 1 8 2 18" xfId="593"/>
    <cellStyle name="20% - 强调文字颜色 1 8 2 19" xfId="594"/>
    <cellStyle name="20% - 强调文字颜色 1 8 2 2" xfId="595"/>
    <cellStyle name="20% - 强调文字颜色 1 8 2 20" xfId="596"/>
    <cellStyle name="20% - 强调文字颜色 1 8 2 21" xfId="597"/>
    <cellStyle name="20% - 强调文字颜色 1 8 2 22" xfId="598"/>
    <cellStyle name="20% - 强调文字颜色 1 8 2 23" xfId="599"/>
    <cellStyle name="20% - 强调文字颜色 1 8 2 24" xfId="600"/>
    <cellStyle name="20% - 强调文字颜色 1 8 2 25" xfId="601"/>
    <cellStyle name="20% - 强调文字颜色 1 8 2 26" xfId="602"/>
    <cellStyle name="20% - 强调文字颜色 1 8 2 27" xfId="603"/>
    <cellStyle name="20% - 强调文字颜色 1 8 2 3" xfId="604"/>
    <cellStyle name="20% - 强调文字颜色 1 8 2 4" xfId="605"/>
    <cellStyle name="20% - 强调文字颜色 1 8 2 5" xfId="606"/>
    <cellStyle name="20% - 强调文字颜色 1 8 2 6" xfId="607"/>
    <cellStyle name="20% - 强调文字颜色 1 8 2 7" xfId="608"/>
    <cellStyle name="20% - 强调文字颜色 1 8 2 8" xfId="609"/>
    <cellStyle name="20% - 强调文字颜色 1 8 2 9" xfId="610"/>
    <cellStyle name="20% - 强调文字颜色 1 8 20" xfId="611"/>
    <cellStyle name="20% - 强调文字颜色 1 8 21" xfId="612"/>
    <cellStyle name="20% - 强调文字颜色 1 8 22" xfId="613"/>
    <cellStyle name="20% - 强调文字颜色 1 8 23" xfId="614"/>
    <cellStyle name="20% - 强调文字颜色 1 8 24" xfId="615"/>
    <cellStyle name="20% - 强调文字颜色 1 8 25" xfId="616"/>
    <cellStyle name="20% - 强调文字颜色 1 8 26" xfId="617"/>
    <cellStyle name="20% - 强调文字颜色 1 8 27" xfId="618"/>
    <cellStyle name="20% - 强调文字颜色 1 8 28" xfId="619"/>
    <cellStyle name="20% - 强调文字颜色 1 8 3" xfId="620"/>
    <cellStyle name="20% - 强调文字颜色 1 8 4" xfId="621"/>
    <cellStyle name="20% - 强调文字颜色 1 8 5" xfId="622"/>
    <cellStyle name="20% - 强调文字颜色 1 8 6" xfId="623"/>
    <cellStyle name="20% - 强调文字颜色 1 8 7" xfId="624"/>
    <cellStyle name="20% - 强调文字颜色 1 8 8" xfId="625"/>
    <cellStyle name="20% - 强调文字颜色 1 8 9" xfId="626"/>
    <cellStyle name="20% - 强调文字颜色 1 9" xfId="627"/>
    <cellStyle name="20% - 强调文字颜色 1 9 10" xfId="628"/>
    <cellStyle name="20% - 强调文字颜色 1 9 11" xfId="629"/>
    <cellStyle name="20% - 强调文字颜色 1 9 12" xfId="630"/>
    <cellStyle name="20% - 强调文字颜色 1 9 13" xfId="631"/>
    <cellStyle name="20% - 强调文字颜色 1 9 14" xfId="632"/>
    <cellStyle name="20% - 强调文字颜色 1 9 15" xfId="633"/>
    <cellStyle name="20% - 强调文字颜色 1 9 16" xfId="634"/>
    <cellStyle name="20% - 强调文字颜色 1 9 17" xfId="635"/>
    <cellStyle name="20% - 强调文字颜色 1 9 18" xfId="636"/>
    <cellStyle name="20% - 强调文字颜色 1 9 19" xfId="637"/>
    <cellStyle name="20% - 强调文字颜色 1 9 2" xfId="638"/>
    <cellStyle name="20% - 强调文字颜色 1 9 2 10" xfId="639"/>
    <cellStyle name="20% - 强调文字颜色 1 9 2 11" xfId="640"/>
    <cellStyle name="20% - 强调文字颜色 1 9 2 12" xfId="641"/>
    <cellStyle name="20% - 强调文字颜色 1 9 2 13" xfId="642"/>
    <cellStyle name="20% - 强调文字颜色 1 9 2 14" xfId="643"/>
    <cellStyle name="20% - 强调文字颜色 1 9 2 15" xfId="644"/>
    <cellStyle name="20% - 强调文字颜色 1 9 2 16" xfId="645"/>
    <cellStyle name="20% - 强调文字颜色 1 9 2 17" xfId="646"/>
    <cellStyle name="20% - 强调文字颜色 1 9 2 18" xfId="647"/>
    <cellStyle name="20% - 强调文字颜色 1 9 2 19" xfId="648"/>
    <cellStyle name="20% - 强调文字颜色 1 9 2 2" xfId="649"/>
    <cellStyle name="20% - 强调文字颜色 1 9 2 20" xfId="650"/>
    <cellStyle name="20% - 强调文字颜色 1 9 2 21" xfId="651"/>
    <cellStyle name="20% - 强调文字颜色 1 9 2 22" xfId="652"/>
    <cellStyle name="20% - 强调文字颜色 1 9 2 23" xfId="653"/>
    <cellStyle name="20% - 强调文字颜色 1 9 2 24" xfId="654"/>
    <cellStyle name="20% - 强调文字颜色 1 9 2 25" xfId="655"/>
    <cellStyle name="20% - 强调文字颜色 1 9 2 26" xfId="656"/>
    <cellStyle name="20% - 强调文字颜色 1 9 2 27" xfId="657"/>
    <cellStyle name="20% - 强调文字颜色 1 9 2 3" xfId="658"/>
    <cellStyle name="20% - 强调文字颜色 1 9 2 4" xfId="659"/>
    <cellStyle name="20% - 强调文字颜色 1 9 2 5" xfId="660"/>
    <cellStyle name="20% - 强调文字颜色 1 9 2 6" xfId="661"/>
    <cellStyle name="20% - 强调文字颜色 1 9 2 7" xfId="662"/>
    <cellStyle name="20% - 强调文字颜色 1 9 2 8" xfId="663"/>
    <cellStyle name="20% - 强调文字颜色 1 9 2 9" xfId="664"/>
    <cellStyle name="20% - 强调文字颜色 1 9 20" xfId="665"/>
    <cellStyle name="20% - 强调文字颜色 1 9 21" xfId="666"/>
    <cellStyle name="20% - 强调文字颜色 1 9 22" xfId="667"/>
    <cellStyle name="20% - 强调文字颜色 1 9 23" xfId="668"/>
    <cellStyle name="20% - 强调文字颜色 1 9 24" xfId="669"/>
    <cellStyle name="20% - 强调文字颜色 1 9 25" xfId="670"/>
    <cellStyle name="20% - 强调文字颜色 1 9 26" xfId="671"/>
    <cellStyle name="20% - 强调文字颜色 1 9 27" xfId="672"/>
    <cellStyle name="20% - 强调文字颜色 1 9 28" xfId="673"/>
    <cellStyle name="20% - 强调文字颜色 1 9 3" xfId="674"/>
    <cellStyle name="20% - 强调文字颜色 1 9 4" xfId="675"/>
    <cellStyle name="20% - 强调文字颜色 1 9 5" xfId="676"/>
    <cellStyle name="20% - 强调文字颜色 1 9 6" xfId="677"/>
    <cellStyle name="20% - 强调文字颜色 1 9 7" xfId="678"/>
    <cellStyle name="20% - 强调文字颜色 1 9 8" xfId="679"/>
    <cellStyle name="20% - 强调文字颜色 1 9 9" xfId="680"/>
    <cellStyle name="20% - 强调文字颜色 2 10" xfId="681"/>
    <cellStyle name="20% - 强调文字颜色 2 10 10" xfId="682"/>
    <cellStyle name="20% - 强调文字颜色 2 10 11" xfId="683"/>
    <cellStyle name="20% - 强调文字颜色 2 10 12" xfId="684"/>
    <cellStyle name="20% - 强调文字颜色 2 10 13" xfId="685"/>
    <cellStyle name="20% - 强调文字颜色 2 10 14" xfId="686"/>
    <cellStyle name="20% - 强调文字颜色 2 10 15" xfId="687"/>
    <cellStyle name="20% - 强调文字颜色 2 10 16" xfId="688"/>
    <cellStyle name="20% - 强调文字颜色 2 10 17" xfId="689"/>
    <cellStyle name="20% - 强调文字颜色 2 10 18" xfId="690"/>
    <cellStyle name="20% - 强调文字颜色 2 10 19" xfId="691"/>
    <cellStyle name="20% - 强调文字颜色 2 10 2" xfId="692"/>
    <cellStyle name="20% - 强调文字颜色 2 10 2 10" xfId="693"/>
    <cellStyle name="20% - 强调文字颜色 2 10 2 11" xfId="694"/>
    <cellStyle name="20% - 强调文字颜色 2 10 2 12" xfId="695"/>
    <cellStyle name="20% - 强调文字颜色 2 10 2 13" xfId="696"/>
    <cellStyle name="20% - 强调文字颜色 2 10 2 14" xfId="697"/>
    <cellStyle name="20% - 强调文字颜色 2 10 2 15" xfId="698"/>
    <cellStyle name="20% - 强调文字颜色 2 10 2 16" xfId="699"/>
    <cellStyle name="20% - 强调文字颜色 2 10 2 17" xfId="700"/>
    <cellStyle name="20% - 强调文字颜色 2 10 2 18" xfId="701"/>
    <cellStyle name="20% - 强调文字颜色 2 10 2 19" xfId="702"/>
    <cellStyle name="20% - 强调文字颜色 2 10 2 2" xfId="703"/>
    <cellStyle name="20% - 强调文字颜色 2 10 2 20" xfId="704"/>
    <cellStyle name="20% - 强调文字颜色 2 10 2 21" xfId="705"/>
    <cellStyle name="20% - 强调文字颜色 2 10 2 22" xfId="706"/>
    <cellStyle name="20% - 强调文字颜色 2 10 2 23" xfId="707"/>
    <cellStyle name="20% - 强调文字颜色 2 10 2 24" xfId="708"/>
    <cellStyle name="20% - 强调文字颜色 2 10 2 25" xfId="709"/>
    <cellStyle name="20% - 强调文字颜色 2 10 2 26" xfId="710"/>
    <cellStyle name="20% - 强调文字颜色 2 10 2 27" xfId="711"/>
    <cellStyle name="20% - 强调文字颜色 2 10 2 3" xfId="712"/>
    <cellStyle name="20% - 强调文字颜色 2 10 2 4" xfId="713"/>
    <cellStyle name="20% - 强调文字颜色 2 10 2 5" xfId="714"/>
    <cellStyle name="20% - 强调文字颜色 2 10 2 6" xfId="715"/>
    <cellStyle name="20% - 强调文字颜色 2 10 2 7" xfId="716"/>
    <cellStyle name="20% - 强调文字颜色 2 10 2 8" xfId="717"/>
    <cellStyle name="20% - 强调文字颜色 2 10 2 9" xfId="718"/>
    <cellStyle name="20% - 强调文字颜色 2 10 20" xfId="719"/>
    <cellStyle name="20% - 强调文字颜色 2 10 21" xfId="720"/>
    <cellStyle name="20% - 强调文字颜色 2 10 22" xfId="721"/>
    <cellStyle name="20% - 强调文字颜色 2 10 23" xfId="722"/>
    <cellStyle name="20% - 强调文字颜色 2 10 24" xfId="723"/>
    <cellStyle name="20% - 强调文字颜色 2 10 25" xfId="724"/>
    <cellStyle name="20% - 强调文字颜色 2 10 26" xfId="725"/>
    <cellStyle name="20% - 强调文字颜色 2 10 27" xfId="726"/>
    <cellStyle name="20% - 强调文字颜色 2 10 28" xfId="727"/>
    <cellStyle name="20% - 强调文字颜色 2 10 3" xfId="728"/>
    <cellStyle name="20% - 强调文字颜色 2 10 4" xfId="729"/>
    <cellStyle name="20% - 强调文字颜色 2 10 5" xfId="730"/>
    <cellStyle name="20% - 强调文字颜色 2 10 6" xfId="731"/>
    <cellStyle name="20% - 强调文字颜色 2 10 7" xfId="732"/>
    <cellStyle name="20% - 强调文字颜色 2 10 8" xfId="733"/>
    <cellStyle name="20% - 强调文字颜色 2 10 9" xfId="734"/>
    <cellStyle name="20% - 强调文字颜色 2 11" xfId="735"/>
    <cellStyle name="20% - 强调文字颜色 2 11 10" xfId="736"/>
    <cellStyle name="20% - 强调文字颜色 2 11 11" xfId="737"/>
    <cellStyle name="20% - 强调文字颜色 2 11 12" xfId="738"/>
    <cellStyle name="20% - 强调文字颜色 2 11 13" xfId="739"/>
    <cellStyle name="20% - 强调文字颜色 2 11 14" xfId="740"/>
    <cellStyle name="20% - 强调文字颜色 2 11 15" xfId="741"/>
    <cellStyle name="20% - 强调文字颜色 2 11 16" xfId="742"/>
    <cellStyle name="20% - 强调文字颜色 2 11 17" xfId="743"/>
    <cellStyle name="20% - 强调文字颜色 2 11 18" xfId="744"/>
    <cellStyle name="20% - 强调文字颜色 2 11 19" xfId="745"/>
    <cellStyle name="20% - 强调文字颜色 2 11 2" xfId="746"/>
    <cellStyle name="20% - 强调文字颜色 2 11 2 10" xfId="747"/>
    <cellStyle name="20% - 强调文字颜色 2 11 2 11" xfId="748"/>
    <cellStyle name="20% - 强调文字颜色 2 11 2 12" xfId="749"/>
    <cellStyle name="20% - 强调文字颜色 2 11 2 13" xfId="750"/>
    <cellStyle name="20% - 强调文字颜色 2 11 2 14" xfId="751"/>
    <cellStyle name="20% - 强调文字颜色 2 11 2 15" xfId="752"/>
    <cellStyle name="20% - 强调文字颜色 2 11 2 16" xfId="753"/>
    <cellStyle name="20% - 强调文字颜色 2 11 2 17" xfId="754"/>
    <cellStyle name="20% - 强调文字颜色 2 11 2 18" xfId="755"/>
    <cellStyle name="20% - 强调文字颜色 2 11 2 19" xfId="756"/>
    <cellStyle name="20% - 强调文字颜色 2 11 2 2" xfId="757"/>
    <cellStyle name="20% - 强调文字颜色 2 11 2 20" xfId="758"/>
    <cellStyle name="20% - 强调文字颜色 2 11 2 21" xfId="759"/>
    <cellStyle name="20% - 强调文字颜色 2 11 2 22" xfId="760"/>
    <cellStyle name="20% - 强调文字颜色 2 11 2 23" xfId="761"/>
    <cellStyle name="20% - 强调文字颜色 2 11 2 24" xfId="762"/>
    <cellStyle name="20% - 强调文字颜色 2 11 2 25" xfId="763"/>
    <cellStyle name="20% - 强调文字颜色 2 11 2 26" xfId="764"/>
    <cellStyle name="20% - 强调文字颜色 2 11 2 27" xfId="765"/>
    <cellStyle name="20% - 强调文字颜色 2 11 2 3" xfId="766"/>
    <cellStyle name="20% - 强调文字颜色 2 11 2 4" xfId="767"/>
    <cellStyle name="20% - 强调文字颜色 2 11 2 5" xfId="768"/>
    <cellStyle name="20% - 强调文字颜色 2 11 2 6" xfId="769"/>
    <cellStyle name="20% - 强调文字颜色 2 11 2 7" xfId="770"/>
    <cellStyle name="20% - 强调文字颜色 2 11 2 8" xfId="771"/>
    <cellStyle name="20% - 强调文字颜色 2 11 2 9" xfId="772"/>
    <cellStyle name="20% - 强调文字颜色 2 11 20" xfId="773"/>
    <cellStyle name="20% - 强调文字颜色 2 11 21" xfId="774"/>
    <cellStyle name="20% - 强调文字颜色 2 11 22" xfId="775"/>
    <cellStyle name="20% - 强调文字颜色 2 11 23" xfId="776"/>
    <cellStyle name="20% - 强调文字颜色 2 11 24" xfId="777"/>
    <cellStyle name="20% - 强调文字颜色 2 11 25" xfId="778"/>
    <cellStyle name="20% - 强调文字颜色 2 11 26" xfId="779"/>
    <cellStyle name="20% - 强调文字颜色 2 11 27" xfId="780"/>
    <cellStyle name="20% - 强调文字颜色 2 11 28" xfId="781"/>
    <cellStyle name="20% - 强调文字颜色 2 11 3" xfId="782"/>
    <cellStyle name="20% - 强调文字颜色 2 11 4" xfId="783"/>
    <cellStyle name="20% - 强调文字颜色 2 11 5" xfId="784"/>
    <cellStyle name="20% - 强调文字颜色 2 11 6" xfId="785"/>
    <cellStyle name="20% - 强调文字颜色 2 11 7" xfId="786"/>
    <cellStyle name="20% - 强调文字颜色 2 11 8" xfId="787"/>
    <cellStyle name="20% - 强调文字颜色 2 11 9" xfId="788"/>
    <cellStyle name="20% - 强调文字颜色 2 12" xfId="789"/>
    <cellStyle name="20% - 强调文字颜色 2 13" xfId="790"/>
    <cellStyle name="20% - 强调文字颜色 2 14" xfId="791"/>
    <cellStyle name="20% - 强调文字颜色 2 15" xfId="792"/>
    <cellStyle name="20% - 强调文字颜色 2 16" xfId="793"/>
    <cellStyle name="20% - 强调文字颜色 2 17" xfId="794"/>
    <cellStyle name="20% - 强调文字颜色 2 18" xfId="795"/>
    <cellStyle name="20% - 强调文字颜色 2 19" xfId="796"/>
    <cellStyle name="20% - 强调文字颜色 2 2" xfId="797"/>
    <cellStyle name="20% - 强调文字颜色 2 2 10" xfId="798"/>
    <cellStyle name="20% - 强调文字颜色 2 2 11" xfId="799"/>
    <cellStyle name="20% - 强调文字颜色 2 2 12" xfId="800"/>
    <cellStyle name="20% - 强调文字颜色 2 2 13" xfId="801"/>
    <cellStyle name="20% - 强调文字颜色 2 2 14" xfId="802"/>
    <cellStyle name="20% - 强调文字颜色 2 2 15" xfId="803"/>
    <cellStyle name="20% - 强调文字颜色 2 2 16" xfId="804"/>
    <cellStyle name="20% - 强调文字颜色 2 2 17" xfId="805"/>
    <cellStyle name="20% - 强调文字颜色 2 2 18" xfId="806"/>
    <cellStyle name="20% - 强调文字颜色 2 2 19" xfId="807"/>
    <cellStyle name="20% - 强调文字颜色 2 2 2" xfId="808"/>
    <cellStyle name="20% - 强调文字颜色 2 2 2 10" xfId="809"/>
    <cellStyle name="20% - 强调文字颜色 2 2 2 11" xfId="810"/>
    <cellStyle name="20% - 强调文字颜色 2 2 2 12" xfId="811"/>
    <cellStyle name="20% - 强调文字颜色 2 2 2 13" xfId="812"/>
    <cellStyle name="20% - 强调文字颜色 2 2 2 14" xfId="813"/>
    <cellStyle name="20% - 强调文字颜色 2 2 2 15" xfId="814"/>
    <cellStyle name="20% - 强调文字颜色 2 2 2 16" xfId="815"/>
    <cellStyle name="20% - 强调文字颜色 2 2 2 17" xfId="816"/>
    <cellStyle name="20% - 强调文字颜色 2 2 2 18" xfId="817"/>
    <cellStyle name="20% - 强调文字颜色 2 2 2 19" xfId="818"/>
    <cellStyle name="20% - 强调文字颜色 2 2 2 2" xfId="819"/>
    <cellStyle name="20% - 强调文字颜色 2 2 2 2 10" xfId="820"/>
    <cellStyle name="20% - 强调文字颜色 2 2 2 2 11" xfId="821"/>
    <cellStyle name="20% - 强调文字颜色 2 2 2 2 12" xfId="822"/>
    <cellStyle name="20% - 强调文字颜色 2 2 2 2 13" xfId="823"/>
    <cellStyle name="20% - 强调文字颜色 2 2 2 2 14" xfId="824"/>
    <cellStyle name="20% - 强调文字颜色 2 2 2 2 15" xfId="825"/>
    <cellStyle name="20% - 强调文字颜色 2 2 2 2 16" xfId="826"/>
    <cellStyle name="20% - 强调文字颜色 2 2 2 2 17" xfId="827"/>
    <cellStyle name="20% - 强调文字颜色 2 2 2 2 18" xfId="828"/>
    <cellStyle name="20% - 强调文字颜色 2 2 2 2 19" xfId="829"/>
    <cellStyle name="20% - 强调文字颜色 2 2 2 2 2" xfId="830"/>
    <cellStyle name="20% - 强调文字颜色 2 2 2 2 20" xfId="831"/>
    <cellStyle name="20% - 强调文字颜色 2 2 2 2 21" xfId="832"/>
    <cellStyle name="20% - 强调文字颜色 2 2 2 2 22" xfId="833"/>
    <cellStyle name="20% - 强调文字颜色 2 2 2 2 23" xfId="834"/>
    <cellStyle name="20% - 强调文字颜色 2 2 2 2 24" xfId="835"/>
    <cellStyle name="20% - 强调文字颜色 2 2 2 2 25" xfId="836"/>
    <cellStyle name="20% - 强调文字颜色 2 2 2 2 26" xfId="837"/>
    <cellStyle name="20% - 强调文字颜色 2 2 2 2 27" xfId="838"/>
    <cellStyle name="20% - 强调文字颜色 2 2 2 2 3" xfId="839"/>
    <cellStyle name="20% - 强调文字颜色 2 2 2 2 4" xfId="840"/>
    <cellStyle name="20% - 强调文字颜色 2 2 2 2 5" xfId="841"/>
    <cellStyle name="20% - 强调文字颜色 2 2 2 2 6" xfId="842"/>
    <cellStyle name="20% - 强调文字颜色 2 2 2 2 7" xfId="843"/>
    <cellStyle name="20% - 强调文字颜色 2 2 2 2 8" xfId="844"/>
    <cellStyle name="20% - 强调文字颜色 2 2 2 2 9" xfId="845"/>
    <cellStyle name="20% - 强调文字颜色 2 2 2 20" xfId="846"/>
    <cellStyle name="20% - 强调文字颜色 2 2 2 21" xfId="847"/>
    <cellStyle name="20% - 强调文字颜色 2 2 2 22" xfId="848"/>
    <cellStyle name="20% - 强调文字颜色 2 2 2 23" xfId="849"/>
    <cellStyle name="20% - 强调文字颜色 2 2 2 24" xfId="850"/>
    <cellStyle name="20% - 强调文字颜色 2 2 2 25" xfId="851"/>
    <cellStyle name="20% - 强调文字颜色 2 2 2 26" xfId="852"/>
    <cellStyle name="20% - 强调文字颜色 2 2 2 27" xfId="853"/>
    <cellStyle name="20% - 强调文字颜色 2 2 2 28" xfId="854"/>
    <cellStyle name="20% - 强调文字颜色 2 2 2 3" xfId="855"/>
    <cellStyle name="20% - 强调文字颜色 2 2 2 4" xfId="856"/>
    <cellStyle name="20% - 强调文字颜色 2 2 2 5" xfId="857"/>
    <cellStyle name="20% - 强调文字颜色 2 2 2 6" xfId="858"/>
    <cellStyle name="20% - 强调文字颜色 2 2 2 7" xfId="859"/>
    <cellStyle name="20% - 强调文字颜色 2 2 2 8" xfId="860"/>
    <cellStyle name="20% - 强调文字颜色 2 2 2 9" xfId="861"/>
    <cellStyle name="20% - 强调文字颜色 2 2 20" xfId="862"/>
    <cellStyle name="20% - 强调文字颜色 2 2 21" xfId="863"/>
    <cellStyle name="20% - 强调文字颜色 2 2 22" xfId="864"/>
    <cellStyle name="20% - 强调文字颜色 2 2 23" xfId="865"/>
    <cellStyle name="20% - 强调文字颜色 2 2 24" xfId="866"/>
    <cellStyle name="20% - 强调文字颜色 2 2 25" xfId="867"/>
    <cellStyle name="20% - 强调文字颜色 2 2 26" xfId="868"/>
    <cellStyle name="20% - 强调文字颜色 2 2 27" xfId="869"/>
    <cellStyle name="20% - 强调文字颜色 2 2 28" xfId="870"/>
    <cellStyle name="20% - 强调文字颜色 2 2 29" xfId="871"/>
    <cellStyle name="20% - 强调文字颜色 2 2 3" xfId="872"/>
    <cellStyle name="20% - 强调文字颜色 2 2 3 10" xfId="873"/>
    <cellStyle name="20% - 强调文字颜色 2 2 3 11" xfId="874"/>
    <cellStyle name="20% - 强调文字颜色 2 2 3 12" xfId="875"/>
    <cellStyle name="20% - 强调文字颜色 2 2 3 13" xfId="876"/>
    <cellStyle name="20% - 强调文字颜色 2 2 3 14" xfId="877"/>
    <cellStyle name="20% - 强调文字颜色 2 2 3 15" xfId="878"/>
    <cellStyle name="20% - 强调文字颜色 2 2 3 16" xfId="879"/>
    <cellStyle name="20% - 强调文字颜色 2 2 3 17" xfId="880"/>
    <cellStyle name="20% - 强调文字颜色 2 2 3 18" xfId="881"/>
    <cellStyle name="20% - 强调文字颜色 2 2 3 19" xfId="882"/>
    <cellStyle name="20% - 强调文字颜色 2 2 3 2" xfId="883"/>
    <cellStyle name="20% - 强调文字颜色 2 2 3 2 10" xfId="884"/>
    <cellStyle name="20% - 强调文字颜色 2 2 3 2 11" xfId="885"/>
    <cellStyle name="20% - 强调文字颜色 2 2 3 2 12" xfId="886"/>
    <cellStyle name="20% - 强调文字颜色 2 2 3 2 13" xfId="887"/>
    <cellStyle name="20% - 强调文字颜色 2 2 3 2 14" xfId="888"/>
    <cellStyle name="20% - 强调文字颜色 2 2 3 2 15" xfId="889"/>
    <cellStyle name="20% - 强调文字颜色 2 2 3 2 16" xfId="890"/>
    <cellStyle name="20% - 强调文字颜色 2 2 3 2 17" xfId="891"/>
    <cellStyle name="20% - 强调文字颜色 2 2 3 2 18" xfId="892"/>
    <cellStyle name="20% - 强调文字颜色 2 2 3 2 19" xfId="893"/>
    <cellStyle name="20% - 强调文字颜色 2 2 3 2 2" xfId="894"/>
    <cellStyle name="20% - 强调文字颜色 2 2 3 2 20" xfId="895"/>
    <cellStyle name="20% - 强调文字颜色 2 2 3 2 21" xfId="896"/>
    <cellStyle name="20% - 强调文字颜色 2 2 3 2 22" xfId="897"/>
    <cellStyle name="20% - 强调文字颜色 2 2 3 2 23" xfId="898"/>
    <cellStyle name="20% - 强调文字颜色 2 2 3 2 24" xfId="899"/>
    <cellStyle name="20% - 强调文字颜色 2 2 3 2 25" xfId="900"/>
    <cellStyle name="20% - 强调文字颜色 2 2 3 2 26" xfId="901"/>
    <cellStyle name="20% - 强调文字颜色 2 2 3 2 27" xfId="902"/>
    <cellStyle name="20% - 强调文字颜色 2 2 3 2 3" xfId="903"/>
    <cellStyle name="20% - 强调文字颜色 2 2 3 2 4" xfId="904"/>
    <cellStyle name="20% - 强调文字颜色 2 2 3 2 5" xfId="905"/>
    <cellStyle name="20% - 强调文字颜色 2 2 3 2 6" xfId="906"/>
    <cellStyle name="20% - 强调文字颜色 2 2 3 2 7" xfId="907"/>
    <cellStyle name="20% - 强调文字颜色 2 2 3 2 8" xfId="908"/>
    <cellStyle name="20% - 强调文字颜色 2 2 3 2 9" xfId="909"/>
    <cellStyle name="20% - 强调文字颜色 2 2 3 20" xfId="910"/>
    <cellStyle name="20% - 强调文字颜色 2 2 3 21" xfId="911"/>
    <cellStyle name="20% - 强调文字颜色 2 2 3 22" xfId="912"/>
    <cellStyle name="20% - 强调文字颜色 2 2 3 23" xfId="913"/>
    <cellStyle name="20% - 强调文字颜色 2 2 3 24" xfId="914"/>
    <cellStyle name="20% - 强调文字颜色 2 2 3 25" xfId="915"/>
    <cellStyle name="20% - 强调文字颜色 2 2 3 26" xfId="916"/>
    <cellStyle name="20% - 强调文字颜色 2 2 3 27" xfId="917"/>
    <cellStyle name="20% - 强调文字颜色 2 2 3 28" xfId="918"/>
    <cellStyle name="20% - 强调文字颜色 2 2 3 3" xfId="919"/>
    <cellStyle name="20% - 强调文字颜色 2 2 3 4" xfId="920"/>
    <cellStyle name="20% - 强调文字颜色 2 2 3 5" xfId="921"/>
    <cellStyle name="20% - 强调文字颜色 2 2 3 6" xfId="922"/>
    <cellStyle name="20% - 强调文字颜色 2 2 3 7" xfId="923"/>
    <cellStyle name="20% - 强调文字颜色 2 2 3 8" xfId="924"/>
    <cellStyle name="20% - 强调文字颜色 2 2 3 9" xfId="925"/>
    <cellStyle name="20% - 强调文字颜色 2 2 30" xfId="926"/>
    <cellStyle name="20% - 强调文字颜色 2 2 31" xfId="927"/>
    <cellStyle name="20% - 强调文字颜色 2 2 32" xfId="928"/>
    <cellStyle name="20% - 强调文字颜色 2 2 33" xfId="929"/>
    <cellStyle name="20% - 强调文字颜色 2 2 4" xfId="930"/>
    <cellStyle name="20% - 强调文字颜色 2 2 4 10" xfId="931"/>
    <cellStyle name="20% - 强调文字颜色 2 2 4 11" xfId="932"/>
    <cellStyle name="20% - 强调文字颜色 2 2 4 12" xfId="933"/>
    <cellStyle name="20% - 强调文字颜色 2 2 4 13" xfId="934"/>
    <cellStyle name="20% - 强调文字颜色 2 2 4 14" xfId="935"/>
    <cellStyle name="20% - 强调文字颜色 2 2 4 15" xfId="936"/>
    <cellStyle name="20% - 强调文字颜色 2 2 4 16" xfId="937"/>
    <cellStyle name="20% - 强调文字颜色 2 2 4 17" xfId="938"/>
    <cellStyle name="20% - 强调文字颜色 2 2 4 18" xfId="939"/>
    <cellStyle name="20% - 强调文字颜色 2 2 4 19" xfId="940"/>
    <cellStyle name="20% - 强调文字颜色 2 2 4 2" xfId="941"/>
    <cellStyle name="20% - 强调文字颜色 2 2 4 20" xfId="942"/>
    <cellStyle name="20% - 强调文字颜色 2 2 4 21" xfId="943"/>
    <cellStyle name="20% - 强调文字颜色 2 2 4 22" xfId="944"/>
    <cellStyle name="20% - 强调文字颜色 2 2 4 23" xfId="945"/>
    <cellStyle name="20% - 强调文字颜色 2 2 4 24" xfId="946"/>
    <cellStyle name="20% - 强调文字颜色 2 2 4 25" xfId="947"/>
    <cellStyle name="20% - 强调文字颜色 2 2 4 26" xfId="948"/>
    <cellStyle name="20% - 强调文字颜色 2 2 4 27" xfId="949"/>
    <cellStyle name="20% - 强调文字颜色 2 2 4 3" xfId="950"/>
    <cellStyle name="20% - 强调文字颜色 2 2 4 4" xfId="951"/>
    <cellStyle name="20% - 强调文字颜色 2 2 4 5" xfId="952"/>
    <cellStyle name="20% - 强调文字颜色 2 2 4 6" xfId="953"/>
    <cellStyle name="20% - 强调文字颜色 2 2 4 7" xfId="954"/>
    <cellStyle name="20% - 强调文字颜色 2 2 4 8" xfId="955"/>
    <cellStyle name="20% - 强调文字颜色 2 2 4 9" xfId="956"/>
    <cellStyle name="20% - 强调文字颜色 2 2 5" xfId="957"/>
    <cellStyle name="20% - 强调文字颜色 2 2 6" xfId="958"/>
    <cellStyle name="20% - 强调文字颜色 2 2 7" xfId="959"/>
    <cellStyle name="20% - 强调文字颜色 2 2 8" xfId="960"/>
    <cellStyle name="20% - 强调文字颜色 2 2 9" xfId="961"/>
    <cellStyle name="20% - 强调文字颜色 2 20" xfId="962"/>
    <cellStyle name="20% - 强调文字颜色 2 21" xfId="963"/>
    <cellStyle name="20% - 强调文字颜色 2 22" xfId="964"/>
    <cellStyle name="20% - 强调文字颜色 2 23" xfId="965"/>
    <cellStyle name="20% - 强调文字颜色 2 24" xfId="966"/>
    <cellStyle name="20% - 强调文字颜色 2 25" xfId="967"/>
    <cellStyle name="20% - 强调文字颜色 2 26" xfId="968"/>
    <cellStyle name="20% - 强调文字颜色 2 27" xfId="969"/>
    <cellStyle name="20% - 强调文字颜色 2 28" xfId="970"/>
    <cellStyle name="20% - 强调文字颜色 2 29" xfId="971"/>
    <cellStyle name="20% - 强调文字颜色 2 3" xfId="972"/>
    <cellStyle name="20% - 强调文字颜色 2 3 10" xfId="973"/>
    <cellStyle name="20% - 强调文字颜色 2 3 11" xfId="974"/>
    <cellStyle name="20% - 强调文字颜色 2 3 12" xfId="975"/>
    <cellStyle name="20% - 强调文字颜色 2 3 13" xfId="976"/>
    <cellStyle name="20% - 强调文字颜色 2 3 14" xfId="977"/>
    <cellStyle name="20% - 强调文字颜色 2 3 15" xfId="978"/>
    <cellStyle name="20% - 强调文字颜色 2 3 16" xfId="979"/>
    <cellStyle name="20% - 强调文字颜色 2 3 17" xfId="980"/>
    <cellStyle name="20% - 强调文字颜色 2 3 18" xfId="981"/>
    <cellStyle name="20% - 强调文字颜色 2 3 19" xfId="982"/>
    <cellStyle name="20% - 强调文字颜色 2 3 2" xfId="983"/>
    <cellStyle name="20% - 强调文字颜色 2 3 2 10" xfId="984"/>
    <cellStyle name="20% - 强调文字颜色 2 3 2 11" xfId="985"/>
    <cellStyle name="20% - 强调文字颜色 2 3 2 12" xfId="986"/>
    <cellStyle name="20% - 强调文字颜色 2 3 2 13" xfId="987"/>
    <cellStyle name="20% - 强调文字颜色 2 3 2 14" xfId="988"/>
    <cellStyle name="20% - 强调文字颜色 2 3 2 15" xfId="989"/>
    <cellStyle name="20% - 强调文字颜色 2 3 2 16" xfId="990"/>
    <cellStyle name="20% - 强调文字颜色 2 3 2 17" xfId="991"/>
    <cellStyle name="20% - 强调文字颜色 2 3 2 18" xfId="992"/>
    <cellStyle name="20% - 强调文字颜色 2 3 2 19" xfId="993"/>
    <cellStyle name="20% - 强调文字颜色 2 3 2 2" xfId="994"/>
    <cellStyle name="20% - 强调文字颜色 2 3 2 20" xfId="995"/>
    <cellStyle name="20% - 强调文字颜色 2 3 2 21" xfId="996"/>
    <cellStyle name="20% - 强调文字颜色 2 3 2 22" xfId="997"/>
    <cellStyle name="20% - 强调文字颜色 2 3 2 23" xfId="998"/>
    <cellStyle name="20% - 强调文字颜色 2 3 2 24" xfId="999"/>
    <cellStyle name="20% - 强调文字颜色 2 3 2 25" xfId="1000"/>
    <cellStyle name="20% - 强调文字颜色 2 3 2 26" xfId="1001"/>
    <cellStyle name="20% - 强调文字颜色 2 3 2 27" xfId="1002"/>
    <cellStyle name="20% - 强调文字颜色 2 3 2 3" xfId="1003"/>
    <cellStyle name="20% - 强调文字颜色 2 3 2 4" xfId="1004"/>
    <cellStyle name="20% - 强调文字颜色 2 3 2 5" xfId="1005"/>
    <cellStyle name="20% - 强调文字颜色 2 3 2 6" xfId="1006"/>
    <cellStyle name="20% - 强调文字颜色 2 3 2 7" xfId="1007"/>
    <cellStyle name="20% - 强调文字颜色 2 3 2 8" xfId="1008"/>
    <cellStyle name="20% - 强调文字颜色 2 3 2 9" xfId="1009"/>
    <cellStyle name="20% - 强调文字颜色 2 3 20" xfId="1010"/>
    <cellStyle name="20% - 强调文字颜色 2 3 21" xfId="1011"/>
    <cellStyle name="20% - 强调文字颜色 2 3 22" xfId="1012"/>
    <cellStyle name="20% - 强调文字颜色 2 3 23" xfId="1013"/>
    <cellStyle name="20% - 强调文字颜色 2 3 24" xfId="1014"/>
    <cellStyle name="20% - 强调文字颜色 2 3 25" xfId="1015"/>
    <cellStyle name="20% - 强调文字颜色 2 3 26" xfId="1016"/>
    <cellStyle name="20% - 强调文字颜色 2 3 27" xfId="1017"/>
    <cellStyle name="20% - 强调文字颜色 2 3 28" xfId="1018"/>
    <cellStyle name="20% - 强调文字颜色 2 3 3" xfId="1019"/>
    <cellStyle name="20% - 强调文字颜色 2 3 4" xfId="1020"/>
    <cellStyle name="20% - 强调文字颜色 2 3 5" xfId="1021"/>
    <cellStyle name="20% - 强调文字颜色 2 3 6" xfId="1022"/>
    <cellStyle name="20% - 强调文字颜色 2 3 7" xfId="1023"/>
    <cellStyle name="20% - 强调文字颜色 2 3 8" xfId="1024"/>
    <cellStyle name="20% - 强调文字颜色 2 3 9" xfId="1025"/>
    <cellStyle name="20% - 强调文字颜色 2 30" xfId="1026"/>
    <cellStyle name="20% - 强调文字颜色 2 31" xfId="1027"/>
    <cellStyle name="20% - 强调文字颜色 2 32" xfId="1028"/>
    <cellStyle name="20% - 强调文字颜色 2 33" xfId="1029"/>
    <cellStyle name="20% - 强调文字颜色 2 34" xfId="1030"/>
    <cellStyle name="20% - 强调文字颜色 2 35" xfId="1031"/>
    <cellStyle name="20% - 强调文字颜色 2 36" xfId="1032"/>
    <cellStyle name="20% - 强调文字颜色 2 37" xfId="1033"/>
    <cellStyle name="20% - 强调文字颜色 2 38" xfId="1034"/>
    <cellStyle name="20% - 强调文字颜色 2 39" xfId="1035"/>
    <cellStyle name="20% - 强调文字颜色 2 4" xfId="1036"/>
    <cellStyle name="20% - 强调文字颜色 2 4 10" xfId="1037"/>
    <cellStyle name="20% - 强调文字颜色 2 4 11" xfId="1038"/>
    <cellStyle name="20% - 强调文字颜色 2 4 12" xfId="1039"/>
    <cellStyle name="20% - 强调文字颜色 2 4 13" xfId="1040"/>
    <cellStyle name="20% - 强调文字颜色 2 4 14" xfId="1041"/>
    <cellStyle name="20% - 强调文字颜色 2 4 15" xfId="1042"/>
    <cellStyle name="20% - 强调文字颜色 2 4 16" xfId="1043"/>
    <cellStyle name="20% - 强调文字颜色 2 4 17" xfId="1044"/>
    <cellStyle name="20% - 强调文字颜色 2 4 18" xfId="1045"/>
    <cellStyle name="20% - 强调文字颜色 2 4 19" xfId="1046"/>
    <cellStyle name="20% - 强调文字颜色 2 4 2" xfId="1047"/>
    <cellStyle name="20% - 强调文字颜色 2 4 2 10" xfId="1048"/>
    <cellStyle name="20% - 强调文字颜色 2 4 2 11" xfId="1049"/>
    <cellStyle name="20% - 强调文字颜色 2 4 2 12" xfId="1050"/>
    <cellStyle name="20% - 强调文字颜色 2 4 2 13" xfId="1051"/>
    <cellStyle name="20% - 强调文字颜色 2 4 2 14" xfId="1052"/>
    <cellStyle name="20% - 强调文字颜色 2 4 2 15" xfId="1053"/>
    <cellStyle name="20% - 强调文字颜色 2 4 2 16" xfId="1054"/>
    <cellStyle name="20% - 强调文字颜色 2 4 2 17" xfId="1055"/>
    <cellStyle name="20% - 强调文字颜色 2 4 2 18" xfId="1056"/>
    <cellStyle name="20% - 强调文字颜色 2 4 2 19" xfId="1057"/>
    <cellStyle name="20% - 强调文字颜色 2 4 2 2" xfId="1058"/>
    <cellStyle name="20% - 强调文字颜色 2 4 2 20" xfId="1059"/>
    <cellStyle name="20% - 强调文字颜色 2 4 2 21" xfId="1060"/>
    <cellStyle name="20% - 强调文字颜色 2 4 2 22" xfId="1061"/>
    <cellStyle name="20% - 强调文字颜色 2 4 2 23" xfId="1062"/>
    <cellStyle name="20% - 强调文字颜色 2 4 2 24" xfId="1063"/>
    <cellStyle name="20% - 强调文字颜色 2 4 2 25" xfId="1064"/>
    <cellStyle name="20% - 强调文字颜色 2 4 2 26" xfId="1065"/>
    <cellStyle name="20% - 强调文字颜色 2 4 2 27" xfId="1066"/>
    <cellStyle name="20% - 强调文字颜色 2 4 2 3" xfId="1067"/>
    <cellStyle name="20% - 强调文字颜色 2 4 2 4" xfId="1068"/>
    <cellStyle name="20% - 强调文字颜色 2 4 2 5" xfId="1069"/>
    <cellStyle name="20% - 强调文字颜色 2 4 2 6" xfId="1070"/>
    <cellStyle name="20% - 强调文字颜色 2 4 2 7" xfId="1071"/>
    <cellStyle name="20% - 强调文字颜色 2 4 2 8" xfId="1072"/>
    <cellStyle name="20% - 强调文字颜色 2 4 2 9" xfId="1073"/>
    <cellStyle name="20% - 强调文字颜色 2 4 20" xfId="1074"/>
    <cellStyle name="20% - 强调文字颜色 2 4 21" xfId="1075"/>
    <cellStyle name="20% - 强调文字颜色 2 4 22" xfId="1076"/>
    <cellStyle name="20% - 强调文字颜色 2 4 23" xfId="1077"/>
    <cellStyle name="20% - 强调文字颜色 2 4 24" xfId="1078"/>
    <cellStyle name="20% - 强调文字颜色 2 4 25" xfId="1079"/>
    <cellStyle name="20% - 强调文字颜色 2 4 26" xfId="1080"/>
    <cellStyle name="20% - 强调文字颜色 2 4 27" xfId="1081"/>
    <cellStyle name="20% - 强调文字颜色 2 4 28" xfId="1082"/>
    <cellStyle name="20% - 强调文字颜色 2 4 3" xfId="1083"/>
    <cellStyle name="20% - 强调文字颜色 2 4 4" xfId="1084"/>
    <cellStyle name="20% - 强调文字颜色 2 4 5" xfId="1085"/>
    <cellStyle name="20% - 强调文字颜色 2 4 6" xfId="1086"/>
    <cellStyle name="20% - 强调文字颜色 2 4 7" xfId="1087"/>
    <cellStyle name="20% - 强调文字颜色 2 4 8" xfId="1088"/>
    <cellStyle name="20% - 强调文字颜色 2 4 9" xfId="1089"/>
    <cellStyle name="20% - 强调文字颜色 2 40" xfId="1090"/>
    <cellStyle name="20% - 强调文字颜色 2 5" xfId="1091"/>
    <cellStyle name="20% - 强调文字颜色 2 5 10" xfId="1092"/>
    <cellStyle name="20% - 强调文字颜色 2 5 11" xfId="1093"/>
    <cellStyle name="20% - 强调文字颜色 2 5 12" xfId="1094"/>
    <cellStyle name="20% - 强调文字颜色 2 5 13" xfId="1095"/>
    <cellStyle name="20% - 强调文字颜色 2 5 14" xfId="1096"/>
    <cellStyle name="20% - 强调文字颜色 2 5 15" xfId="1097"/>
    <cellStyle name="20% - 强调文字颜色 2 5 16" xfId="1098"/>
    <cellStyle name="20% - 强调文字颜色 2 5 17" xfId="1099"/>
    <cellStyle name="20% - 强调文字颜色 2 5 18" xfId="1100"/>
    <cellStyle name="20% - 强调文字颜色 2 5 19" xfId="1101"/>
    <cellStyle name="20% - 强调文字颜色 2 5 2" xfId="1102"/>
    <cellStyle name="20% - 强调文字颜色 2 5 2 10" xfId="1103"/>
    <cellStyle name="20% - 强调文字颜色 2 5 2 11" xfId="1104"/>
    <cellStyle name="20% - 强调文字颜色 2 5 2 12" xfId="1105"/>
    <cellStyle name="20% - 强调文字颜色 2 5 2 13" xfId="1106"/>
    <cellStyle name="20% - 强调文字颜色 2 5 2 14" xfId="1107"/>
    <cellStyle name="20% - 强调文字颜色 2 5 2 15" xfId="1108"/>
    <cellStyle name="20% - 强调文字颜色 2 5 2 16" xfId="1109"/>
    <cellStyle name="20% - 强调文字颜色 2 5 2 17" xfId="1110"/>
    <cellStyle name="20% - 强调文字颜色 2 5 2 18" xfId="1111"/>
    <cellStyle name="20% - 强调文字颜色 2 5 2 19" xfId="1112"/>
    <cellStyle name="20% - 强调文字颜色 2 5 2 2" xfId="1113"/>
    <cellStyle name="20% - 强调文字颜色 2 5 2 20" xfId="1114"/>
    <cellStyle name="20% - 强调文字颜色 2 5 2 21" xfId="1115"/>
    <cellStyle name="20% - 强调文字颜色 2 5 2 22" xfId="1116"/>
    <cellStyle name="20% - 强调文字颜色 2 5 2 23" xfId="1117"/>
    <cellStyle name="20% - 强调文字颜色 2 5 2 24" xfId="1118"/>
    <cellStyle name="20% - 强调文字颜色 2 5 2 25" xfId="1119"/>
    <cellStyle name="20% - 强调文字颜色 2 5 2 26" xfId="1120"/>
    <cellStyle name="20% - 强调文字颜色 2 5 2 27" xfId="1121"/>
    <cellStyle name="20% - 强调文字颜色 2 5 2 3" xfId="1122"/>
    <cellStyle name="20% - 强调文字颜色 2 5 2 4" xfId="1123"/>
    <cellStyle name="20% - 强调文字颜色 2 5 2 5" xfId="1124"/>
    <cellStyle name="20% - 强调文字颜色 2 5 2 6" xfId="1125"/>
    <cellStyle name="20% - 强调文字颜色 2 5 2 7" xfId="1126"/>
    <cellStyle name="20% - 强调文字颜色 2 5 2 8" xfId="1127"/>
    <cellStyle name="20% - 强调文字颜色 2 5 2 9" xfId="1128"/>
    <cellStyle name="20% - 强调文字颜色 2 5 20" xfId="1129"/>
    <cellStyle name="20% - 强调文字颜色 2 5 21" xfId="1130"/>
    <cellStyle name="20% - 强调文字颜色 2 5 22" xfId="1131"/>
    <cellStyle name="20% - 强调文字颜色 2 5 23" xfId="1132"/>
    <cellStyle name="20% - 强调文字颜色 2 5 24" xfId="1133"/>
    <cellStyle name="20% - 强调文字颜色 2 5 25" xfId="1134"/>
    <cellStyle name="20% - 强调文字颜色 2 5 26" xfId="1135"/>
    <cellStyle name="20% - 强调文字颜色 2 5 27" xfId="1136"/>
    <cellStyle name="20% - 强调文字颜色 2 5 28" xfId="1137"/>
    <cellStyle name="20% - 强调文字颜色 2 5 3" xfId="1138"/>
    <cellStyle name="20% - 强调文字颜色 2 5 4" xfId="1139"/>
    <cellStyle name="20% - 强调文字颜色 2 5 5" xfId="1140"/>
    <cellStyle name="20% - 强调文字颜色 2 5 6" xfId="1141"/>
    <cellStyle name="20% - 强调文字颜色 2 5 7" xfId="1142"/>
    <cellStyle name="20% - 强调文字颜色 2 5 8" xfId="1143"/>
    <cellStyle name="20% - 强调文字颜色 2 5 9" xfId="1144"/>
    <cellStyle name="20% - 强调文字颜色 2 6" xfId="1145"/>
    <cellStyle name="20% - 强调文字颜色 2 6 10" xfId="1146"/>
    <cellStyle name="20% - 强调文字颜色 2 6 11" xfId="1147"/>
    <cellStyle name="20% - 强调文字颜色 2 6 12" xfId="1148"/>
    <cellStyle name="20% - 强调文字颜色 2 6 13" xfId="1149"/>
    <cellStyle name="20% - 强调文字颜色 2 6 14" xfId="1150"/>
    <cellStyle name="20% - 强调文字颜色 2 6 15" xfId="1151"/>
    <cellStyle name="20% - 强调文字颜色 2 6 16" xfId="1152"/>
    <cellStyle name="20% - 强调文字颜色 2 6 17" xfId="1153"/>
    <cellStyle name="20% - 强调文字颜色 2 6 18" xfId="1154"/>
    <cellStyle name="20% - 强调文字颜色 2 6 19" xfId="1155"/>
    <cellStyle name="20% - 强调文字颜色 2 6 2" xfId="1156"/>
    <cellStyle name="20% - 强调文字颜色 2 6 2 10" xfId="1157"/>
    <cellStyle name="20% - 强调文字颜色 2 6 2 11" xfId="1158"/>
    <cellStyle name="20% - 强调文字颜色 2 6 2 12" xfId="1159"/>
    <cellStyle name="20% - 强调文字颜色 2 6 2 13" xfId="1160"/>
    <cellStyle name="20% - 强调文字颜色 2 6 2 14" xfId="1161"/>
    <cellStyle name="20% - 强调文字颜色 2 6 2 15" xfId="1162"/>
    <cellStyle name="20% - 强调文字颜色 2 6 2 16" xfId="1163"/>
    <cellStyle name="20% - 强调文字颜色 2 6 2 17" xfId="1164"/>
    <cellStyle name="20% - 强调文字颜色 2 6 2 18" xfId="1165"/>
    <cellStyle name="20% - 强调文字颜色 2 6 2 19" xfId="1166"/>
    <cellStyle name="20% - 强调文字颜色 2 6 2 2" xfId="1167"/>
    <cellStyle name="20% - 强调文字颜色 2 6 2 20" xfId="1168"/>
    <cellStyle name="20% - 强调文字颜色 2 6 2 21" xfId="1169"/>
    <cellStyle name="20% - 强调文字颜色 2 6 2 22" xfId="1170"/>
    <cellStyle name="20% - 强调文字颜色 2 6 2 23" xfId="1171"/>
    <cellStyle name="20% - 强调文字颜色 2 6 2 24" xfId="1172"/>
    <cellStyle name="20% - 强调文字颜色 2 6 2 25" xfId="1173"/>
    <cellStyle name="20% - 强调文字颜色 2 6 2 26" xfId="1174"/>
    <cellStyle name="20% - 强调文字颜色 2 6 2 27" xfId="1175"/>
    <cellStyle name="20% - 强调文字颜色 2 6 2 3" xfId="1176"/>
    <cellStyle name="20% - 强调文字颜色 2 6 2 4" xfId="1177"/>
    <cellStyle name="20% - 强调文字颜色 2 6 2 5" xfId="1178"/>
    <cellStyle name="20% - 强调文字颜色 2 6 2 6" xfId="1179"/>
    <cellStyle name="20% - 强调文字颜色 2 6 2 7" xfId="1180"/>
    <cellStyle name="20% - 强调文字颜色 2 6 2 8" xfId="1181"/>
    <cellStyle name="20% - 强调文字颜色 2 6 2 9" xfId="1182"/>
    <cellStyle name="20% - 强调文字颜色 2 6 20" xfId="1183"/>
    <cellStyle name="20% - 强调文字颜色 2 6 21" xfId="1184"/>
    <cellStyle name="20% - 强调文字颜色 2 6 22" xfId="1185"/>
    <cellStyle name="20% - 强调文字颜色 2 6 23" xfId="1186"/>
    <cellStyle name="20% - 强调文字颜色 2 6 24" xfId="1187"/>
    <cellStyle name="20% - 强调文字颜色 2 6 25" xfId="1188"/>
    <cellStyle name="20% - 强调文字颜色 2 6 26" xfId="1189"/>
    <cellStyle name="20% - 强调文字颜色 2 6 27" xfId="1190"/>
    <cellStyle name="20% - 强调文字颜色 2 6 28" xfId="1191"/>
    <cellStyle name="20% - 强调文字颜色 2 6 3" xfId="1192"/>
    <cellStyle name="20% - 强调文字颜色 2 6 4" xfId="1193"/>
    <cellStyle name="20% - 强调文字颜色 2 6 5" xfId="1194"/>
    <cellStyle name="20% - 强调文字颜色 2 6 6" xfId="1195"/>
    <cellStyle name="20% - 强调文字颜色 2 6 7" xfId="1196"/>
    <cellStyle name="20% - 强调文字颜色 2 6 8" xfId="1197"/>
    <cellStyle name="20% - 强调文字颜色 2 6 9" xfId="1198"/>
    <cellStyle name="20% - 强调文字颜色 2 7" xfId="1199"/>
    <cellStyle name="20% - 强调文字颜色 2 7 10" xfId="1200"/>
    <cellStyle name="20% - 强调文字颜色 2 7 11" xfId="1201"/>
    <cellStyle name="20% - 强调文字颜色 2 7 12" xfId="1202"/>
    <cellStyle name="20% - 强调文字颜色 2 7 13" xfId="1203"/>
    <cellStyle name="20% - 强调文字颜色 2 7 14" xfId="1204"/>
    <cellStyle name="20% - 强调文字颜色 2 7 15" xfId="1205"/>
    <cellStyle name="20% - 强调文字颜色 2 7 16" xfId="1206"/>
    <cellStyle name="20% - 强调文字颜色 2 7 17" xfId="1207"/>
    <cellStyle name="20% - 强调文字颜色 2 7 18" xfId="1208"/>
    <cellStyle name="20% - 强调文字颜色 2 7 19" xfId="1209"/>
    <cellStyle name="20% - 强调文字颜色 2 7 2" xfId="1210"/>
    <cellStyle name="20% - 强调文字颜色 2 7 2 10" xfId="1211"/>
    <cellStyle name="20% - 强调文字颜色 2 7 2 11" xfId="1212"/>
    <cellStyle name="20% - 强调文字颜色 2 7 2 12" xfId="1213"/>
    <cellStyle name="20% - 强调文字颜色 2 7 2 13" xfId="1214"/>
    <cellStyle name="20% - 强调文字颜色 2 7 2 14" xfId="1215"/>
    <cellStyle name="20% - 强调文字颜色 2 7 2 15" xfId="1216"/>
    <cellStyle name="20% - 强调文字颜色 2 7 2 16" xfId="1217"/>
    <cellStyle name="20% - 强调文字颜色 2 7 2 17" xfId="1218"/>
    <cellStyle name="20% - 强调文字颜色 2 7 2 18" xfId="1219"/>
    <cellStyle name="20% - 强调文字颜色 2 7 2 19" xfId="1220"/>
    <cellStyle name="20% - 强调文字颜色 2 7 2 2" xfId="1221"/>
    <cellStyle name="20% - 强调文字颜色 2 7 2 20" xfId="1222"/>
    <cellStyle name="20% - 强调文字颜色 2 7 2 21" xfId="1223"/>
    <cellStyle name="20% - 强调文字颜色 2 7 2 22" xfId="1224"/>
    <cellStyle name="20% - 强调文字颜色 2 7 2 23" xfId="1225"/>
    <cellStyle name="20% - 强调文字颜色 2 7 2 24" xfId="1226"/>
    <cellStyle name="20% - 强调文字颜色 2 7 2 25" xfId="1227"/>
    <cellStyle name="20% - 强调文字颜色 2 7 2 26" xfId="1228"/>
    <cellStyle name="20% - 强调文字颜色 2 7 2 27" xfId="1229"/>
    <cellStyle name="20% - 强调文字颜色 2 7 2 3" xfId="1230"/>
    <cellStyle name="20% - 强调文字颜色 2 7 2 4" xfId="1231"/>
    <cellStyle name="20% - 强调文字颜色 2 7 2 5" xfId="1232"/>
    <cellStyle name="20% - 强调文字颜色 2 7 2 6" xfId="1233"/>
    <cellStyle name="20% - 强调文字颜色 2 7 2 7" xfId="1234"/>
    <cellStyle name="20% - 强调文字颜色 2 7 2 8" xfId="1235"/>
    <cellStyle name="20% - 强调文字颜色 2 7 2 9" xfId="1236"/>
    <cellStyle name="20% - 强调文字颜色 2 7 20" xfId="1237"/>
    <cellStyle name="20% - 强调文字颜色 2 7 21" xfId="1238"/>
    <cellStyle name="20% - 强调文字颜色 2 7 22" xfId="1239"/>
    <cellStyle name="20% - 强调文字颜色 2 7 23" xfId="1240"/>
    <cellStyle name="20% - 强调文字颜色 2 7 24" xfId="1241"/>
    <cellStyle name="20% - 强调文字颜色 2 7 25" xfId="1242"/>
    <cellStyle name="20% - 强调文字颜色 2 7 26" xfId="1243"/>
    <cellStyle name="20% - 强调文字颜色 2 7 27" xfId="1244"/>
    <cellStyle name="20% - 强调文字颜色 2 7 28" xfId="1245"/>
    <cellStyle name="20% - 强调文字颜色 2 7 3" xfId="1246"/>
    <cellStyle name="20% - 强调文字颜色 2 7 4" xfId="1247"/>
    <cellStyle name="20% - 强调文字颜色 2 7 5" xfId="1248"/>
    <cellStyle name="20% - 强调文字颜色 2 7 6" xfId="1249"/>
    <cellStyle name="20% - 强调文字颜色 2 7 7" xfId="1250"/>
    <cellStyle name="20% - 强调文字颜色 2 7 8" xfId="1251"/>
    <cellStyle name="20% - 强调文字颜色 2 7 9" xfId="1252"/>
    <cellStyle name="20% - 强调文字颜色 2 8" xfId="1253"/>
    <cellStyle name="20% - 强调文字颜色 2 8 10" xfId="1254"/>
    <cellStyle name="20% - 强调文字颜色 2 8 11" xfId="1255"/>
    <cellStyle name="20% - 强调文字颜色 2 8 12" xfId="1256"/>
    <cellStyle name="20% - 强调文字颜色 2 8 13" xfId="1257"/>
    <cellStyle name="20% - 强调文字颜色 2 8 14" xfId="1258"/>
    <cellStyle name="20% - 强调文字颜色 2 8 15" xfId="1259"/>
    <cellStyle name="20% - 强调文字颜色 2 8 16" xfId="1260"/>
    <cellStyle name="20% - 强调文字颜色 2 8 17" xfId="1261"/>
    <cellStyle name="20% - 强调文字颜色 2 8 18" xfId="1262"/>
    <cellStyle name="20% - 强调文字颜色 2 8 19" xfId="1263"/>
    <cellStyle name="20% - 强调文字颜色 2 8 2" xfId="1264"/>
    <cellStyle name="20% - 强调文字颜色 2 8 2 10" xfId="1265"/>
    <cellStyle name="20% - 强调文字颜色 2 8 2 11" xfId="1266"/>
    <cellStyle name="20% - 强调文字颜色 2 8 2 12" xfId="1267"/>
    <cellStyle name="20% - 强调文字颜色 2 8 2 13" xfId="1268"/>
    <cellStyle name="20% - 强调文字颜色 2 8 2 14" xfId="1269"/>
    <cellStyle name="20% - 强调文字颜色 2 8 2 15" xfId="1270"/>
    <cellStyle name="20% - 强调文字颜色 2 8 2 16" xfId="1271"/>
    <cellStyle name="20% - 强调文字颜色 2 8 2 17" xfId="1272"/>
    <cellStyle name="20% - 强调文字颜色 2 8 2 18" xfId="1273"/>
    <cellStyle name="20% - 强调文字颜色 2 8 2 19" xfId="1274"/>
    <cellStyle name="20% - 强调文字颜色 2 8 2 2" xfId="1275"/>
    <cellStyle name="20% - 强调文字颜色 2 8 2 20" xfId="1276"/>
    <cellStyle name="20% - 强调文字颜色 2 8 2 21" xfId="1277"/>
    <cellStyle name="20% - 强调文字颜色 2 8 2 22" xfId="1278"/>
    <cellStyle name="20% - 强调文字颜色 2 8 2 23" xfId="1279"/>
    <cellStyle name="20% - 强调文字颜色 2 8 2 24" xfId="1280"/>
    <cellStyle name="20% - 强调文字颜色 2 8 2 25" xfId="1281"/>
    <cellStyle name="20% - 强调文字颜色 2 8 2 26" xfId="1282"/>
    <cellStyle name="20% - 强调文字颜色 2 8 2 27" xfId="1283"/>
    <cellStyle name="20% - 强调文字颜色 2 8 2 3" xfId="1284"/>
    <cellStyle name="20% - 强调文字颜色 2 8 2 4" xfId="1285"/>
    <cellStyle name="20% - 强调文字颜色 2 8 2 5" xfId="1286"/>
    <cellStyle name="20% - 强调文字颜色 2 8 2 6" xfId="1287"/>
    <cellStyle name="20% - 强调文字颜色 2 8 2 7" xfId="1288"/>
    <cellStyle name="20% - 强调文字颜色 2 8 2 8" xfId="1289"/>
    <cellStyle name="20% - 强调文字颜色 2 8 2 9" xfId="1290"/>
    <cellStyle name="20% - 强调文字颜色 2 8 20" xfId="1291"/>
    <cellStyle name="20% - 强调文字颜色 2 8 21" xfId="1292"/>
    <cellStyle name="20% - 强调文字颜色 2 8 22" xfId="1293"/>
    <cellStyle name="20% - 强调文字颜色 2 8 23" xfId="1294"/>
    <cellStyle name="20% - 强调文字颜色 2 8 24" xfId="1295"/>
    <cellStyle name="20% - 强调文字颜色 2 8 25" xfId="1296"/>
    <cellStyle name="20% - 强调文字颜色 2 8 26" xfId="1297"/>
    <cellStyle name="20% - 强调文字颜色 2 8 27" xfId="1298"/>
    <cellStyle name="20% - 强调文字颜色 2 8 28" xfId="1299"/>
    <cellStyle name="20% - 强调文字颜色 2 8 3" xfId="1300"/>
    <cellStyle name="20% - 强调文字颜色 2 8 4" xfId="1301"/>
    <cellStyle name="20% - 强调文字颜色 2 8 5" xfId="1302"/>
    <cellStyle name="20% - 强调文字颜色 2 8 6" xfId="1303"/>
    <cellStyle name="20% - 强调文字颜色 2 8 7" xfId="1304"/>
    <cellStyle name="20% - 强调文字颜色 2 8 8" xfId="1305"/>
    <cellStyle name="20% - 强调文字颜色 2 8 9" xfId="1306"/>
    <cellStyle name="20% - 强调文字颜色 2 9" xfId="1307"/>
    <cellStyle name="20% - 强调文字颜色 2 9 10" xfId="1308"/>
    <cellStyle name="20% - 强调文字颜色 2 9 11" xfId="1309"/>
    <cellStyle name="20% - 强调文字颜色 2 9 12" xfId="1310"/>
    <cellStyle name="20% - 强调文字颜色 2 9 13" xfId="1311"/>
    <cellStyle name="20% - 强调文字颜色 2 9 14" xfId="1312"/>
    <cellStyle name="20% - 强调文字颜色 2 9 15" xfId="1313"/>
    <cellStyle name="20% - 强调文字颜色 2 9 16" xfId="1314"/>
    <cellStyle name="20% - 强调文字颜色 2 9 17" xfId="1315"/>
    <cellStyle name="20% - 强调文字颜色 2 9 18" xfId="1316"/>
    <cellStyle name="20% - 强调文字颜色 2 9 19" xfId="1317"/>
    <cellStyle name="20% - 强调文字颜色 2 9 2" xfId="1318"/>
    <cellStyle name="20% - 强调文字颜色 2 9 2 10" xfId="1319"/>
    <cellStyle name="20% - 强调文字颜色 2 9 2 11" xfId="1320"/>
    <cellStyle name="20% - 强调文字颜色 2 9 2 12" xfId="1321"/>
    <cellStyle name="20% - 强调文字颜色 2 9 2 13" xfId="1322"/>
    <cellStyle name="20% - 强调文字颜色 2 9 2 14" xfId="1323"/>
    <cellStyle name="20% - 强调文字颜色 2 9 2 15" xfId="1324"/>
    <cellStyle name="20% - 强调文字颜色 2 9 2 16" xfId="1325"/>
    <cellStyle name="20% - 强调文字颜色 2 9 2 17" xfId="1326"/>
    <cellStyle name="20% - 强调文字颜色 2 9 2 18" xfId="1327"/>
    <cellStyle name="20% - 强调文字颜色 2 9 2 19" xfId="1328"/>
    <cellStyle name="20% - 强调文字颜色 2 9 2 2" xfId="1329"/>
    <cellStyle name="20% - 强调文字颜色 2 9 2 20" xfId="1330"/>
    <cellStyle name="20% - 强调文字颜色 2 9 2 21" xfId="1331"/>
    <cellStyle name="20% - 强调文字颜色 2 9 2 22" xfId="1332"/>
    <cellStyle name="20% - 强调文字颜色 2 9 2 23" xfId="1333"/>
    <cellStyle name="20% - 强调文字颜色 2 9 2 24" xfId="1334"/>
    <cellStyle name="20% - 强调文字颜色 2 9 2 25" xfId="1335"/>
    <cellStyle name="20% - 强调文字颜色 2 9 2 26" xfId="1336"/>
    <cellStyle name="20% - 强调文字颜色 2 9 2 27" xfId="1337"/>
    <cellStyle name="20% - 强调文字颜色 2 9 2 3" xfId="1338"/>
    <cellStyle name="20% - 强调文字颜色 2 9 2 4" xfId="1339"/>
    <cellStyle name="20% - 强调文字颜色 2 9 2 5" xfId="1340"/>
    <cellStyle name="20% - 强调文字颜色 2 9 2 6" xfId="1341"/>
    <cellStyle name="20% - 强调文字颜色 2 9 2 7" xfId="1342"/>
    <cellStyle name="20% - 强调文字颜色 2 9 2 8" xfId="1343"/>
    <cellStyle name="20% - 强调文字颜色 2 9 2 9" xfId="1344"/>
    <cellStyle name="20% - 强调文字颜色 2 9 20" xfId="1345"/>
    <cellStyle name="20% - 强调文字颜色 2 9 21" xfId="1346"/>
    <cellStyle name="20% - 强调文字颜色 2 9 22" xfId="1347"/>
    <cellStyle name="20% - 强调文字颜色 2 9 23" xfId="1348"/>
    <cellStyle name="20% - 强调文字颜色 2 9 24" xfId="1349"/>
    <cellStyle name="20% - 强调文字颜色 2 9 25" xfId="1350"/>
    <cellStyle name="20% - 强调文字颜色 2 9 26" xfId="1351"/>
    <cellStyle name="20% - 强调文字颜色 2 9 27" xfId="1352"/>
    <cellStyle name="20% - 强调文字颜色 2 9 28" xfId="1353"/>
    <cellStyle name="20% - 强调文字颜色 2 9 3" xfId="1354"/>
    <cellStyle name="20% - 强调文字颜色 2 9 4" xfId="1355"/>
    <cellStyle name="20% - 强调文字颜色 2 9 5" xfId="1356"/>
    <cellStyle name="20% - 强调文字颜色 2 9 6" xfId="1357"/>
    <cellStyle name="20% - 强调文字颜色 2 9 7" xfId="1358"/>
    <cellStyle name="20% - 强调文字颜色 2 9 8" xfId="1359"/>
    <cellStyle name="20% - 强调文字颜色 2 9 9" xfId="1360"/>
    <cellStyle name="20% - 强调文字颜色 3 10" xfId="1361"/>
    <cellStyle name="20% - 强调文字颜色 3 10 10" xfId="1362"/>
    <cellStyle name="20% - 强调文字颜色 3 10 11" xfId="1363"/>
    <cellStyle name="20% - 强调文字颜色 3 10 12" xfId="1364"/>
    <cellStyle name="20% - 强调文字颜色 3 10 13" xfId="1365"/>
    <cellStyle name="20% - 强调文字颜色 3 10 14" xfId="1366"/>
    <cellStyle name="20% - 强调文字颜色 3 10 15" xfId="1367"/>
    <cellStyle name="20% - 强调文字颜色 3 10 16" xfId="1368"/>
    <cellStyle name="20% - 强调文字颜色 3 10 17" xfId="1369"/>
    <cellStyle name="20% - 强调文字颜色 3 10 18" xfId="1370"/>
    <cellStyle name="20% - 强调文字颜色 3 10 19" xfId="1371"/>
    <cellStyle name="20% - 强调文字颜色 3 10 2" xfId="1372"/>
    <cellStyle name="20% - 强调文字颜色 3 10 2 10" xfId="1373"/>
    <cellStyle name="20% - 强调文字颜色 3 10 2 11" xfId="1374"/>
    <cellStyle name="20% - 强调文字颜色 3 10 2 12" xfId="1375"/>
    <cellStyle name="20% - 强调文字颜色 3 10 2 13" xfId="1376"/>
    <cellStyle name="20% - 强调文字颜色 3 10 2 14" xfId="1377"/>
    <cellStyle name="20% - 强调文字颜色 3 10 2 15" xfId="1378"/>
    <cellStyle name="20% - 强调文字颜色 3 10 2 16" xfId="1379"/>
    <cellStyle name="20% - 强调文字颜色 3 10 2 17" xfId="1380"/>
    <cellStyle name="20% - 强调文字颜色 3 10 2 18" xfId="1381"/>
    <cellStyle name="20% - 强调文字颜色 3 10 2 19" xfId="1382"/>
    <cellStyle name="20% - 强调文字颜色 3 10 2 2" xfId="1383"/>
    <cellStyle name="20% - 强调文字颜色 3 10 2 20" xfId="1384"/>
    <cellStyle name="20% - 强调文字颜色 3 10 2 21" xfId="1385"/>
    <cellStyle name="20% - 强调文字颜色 3 10 2 22" xfId="1386"/>
    <cellStyle name="20% - 强调文字颜色 3 10 2 23" xfId="1387"/>
    <cellStyle name="20% - 强调文字颜色 3 10 2 24" xfId="1388"/>
    <cellStyle name="20% - 强调文字颜色 3 10 2 25" xfId="1389"/>
    <cellStyle name="20% - 强调文字颜色 3 10 2 26" xfId="1390"/>
    <cellStyle name="20% - 强调文字颜色 3 10 2 27" xfId="1391"/>
    <cellStyle name="20% - 强调文字颜色 3 10 2 3" xfId="1392"/>
    <cellStyle name="20% - 强调文字颜色 3 10 2 4" xfId="1393"/>
    <cellStyle name="20% - 强调文字颜色 3 10 2 5" xfId="1394"/>
    <cellStyle name="20% - 强调文字颜色 3 10 2 6" xfId="1395"/>
    <cellStyle name="20% - 强调文字颜色 3 10 2 7" xfId="1396"/>
    <cellStyle name="20% - 强调文字颜色 3 10 2 8" xfId="1397"/>
    <cellStyle name="20% - 强调文字颜色 3 10 2 9" xfId="1398"/>
    <cellStyle name="20% - 强调文字颜色 3 10 20" xfId="1399"/>
    <cellStyle name="20% - 强调文字颜色 3 10 21" xfId="1400"/>
    <cellStyle name="20% - 强调文字颜色 3 10 22" xfId="1401"/>
    <cellStyle name="20% - 强调文字颜色 3 10 23" xfId="1402"/>
    <cellStyle name="20% - 强调文字颜色 3 10 24" xfId="1403"/>
    <cellStyle name="20% - 强调文字颜色 3 10 25" xfId="1404"/>
    <cellStyle name="20% - 强调文字颜色 3 10 26" xfId="1405"/>
    <cellStyle name="20% - 强调文字颜色 3 10 27" xfId="1406"/>
    <cellStyle name="20% - 强调文字颜色 3 10 28" xfId="1407"/>
    <cellStyle name="20% - 强调文字颜色 3 10 3" xfId="1408"/>
    <cellStyle name="20% - 强调文字颜色 3 10 4" xfId="1409"/>
    <cellStyle name="20% - 强调文字颜色 3 10 5" xfId="1410"/>
    <cellStyle name="20% - 强调文字颜色 3 10 6" xfId="1411"/>
    <cellStyle name="20% - 强调文字颜色 3 10 7" xfId="1412"/>
    <cellStyle name="20% - 强调文字颜色 3 10 8" xfId="1413"/>
    <cellStyle name="20% - 强调文字颜色 3 10 9" xfId="1414"/>
    <cellStyle name="20% - 强调文字颜色 3 11" xfId="1415"/>
    <cellStyle name="20% - 强调文字颜色 3 11 10" xfId="1416"/>
    <cellStyle name="20% - 强调文字颜色 3 11 11" xfId="1417"/>
    <cellStyle name="20% - 强调文字颜色 3 11 12" xfId="1418"/>
    <cellStyle name="20% - 强调文字颜色 3 11 13" xfId="1419"/>
    <cellStyle name="20% - 强调文字颜色 3 11 14" xfId="1420"/>
    <cellStyle name="20% - 强调文字颜色 3 11 15" xfId="1421"/>
    <cellStyle name="20% - 强调文字颜色 3 11 16" xfId="1422"/>
    <cellStyle name="20% - 强调文字颜色 3 11 17" xfId="1423"/>
    <cellStyle name="20% - 强调文字颜色 3 11 18" xfId="1424"/>
    <cellStyle name="20% - 强调文字颜色 3 11 19" xfId="1425"/>
    <cellStyle name="20% - 强调文字颜色 3 11 2" xfId="1426"/>
    <cellStyle name="20% - 强调文字颜色 3 11 2 10" xfId="1427"/>
    <cellStyle name="20% - 强调文字颜色 3 11 2 11" xfId="1428"/>
    <cellStyle name="20% - 强调文字颜色 3 11 2 12" xfId="1429"/>
    <cellStyle name="20% - 强调文字颜色 3 11 2 13" xfId="1430"/>
    <cellStyle name="20% - 强调文字颜色 3 11 2 14" xfId="1431"/>
    <cellStyle name="20% - 强调文字颜色 3 11 2 15" xfId="1432"/>
    <cellStyle name="20% - 强调文字颜色 3 11 2 16" xfId="1433"/>
    <cellStyle name="20% - 强调文字颜色 3 11 2 17" xfId="1434"/>
    <cellStyle name="20% - 强调文字颜色 3 11 2 18" xfId="1435"/>
    <cellStyle name="20% - 强调文字颜色 3 11 2 19" xfId="1436"/>
    <cellStyle name="20% - 强调文字颜色 3 11 2 2" xfId="1437"/>
    <cellStyle name="20% - 强调文字颜色 3 11 2 20" xfId="1438"/>
    <cellStyle name="20% - 强调文字颜色 3 11 2 21" xfId="1439"/>
    <cellStyle name="20% - 强调文字颜色 3 11 2 22" xfId="1440"/>
    <cellStyle name="20% - 强调文字颜色 3 11 2 23" xfId="1441"/>
    <cellStyle name="20% - 强调文字颜色 3 11 2 24" xfId="1442"/>
    <cellStyle name="20% - 强调文字颜色 3 11 2 25" xfId="1443"/>
    <cellStyle name="20% - 强调文字颜色 3 11 2 26" xfId="1444"/>
    <cellStyle name="20% - 强调文字颜色 3 11 2 27" xfId="1445"/>
    <cellStyle name="20% - 强调文字颜色 3 11 2 3" xfId="1446"/>
    <cellStyle name="20% - 强调文字颜色 3 11 2 4" xfId="1447"/>
    <cellStyle name="20% - 强调文字颜色 3 11 2 5" xfId="1448"/>
    <cellStyle name="20% - 强调文字颜色 3 11 2 6" xfId="1449"/>
    <cellStyle name="20% - 强调文字颜色 3 11 2 7" xfId="1450"/>
    <cellStyle name="20% - 强调文字颜色 3 11 2 8" xfId="1451"/>
    <cellStyle name="20% - 强调文字颜色 3 11 2 9" xfId="1452"/>
    <cellStyle name="20% - 强调文字颜色 3 11 20" xfId="1453"/>
    <cellStyle name="20% - 强调文字颜色 3 11 21" xfId="1454"/>
    <cellStyle name="20% - 强调文字颜色 3 11 22" xfId="1455"/>
    <cellStyle name="20% - 强调文字颜色 3 11 23" xfId="1456"/>
    <cellStyle name="20% - 强调文字颜色 3 11 24" xfId="1457"/>
    <cellStyle name="20% - 强调文字颜色 3 11 25" xfId="1458"/>
    <cellStyle name="20% - 强调文字颜色 3 11 26" xfId="1459"/>
    <cellStyle name="20% - 强调文字颜色 3 11 27" xfId="1460"/>
    <cellStyle name="20% - 强调文字颜色 3 11 28" xfId="1461"/>
    <cellStyle name="20% - 强调文字颜色 3 11 3" xfId="1462"/>
    <cellStyle name="20% - 强调文字颜色 3 11 4" xfId="1463"/>
    <cellStyle name="20% - 强调文字颜色 3 11 5" xfId="1464"/>
    <cellStyle name="20% - 强调文字颜色 3 11 6" xfId="1465"/>
    <cellStyle name="20% - 强调文字颜色 3 11 7" xfId="1466"/>
    <cellStyle name="20% - 强调文字颜色 3 11 8" xfId="1467"/>
    <cellStyle name="20% - 强调文字颜色 3 11 9" xfId="1468"/>
    <cellStyle name="20% - 强调文字颜色 3 12" xfId="1469"/>
    <cellStyle name="20% - 强调文字颜色 3 13" xfId="1470"/>
    <cellStyle name="20% - 强调文字颜色 3 14" xfId="1471"/>
    <cellStyle name="20% - 强调文字颜色 3 15" xfId="1472"/>
    <cellStyle name="20% - 强调文字颜色 3 16" xfId="1473"/>
    <cellStyle name="20% - 强调文字颜色 3 17" xfId="1474"/>
    <cellStyle name="20% - 强调文字颜色 3 18" xfId="1475"/>
    <cellStyle name="20% - 强调文字颜色 3 19" xfId="1476"/>
    <cellStyle name="20% - 强调文字颜色 3 2" xfId="1477"/>
    <cellStyle name="20% - 强调文字颜色 3 2 10" xfId="1478"/>
    <cellStyle name="20% - 强调文字颜色 3 2 11" xfId="1479"/>
    <cellStyle name="20% - 强调文字颜色 3 2 12" xfId="1480"/>
    <cellStyle name="20% - 强调文字颜色 3 2 13" xfId="1481"/>
    <cellStyle name="20% - 强调文字颜色 3 2 14" xfId="1482"/>
    <cellStyle name="20% - 强调文字颜色 3 2 15" xfId="1483"/>
    <cellStyle name="20% - 强调文字颜色 3 2 16" xfId="1484"/>
    <cellStyle name="20% - 强调文字颜色 3 2 17" xfId="1485"/>
    <cellStyle name="20% - 强调文字颜色 3 2 18" xfId="1486"/>
    <cellStyle name="20% - 强调文字颜色 3 2 19" xfId="1487"/>
    <cellStyle name="20% - 强调文字颜色 3 2 2" xfId="1488"/>
    <cellStyle name="20% - 强调文字颜色 3 2 2 10" xfId="1489"/>
    <cellStyle name="20% - 强调文字颜色 3 2 2 11" xfId="1490"/>
    <cellStyle name="20% - 强调文字颜色 3 2 2 12" xfId="1491"/>
    <cellStyle name="20% - 强调文字颜色 3 2 2 13" xfId="1492"/>
    <cellStyle name="20% - 强调文字颜色 3 2 2 14" xfId="1493"/>
    <cellStyle name="20% - 强调文字颜色 3 2 2 15" xfId="1494"/>
    <cellStyle name="20% - 强调文字颜色 3 2 2 16" xfId="1495"/>
    <cellStyle name="20% - 强调文字颜色 3 2 2 17" xfId="1496"/>
    <cellStyle name="20% - 强调文字颜色 3 2 2 18" xfId="1497"/>
    <cellStyle name="20% - 强调文字颜色 3 2 2 19" xfId="1498"/>
    <cellStyle name="20% - 强调文字颜色 3 2 2 2" xfId="1499"/>
    <cellStyle name="20% - 强调文字颜色 3 2 2 2 10" xfId="1500"/>
    <cellStyle name="20% - 强调文字颜色 3 2 2 2 11" xfId="1501"/>
    <cellStyle name="20% - 强调文字颜色 3 2 2 2 12" xfId="1502"/>
    <cellStyle name="20% - 强调文字颜色 3 2 2 2 13" xfId="1503"/>
    <cellStyle name="20% - 强调文字颜色 3 2 2 2 14" xfId="1504"/>
    <cellStyle name="20% - 强调文字颜色 3 2 2 2 15" xfId="1505"/>
    <cellStyle name="20% - 强调文字颜色 3 2 2 2 16" xfId="1506"/>
    <cellStyle name="20% - 强调文字颜色 3 2 2 2 17" xfId="1507"/>
    <cellStyle name="20% - 强调文字颜色 3 2 2 2 18" xfId="1508"/>
    <cellStyle name="20% - 强调文字颜色 3 2 2 2 19" xfId="1509"/>
    <cellStyle name="20% - 强调文字颜色 3 2 2 2 2" xfId="1510"/>
    <cellStyle name="20% - 强调文字颜色 3 2 2 2 20" xfId="1511"/>
    <cellStyle name="20% - 强调文字颜色 3 2 2 2 21" xfId="1512"/>
    <cellStyle name="20% - 强调文字颜色 3 2 2 2 22" xfId="1513"/>
    <cellStyle name="20% - 强调文字颜色 3 2 2 2 23" xfId="1514"/>
    <cellStyle name="20% - 强调文字颜色 3 2 2 2 24" xfId="1515"/>
    <cellStyle name="20% - 强调文字颜色 3 2 2 2 25" xfId="1516"/>
    <cellStyle name="20% - 强调文字颜色 3 2 2 2 26" xfId="1517"/>
    <cellStyle name="20% - 强调文字颜色 3 2 2 2 27" xfId="1518"/>
    <cellStyle name="20% - 强调文字颜色 3 2 2 2 3" xfId="1519"/>
    <cellStyle name="20% - 强调文字颜色 3 2 2 2 4" xfId="1520"/>
    <cellStyle name="20% - 强调文字颜色 3 2 2 2 5" xfId="1521"/>
    <cellStyle name="20% - 强调文字颜色 3 2 2 2 6" xfId="1522"/>
    <cellStyle name="20% - 强调文字颜色 3 2 2 2 7" xfId="1523"/>
    <cellStyle name="20% - 强调文字颜色 3 2 2 2 8" xfId="1524"/>
    <cellStyle name="20% - 强调文字颜色 3 2 2 2 9" xfId="1525"/>
    <cellStyle name="20% - 强调文字颜色 3 2 2 20" xfId="1526"/>
    <cellStyle name="20% - 强调文字颜色 3 2 2 21" xfId="1527"/>
    <cellStyle name="20% - 强调文字颜色 3 2 2 22" xfId="1528"/>
    <cellStyle name="20% - 强调文字颜色 3 2 2 23" xfId="1529"/>
    <cellStyle name="20% - 强调文字颜色 3 2 2 24" xfId="1530"/>
    <cellStyle name="20% - 强调文字颜色 3 2 2 25" xfId="1531"/>
    <cellStyle name="20% - 强调文字颜色 3 2 2 26" xfId="1532"/>
    <cellStyle name="20% - 强调文字颜色 3 2 2 27" xfId="1533"/>
    <cellStyle name="20% - 强调文字颜色 3 2 2 28" xfId="1534"/>
    <cellStyle name="20% - 强调文字颜色 3 2 2 3" xfId="1535"/>
    <cellStyle name="20% - 强调文字颜色 3 2 2 4" xfId="1536"/>
    <cellStyle name="20% - 强调文字颜色 3 2 2 5" xfId="1537"/>
    <cellStyle name="20% - 强调文字颜色 3 2 2 6" xfId="1538"/>
    <cellStyle name="20% - 强调文字颜色 3 2 2 7" xfId="1539"/>
    <cellStyle name="20% - 强调文字颜色 3 2 2 8" xfId="1540"/>
    <cellStyle name="20% - 强调文字颜色 3 2 2 9" xfId="1541"/>
    <cellStyle name="20% - 强调文字颜色 3 2 20" xfId="1542"/>
    <cellStyle name="20% - 强调文字颜色 3 2 21" xfId="1543"/>
    <cellStyle name="20% - 强调文字颜色 3 2 22" xfId="1544"/>
    <cellStyle name="20% - 强调文字颜色 3 2 23" xfId="1545"/>
    <cellStyle name="20% - 强调文字颜色 3 2 24" xfId="1546"/>
    <cellStyle name="20% - 强调文字颜色 3 2 25" xfId="1547"/>
    <cellStyle name="20% - 强调文字颜色 3 2 26" xfId="1548"/>
    <cellStyle name="20% - 强调文字颜色 3 2 27" xfId="1549"/>
    <cellStyle name="20% - 强调文字颜色 3 2 28" xfId="1550"/>
    <cellStyle name="20% - 强调文字颜色 3 2 29" xfId="1551"/>
    <cellStyle name="20% - 强调文字颜色 3 2 3" xfId="1552"/>
    <cellStyle name="20% - 强调文字颜色 3 2 3 10" xfId="1553"/>
    <cellStyle name="20% - 强调文字颜色 3 2 3 11" xfId="1554"/>
    <cellStyle name="20% - 强调文字颜色 3 2 3 12" xfId="1555"/>
    <cellStyle name="20% - 强调文字颜色 3 2 3 13" xfId="1556"/>
    <cellStyle name="20% - 强调文字颜色 3 2 3 14" xfId="1557"/>
    <cellStyle name="20% - 强调文字颜色 3 2 3 15" xfId="1558"/>
    <cellStyle name="20% - 强调文字颜色 3 2 3 16" xfId="1559"/>
    <cellStyle name="20% - 强调文字颜色 3 2 3 17" xfId="1560"/>
    <cellStyle name="20% - 强调文字颜色 3 2 3 18" xfId="1561"/>
    <cellStyle name="20% - 强调文字颜色 3 2 3 19" xfId="1562"/>
    <cellStyle name="20% - 强调文字颜色 3 2 3 2" xfId="1563"/>
    <cellStyle name="20% - 强调文字颜色 3 2 3 2 10" xfId="1564"/>
    <cellStyle name="20% - 强调文字颜色 3 2 3 2 11" xfId="1565"/>
    <cellStyle name="20% - 强调文字颜色 3 2 3 2 12" xfId="1566"/>
    <cellStyle name="20% - 强调文字颜色 3 2 3 2 13" xfId="1567"/>
    <cellStyle name="20% - 强调文字颜色 3 2 3 2 14" xfId="1568"/>
    <cellStyle name="20% - 强调文字颜色 3 2 3 2 15" xfId="1569"/>
    <cellStyle name="20% - 强调文字颜色 3 2 3 2 16" xfId="1570"/>
    <cellStyle name="20% - 强调文字颜色 3 2 3 2 17" xfId="1571"/>
    <cellStyle name="20% - 强调文字颜色 3 2 3 2 18" xfId="1572"/>
    <cellStyle name="20% - 强调文字颜色 3 2 3 2 19" xfId="1573"/>
    <cellStyle name="20% - 强调文字颜色 3 2 3 2 2" xfId="1574"/>
    <cellStyle name="20% - 强调文字颜色 3 2 3 2 20" xfId="1575"/>
    <cellStyle name="20% - 强调文字颜色 3 2 3 2 21" xfId="1576"/>
    <cellStyle name="20% - 强调文字颜色 3 2 3 2 22" xfId="1577"/>
    <cellStyle name="20% - 强调文字颜色 3 2 3 2 23" xfId="1578"/>
    <cellStyle name="20% - 强调文字颜色 3 2 3 2 24" xfId="1579"/>
    <cellStyle name="20% - 强调文字颜色 3 2 3 2 25" xfId="1580"/>
    <cellStyle name="20% - 强调文字颜色 3 2 3 2 26" xfId="1581"/>
    <cellStyle name="20% - 强调文字颜色 3 2 3 2 27" xfId="1582"/>
    <cellStyle name="20% - 强调文字颜色 3 2 3 2 3" xfId="1583"/>
    <cellStyle name="20% - 强调文字颜色 3 2 3 2 4" xfId="1584"/>
    <cellStyle name="20% - 强调文字颜色 3 2 3 2 5" xfId="1585"/>
    <cellStyle name="20% - 强调文字颜色 3 2 3 2 6" xfId="1586"/>
    <cellStyle name="20% - 强调文字颜色 3 2 3 2 7" xfId="1587"/>
    <cellStyle name="20% - 强调文字颜色 3 2 3 2 8" xfId="1588"/>
    <cellStyle name="20% - 强调文字颜色 3 2 3 2 9" xfId="1589"/>
    <cellStyle name="20% - 强调文字颜色 3 2 3 20" xfId="1590"/>
    <cellStyle name="20% - 强调文字颜色 3 2 3 21" xfId="1591"/>
    <cellStyle name="20% - 强调文字颜色 3 2 3 22" xfId="1592"/>
    <cellStyle name="20% - 强调文字颜色 3 2 3 23" xfId="1593"/>
    <cellStyle name="20% - 强调文字颜色 3 2 3 24" xfId="1594"/>
    <cellStyle name="20% - 强调文字颜色 3 2 3 25" xfId="1595"/>
    <cellStyle name="20% - 强调文字颜色 3 2 3 26" xfId="1596"/>
    <cellStyle name="20% - 强调文字颜色 3 2 3 27" xfId="1597"/>
    <cellStyle name="20% - 强调文字颜色 3 2 3 28" xfId="1598"/>
    <cellStyle name="20% - 强调文字颜色 3 2 3 3" xfId="1599"/>
    <cellStyle name="20% - 强调文字颜色 3 2 3 4" xfId="1600"/>
    <cellStyle name="20% - 强调文字颜色 3 2 3 5" xfId="1601"/>
    <cellStyle name="20% - 强调文字颜色 3 2 3 6" xfId="1602"/>
    <cellStyle name="20% - 强调文字颜色 3 2 3 7" xfId="1603"/>
    <cellStyle name="20% - 强调文字颜色 3 2 3 8" xfId="1604"/>
    <cellStyle name="20% - 强调文字颜色 3 2 3 9" xfId="1605"/>
    <cellStyle name="20% - 强调文字颜色 3 2 30" xfId="1606"/>
    <cellStyle name="20% - 强调文字颜色 3 2 31" xfId="1607"/>
    <cellStyle name="20% - 强调文字颜色 3 2 32" xfId="1608"/>
    <cellStyle name="20% - 强调文字颜色 3 2 33" xfId="1609"/>
    <cellStyle name="20% - 强调文字颜色 3 2 4" xfId="1610"/>
    <cellStyle name="20% - 强调文字颜色 3 2 4 10" xfId="1611"/>
    <cellStyle name="20% - 强调文字颜色 3 2 4 11" xfId="1612"/>
    <cellStyle name="20% - 强调文字颜色 3 2 4 12" xfId="1613"/>
    <cellStyle name="20% - 强调文字颜色 3 2 4 13" xfId="1614"/>
    <cellStyle name="20% - 强调文字颜色 3 2 4 14" xfId="1615"/>
    <cellStyle name="20% - 强调文字颜色 3 2 4 15" xfId="1616"/>
    <cellStyle name="20% - 强调文字颜色 3 2 4 16" xfId="1617"/>
    <cellStyle name="20% - 强调文字颜色 3 2 4 17" xfId="1618"/>
    <cellStyle name="20% - 强调文字颜色 3 2 4 18" xfId="1619"/>
    <cellStyle name="20% - 强调文字颜色 3 2 4 19" xfId="1620"/>
    <cellStyle name="20% - 强调文字颜色 3 2 4 2" xfId="1621"/>
    <cellStyle name="20% - 强调文字颜色 3 2 4 20" xfId="1622"/>
    <cellStyle name="20% - 强调文字颜色 3 2 4 21" xfId="1623"/>
    <cellStyle name="20% - 强调文字颜色 3 2 4 22" xfId="1624"/>
    <cellStyle name="20% - 强调文字颜色 3 2 4 23" xfId="1625"/>
    <cellStyle name="20% - 强调文字颜色 3 2 4 24" xfId="1626"/>
    <cellStyle name="20% - 强调文字颜色 3 2 4 25" xfId="1627"/>
    <cellStyle name="20% - 强调文字颜色 3 2 4 26" xfId="1628"/>
    <cellStyle name="20% - 强调文字颜色 3 2 4 27" xfId="1629"/>
    <cellStyle name="20% - 强调文字颜色 3 2 4 3" xfId="1630"/>
    <cellStyle name="20% - 强调文字颜色 3 2 4 4" xfId="1631"/>
    <cellStyle name="20% - 强调文字颜色 3 2 4 5" xfId="1632"/>
    <cellStyle name="20% - 强调文字颜色 3 2 4 6" xfId="1633"/>
    <cellStyle name="20% - 强调文字颜色 3 2 4 7" xfId="1634"/>
    <cellStyle name="20% - 强调文字颜色 3 2 4 8" xfId="1635"/>
    <cellStyle name="20% - 强调文字颜色 3 2 4 9" xfId="1636"/>
    <cellStyle name="20% - 强调文字颜色 3 2 5" xfId="1637"/>
    <cellStyle name="20% - 强调文字颜色 3 2 6" xfId="1638"/>
    <cellStyle name="20% - 强调文字颜色 3 2 7" xfId="1639"/>
    <cellStyle name="20% - 强调文字颜色 3 2 8" xfId="1640"/>
    <cellStyle name="20% - 强调文字颜色 3 2 9" xfId="1641"/>
    <cellStyle name="20% - 强调文字颜色 3 20" xfId="1642"/>
    <cellStyle name="20% - 强调文字颜色 3 21" xfId="1643"/>
    <cellStyle name="20% - 强调文字颜色 3 22" xfId="1644"/>
    <cellStyle name="20% - 强调文字颜色 3 23" xfId="1645"/>
    <cellStyle name="20% - 强调文字颜色 3 24" xfId="1646"/>
    <cellStyle name="20% - 强调文字颜色 3 25" xfId="1647"/>
    <cellStyle name="20% - 强调文字颜色 3 26" xfId="1648"/>
    <cellStyle name="20% - 强调文字颜色 3 27" xfId="1649"/>
    <cellStyle name="20% - 强调文字颜色 3 28" xfId="1650"/>
    <cellStyle name="20% - 强调文字颜色 3 29" xfId="1651"/>
    <cellStyle name="20% - 强调文字颜色 3 3" xfId="1652"/>
    <cellStyle name="20% - 强调文字颜色 3 3 10" xfId="1653"/>
    <cellStyle name="20% - 强调文字颜色 3 3 11" xfId="1654"/>
    <cellStyle name="20% - 强调文字颜色 3 3 12" xfId="1655"/>
    <cellStyle name="20% - 强调文字颜色 3 3 13" xfId="1656"/>
    <cellStyle name="20% - 强调文字颜色 3 3 14" xfId="1657"/>
    <cellStyle name="20% - 强调文字颜色 3 3 15" xfId="1658"/>
    <cellStyle name="20% - 强调文字颜色 3 3 16" xfId="1659"/>
    <cellStyle name="20% - 强调文字颜色 3 3 17" xfId="1660"/>
    <cellStyle name="20% - 强调文字颜色 3 3 18" xfId="1661"/>
    <cellStyle name="20% - 强调文字颜色 3 3 19" xfId="1662"/>
    <cellStyle name="20% - 强调文字颜色 3 3 2" xfId="1663"/>
    <cellStyle name="20% - 强调文字颜色 3 3 2 10" xfId="1664"/>
    <cellStyle name="20% - 强调文字颜色 3 3 2 11" xfId="1665"/>
    <cellStyle name="20% - 强调文字颜色 3 3 2 12" xfId="1666"/>
    <cellStyle name="20% - 强调文字颜色 3 3 2 13" xfId="1667"/>
    <cellStyle name="20% - 强调文字颜色 3 3 2 14" xfId="1668"/>
    <cellStyle name="20% - 强调文字颜色 3 3 2 15" xfId="1669"/>
    <cellStyle name="20% - 强调文字颜色 3 3 2 16" xfId="1670"/>
    <cellStyle name="20% - 强调文字颜色 3 3 2 17" xfId="1671"/>
    <cellStyle name="20% - 强调文字颜色 3 3 2 18" xfId="1672"/>
    <cellStyle name="20% - 强调文字颜色 3 3 2 19" xfId="1673"/>
    <cellStyle name="20% - 强调文字颜色 3 3 2 2" xfId="1674"/>
    <cellStyle name="20% - 强调文字颜色 3 3 2 20" xfId="1675"/>
    <cellStyle name="20% - 强调文字颜色 3 3 2 21" xfId="1676"/>
    <cellStyle name="20% - 强调文字颜色 3 3 2 22" xfId="1677"/>
    <cellStyle name="20% - 强调文字颜色 3 3 2 23" xfId="1678"/>
    <cellStyle name="20% - 强调文字颜色 3 3 2 24" xfId="1679"/>
    <cellStyle name="20% - 强调文字颜色 3 3 2 25" xfId="1680"/>
    <cellStyle name="20% - 强调文字颜色 3 3 2 26" xfId="1681"/>
    <cellStyle name="20% - 强调文字颜色 3 3 2 27" xfId="1682"/>
    <cellStyle name="20% - 强调文字颜色 3 3 2 3" xfId="1683"/>
    <cellStyle name="20% - 强调文字颜色 3 3 2 4" xfId="1684"/>
    <cellStyle name="20% - 强调文字颜色 3 3 2 5" xfId="1685"/>
    <cellStyle name="20% - 强调文字颜色 3 3 2 6" xfId="1686"/>
    <cellStyle name="20% - 强调文字颜色 3 3 2 7" xfId="1687"/>
    <cellStyle name="20% - 强调文字颜色 3 3 2 8" xfId="1688"/>
    <cellStyle name="20% - 强调文字颜色 3 3 2 9" xfId="1689"/>
    <cellStyle name="20% - 强调文字颜色 3 3 20" xfId="1690"/>
    <cellStyle name="20% - 强调文字颜色 3 3 21" xfId="1691"/>
    <cellStyle name="20% - 强调文字颜色 3 3 22" xfId="1692"/>
    <cellStyle name="20% - 强调文字颜色 3 3 23" xfId="1693"/>
    <cellStyle name="20% - 强调文字颜色 3 3 24" xfId="1694"/>
    <cellStyle name="20% - 强调文字颜色 3 3 25" xfId="1695"/>
    <cellStyle name="20% - 强调文字颜色 3 3 26" xfId="1696"/>
    <cellStyle name="20% - 强调文字颜色 3 3 27" xfId="1697"/>
    <cellStyle name="20% - 强调文字颜色 3 3 28" xfId="1698"/>
    <cellStyle name="20% - 强调文字颜色 3 3 3" xfId="1699"/>
    <cellStyle name="20% - 强调文字颜色 3 3 4" xfId="1700"/>
    <cellStyle name="20% - 强调文字颜色 3 3 5" xfId="1701"/>
    <cellStyle name="20% - 强调文字颜色 3 3 6" xfId="1702"/>
    <cellStyle name="20% - 强调文字颜色 3 3 7" xfId="1703"/>
    <cellStyle name="20% - 强调文字颜色 3 3 8" xfId="1704"/>
    <cellStyle name="20% - 强调文字颜色 3 3 9" xfId="1705"/>
    <cellStyle name="20% - 强调文字颜色 3 30" xfId="1706"/>
    <cellStyle name="20% - 强调文字颜色 3 31" xfId="1707"/>
    <cellStyle name="20% - 强调文字颜色 3 32" xfId="1708"/>
    <cellStyle name="20% - 强调文字颜色 3 33" xfId="1709"/>
    <cellStyle name="20% - 强调文字颜色 3 34" xfId="1710"/>
    <cellStyle name="20% - 强调文字颜色 3 35" xfId="1711"/>
    <cellStyle name="20% - 强调文字颜色 3 36" xfId="1712"/>
    <cellStyle name="20% - 强调文字颜色 3 37" xfId="1713"/>
    <cellStyle name="20% - 强调文字颜色 3 38" xfId="1714"/>
    <cellStyle name="20% - 强调文字颜色 3 39" xfId="1715"/>
    <cellStyle name="20% - 强调文字颜色 3 4" xfId="1716"/>
    <cellStyle name="20% - 强调文字颜色 3 4 10" xfId="1717"/>
    <cellStyle name="20% - 强调文字颜色 3 4 11" xfId="1718"/>
    <cellStyle name="20% - 强调文字颜色 3 4 12" xfId="1719"/>
    <cellStyle name="20% - 强调文字颜色 3 4 13" xfId="1720"/>
    <cellStyle name="20% - 强调文字颜色 3 4 14" xfId="1721"/>
    <cellStyle name="20% - 强调文字颜色 3 4 15" xfId="1722"/>
    <cellStyle name="20% - 强调文字颜色 3 4 16" xfId="1723"/>
    <cellStyle name="20% - 强调文字颜色 3 4 17" xfId="1724"/>
    <cellStyle name="20% - 强调文字颜色 3 4 18" xfId="1725"/>
    <cellStyle name="20% - 强调文字颜色 3 4 19" xfId="1726"/>
    <cellStyle name="20% - 强调文字颜色 3 4 2" xfId="1727"/>
    <cellStyle name="20% - 强调文字颜色 3 4 2 10" xfId="1728"/>
    <cellStyle name="20% - 强调文字颜色 3 4 2 11" xfId="1729"/>
    <cellStyle name="20% - 强调文字颜色 3 4 2 12" xfId="1730"/>
    <cellStyle name="20% - 强调文字颜色 3 4 2 13" xfId="1731"/>
    <cellStyle name="20% - 强调文字颜色 3 4 2 14" xfId="1732"/>
    <cellStyle name="20% - 强调文字颜色 3 4 2 15" xfId="1733"/>
    <cellStyle name="20% - 强调文字颜色 3 4 2 16" xfId="1734"/>
    <cellStyle name="20% - 强调文字颜色 3 4 2 17" xfId="1735"/>
    <cellStyle name="20% - 强调文字颜色 3 4 2 18" xfId="1736"/>
    <cellStyle name="20% - 强调文字颜色 3 4 2 19" xfId="1737"/>
    <cellStyle name="20% - 强调文字颜色 3 4 2 2" xfId="1738"/>
    <cellStyle name="20% - 强调文字颜色 3 4 2 20" xfId="1739"/>
    <cellStyle name="20% - 强调文字颜色 3 4 2 21" xfId="1740"/>
    <cellStyle name="20% - 强调文字颜色 3 4 2 22" xfId="1741"/>
    <cellStyle name="20% - 强调文字颜色 3 4 2 23" xfId="1742"/>
    <cellStyle name="20% - 强调文字颜色 3 4 2 24" xfId="1743"/>
    <cellStyle name="20% - 强调文字颜色 3 4 2 25" xfId="1744"/>
    <cellStyle name="20% - 强调文字颜色 3 4 2 26" xfId="1745"/>
    <cellStyle name="20% - 强调文字颜色 3 4 2 27" xfId="1746"/>
    <cellStyle name="20% - 强调文字颜色 3 4 2 3" xfId="1747"/>
    <cellStyle name="20% - 强调文字颜色 3 4 2 4" xfId="1748"/>
    <cellStyle name="20% - 强调文字颜色 3 4 2 5" xfId="1749"/>
    <cellStyle name="20% - 强调文字颜色 3 4 2 6" xfId="1750"/>
    <cellStyle name="20% - 强调文字颜色 3 4 2 7" xfId="1751"/>
    <cellStyle name="20% - 强调文字颜色 3 4 2 8" xfId="1752"/>
    <cellStyle name="20% - 强调文字颜色 3 4 2 9" xfId="1753"/>
    <cellStyle name="20% - 强调文字颜色 3 4 20" xfId="1754"/>
    <cellStyle name="20% - 强调文字颜色 3 4 21" xfId="1755"/>
    <cellStyle name="20% - 强调文字颜色 3 4 22" xfId="1756"/>
    <cellStyle name="20% - 强调文字颜色 3 4 23" xfId="1757"/>
    <cellStyle name="20% - 强调文字颜色 3 4 24" xfId="1758"/>
    <cellStyle name="20% - 强调文字颜色 3 4 25" xfId="1759"/>
    <cellStyle name="20% - 强调文字颜色 3 4 26" xfId="1760"/>
    <cellStyle name="20% - 强调文字颜色 3 4 27" xfId="1761"/>
    <cellStyle name="20% - 强调文字颜色 3 4 28" xfId="1762"/>
    <cellStyle name="20% - 强调文字颜色 3 4 3" xfId="1763"/>
    <cellStyle name="20% - 强调文字颜色 3 4 4" xfId="1764"/>
    <cellStyle name="20% - 强调文字颜色 3 4 5" xfId="1765"/>
    <cellStyle name="20% - 强调文字颜色 3 4 6" xfId="1766"/>
    <cellStyle name="20% - 强调文字颜色 3 4 7" xfId="1767"/>
    <cellStyle name="20% - 强调文字颜色 3 4 8" xfId="1768"/>
    <cellStyle name="20% - 强调文字颜色 3 4 9" xfId="1769"/>
    <cellStyle name="20% - 强调文字颜色 3 40" xfId="1770"/>
    <cellStyle name="20% - 强调文字颜色 3 5" xfId="1771"/>
    <cellStyle name="20% - 强调文字颜色 3 5 10" xfId="1772"/>
    <cellStyle name="20% - 强调文字颜色 3 5 11" xfId="1773"/>
    <cellStyle name="20% - 强调文字颜色 3 5 12" xfId="1774"/>
    <cellStyle name="20% - 强调文字颜色 3 5 13" xfId="1775"/>
    <cellStyle name="20% - 强调文字颜色 3 5 14" xfId="1776"/>
    <cellStyle name="20% - 强调文字颜色 3 5 15" xfId="1777"/>
    <cellStyle name="20% - 强调文字颜色 3 5 16" xfId="1778"/>
    <cellStyle name="20% - 强调文字颜色 3 5 17" xfId="1779"/>
    <cellStyle name="20% - 强调文字颜色 3 5 18" xfId="1780"/>
    <cellStyle name="20% - 强调文字颜色 3 5 19" xfId="1781"/>
    <cellStyle name="20% - 强调文字颜色 3 5 2" xfId="1782"/>
    <cellStyle name="20% - 强调文字颜色 3 5 2 10" xfId="1783"/>
    <cellStyle name="20% - 强调文字颜色 3 5 2 11" xfId="1784"/>
    <cellStyle name="20% - 强调文字颜色 3 5 2 12" xfId="1785"/>
    <cellStyle name="20% - 强调文字颜色 3 5 2 13" xfId="1786"/>
    <cellStyle name="20% - 强调文字颜色 3 5 2 14" xfId="1787"/>
    <cellStyle name="20% - 强调文字颜色 3 5 2 15" xfId="1788"/>
    <cellStyle name="20% - 强调文字颜色 3 5 2 16" xfId="1789"/>
    <cellStyle name="20% - 强调文字颜色 3 5 2 17" xfId="1790"/>
    <cellStyle name="20% - 强调文字颜色 3 5 2 18" xfId="1791"/>
    <cellStyle name="20% - 强调文字颜色 3 5 2 19" xfId="1792"/>
    <cellStyle name="20% - 强调文字颜色 3 5 2 2" xfId="1793"/>
    <cellStyle name="20% - 强调文字颜色 3 5 2 20" xfId="1794"/>
    <cellStyle name="20% - 强调文字颜色 3 5 2 21" xfId="1795"/>
    <cellStyle name="20% - 强调文字颜色 3 5 2 22" xfId="1796"/>
    <cellStyle name="20% - 强调文字颜色 3 5 2 23" xfId="1797"/>
    <cellStyle name="20% - 强调文字颜色 3 5 2 24" xfId="1798"/>
    <cellStyle name="20% - 强调文字颜色 3 5 2 25" xfId="1799"/>
    <cellStyle name="20% - 强调文字颜色 3 5 2 26" xfId="1800"/>
    <cellStyle name="20% - 强调文字颜色 3 5 2 27" xfId="1801"/>
    <cellStyle name="20% - 强调文字颜色 3 5 2 3" xfId="1802"/>
    <cellStyle name="20% - 强调文字颜色 3 5 2 4" xfId="1803"/>
    <cellStyle name="20% - 强调文字颜色 3 5 2 5" xfId="1804"/>
    <cellStyle name="20% - 强调文字颜色 3 5 2 6" xfId="1805"/>
    <cellStyle name="20% - 强调文字颜色 3 5 2 7" xfId="1806"/>
    <cellStyle name="20% - 强调文字颜色 3 5 2 8" xfId="1807"/>
    <cellStyle name="20% - 强调文字颜色 3 5 2 9" xfId="1808"/>
    <cellStyle name="20% - 强调文字颜色 3 5 20" xfId="1809"/>
    <cellStyle name="20% - 强调文字颜色 3 5 21" xfId="1810"/>
    <cellStyle name="20% - 强调文字颜色 3 5 22" xfId="1811"/>
    <cellStyle name="20% - 强调文字颜色 3 5 23" xfId="1812"/>
    <cellStyle name="20% - 强调文字颜色 3 5 24" xfId="1813"/>
    <cellStyle name="20% - 强调文字颜色 3 5 25" xfId="1814"/>
    <cellStyle name="20% - 强调文字颜色 3 5 26" xfId="1815"/>
    <cellStyle name="20% - 强调文字颜色 3 5 27" xfId="1816"/>
    <cellStyle name="20% - 强调文字颜色 3 5 28" xfId="1817"/>
    <cellStyle name="20% - 强调文字颜色 3 5 3" xfId="1818"/>
    <cellStyle name="20% - 强调文字颜色 3 5 4" xfId="1819"/>
    <cellStyle name="20% - 强调文字颜色 3 5 5" xfId="1820"/>
    <cellStyle name="20% - 强调文字颜色 3 5 6" xfId="1821"/>
    <cellStyle name="20% - 强调文字颜色 3 5 7" xfId="1822"/>
    <cellStyle name="20% - 强调文字颜色 3 5 8" xfId="1823"/>
    <cellStyle name="20% - 强调文字颜色 3 5 9" xfId="1824"/>
    <cellStyle name="20% - 强调文字颜色 3 6" xfId="1825"/>
    <cellStyle name="20% - 强调文字颜色 3 6 10" xfId="1826"/>
    <cellStyle name="20% - 强调文字颜色 3 6 11" xfId="1827"/>
    <cellStyle name="20% - 强调文字颜色 3 6 12" xfId="1828"/>
    <cellStyle name="20% - 强调文字颜色 3 6 13" xfId="1829"/>
    <cellStyle name="20% - 强调文字颜色 3 6 14" xfId="1830"/>
    <cellStyle name="20% - 强调文字颜色 3 6 15" xfId="1831"/>
    <cellStyle name="20% - 强调文字颜色 3 6 16" xfId="1832"/>
    <cellStyle name="20% - 强调文字颜色 3 6 17" xfId="1833"/>
    <cellStyle name="20% - 强调文字颜色 3 6 18" xfId="1834"/>
    <cellStyle name="20% - 强调文字颜色 3 6 19" xfId="1835"/>
    <cellStyle name="20% - 强调文字颜色 3 6 2" xfId="1836"/>
    <cellStyle name="20% - 强调文字颜色 3 6 2 10" xfId="1837"/>
    <cellStyle name="20% - 强调文字颜色 3 6 2 11" xfId="1838"/>
    <cellStyle name="20% - 强调文字颜色 3 6 2 12" xfId="1839"/>
    <cellStyle name="20% - 强调文字颜色 3 6 2 13" xfId="1840"/>
    <cellStyle name="20% - 强调文字颜色 3 6 2 14" xfId="1841"/>
    <cellStyle name="20% - 强调文字颜色 3 6 2 15" xfId="1842"/>
    <cellStyle name="20% - 强调文字颜色 3 6 2 16" xfId="1843"/>
    <cellStyle name="20% - 强调文字颜色 3 6 2 17" xfId="1844"/>
    <cellStyle name="20% - 强调文字颜色 3 6 2 18" xfId="1845"/>
    <cellStyle name="20% - 强调文字颜色 3 6 2 19" xfId="1846"/>
    <cellStyle name="20% - 强调文字颜色 3 6 2 2" xfId="1847"/>
    <cellStyle name="20% - 强调文字颜色 3 6 2 20" xfId="1848"/>
    <cellStyle name="20% - 强调文字颜色 3 6 2 21" xfId="1849"/>
    <cellStyle name="20% - 强调文字颜色 3 6 2 22" xfId="1850"/>
    <cellStyle name="20% - 强调文字颜色 3 6 2 23" xfId="1851"/>
    <cellStyle name="20% - 强调文字颜色 3 6 2 24" xfId="1852"/>
    <cellStyle name="20% - 强调文字颜色 3 6 2 25" xfId="1853"/>
    <cellStyle name="20% - 强调文字颜色 3 6 2 26" xfId="1854"/>
    <cellStyle name="20% - 强调文字颜色 3 6 2 27" xfId="1855"/>
    <cellStyle name="20% - 强调文字颜色 3 6 2 3" xfId="1856"/>
    <cellStyle name="20% - 强调文字颜色 3 6 2 4" xfId="1857"/>
    <cellStyle name="20% - 强调文字颜色 3 6 2 5" xfId="1858"/>
    <cellStyle name="20% - 强调文字颜色 3 6 2 6" xfId="1859"/>
    <cellStyle name="20% - 强调文字颜色 3 6 2 7" xfId="1860"/>
    <cellStyle name="20% - 强调文字颜色 3 6 2 8" xfId="1861"/>
    <cellStyle name="20% - 强调文字颜色 3 6 2 9" xfId="1862"/>
    <cellStyle name="20% - 强调文字颜色 3 6 20" xfId="1863"/>
    <cellStyle name="20% - 强调文字颜色 3 6 21" xfId="1864"/>
    <cellStyle name="20% - 强调文字颜色 3 6 22" xfId="1865"/>
    <cellStyle name="20% - 强调文字颜色 3 6 23" xfId="1866"/>
    <cellStyle name="20% - 强调文字颜色 3 6 24" xfId="1867"/>
    <cellStyle name="20% - 强调文字颜色 3 6 25" xfId="1868"/>
    <cellStyle name="20% - 强调文字颜色 3 6 26" xfId="1869"/>
    <cellStyle name="20% - 强调文字颜色 3 6 27" xfId="1870"/>
    <cellStyle name="20% - 强调文字颜色 3 6 28" xfId="1871"/>
    <cellStyle name="20% - 强调文字颜色 3 6 3" xfId="1872"/>
    <cellStyle name="20% - 强调文字颜色 3 6 4" xfId="1873"/>
    <cellStyle name="20% - 强调文字颜色 3 6 5" xfId="1874"/>
    <cellStyle name="20% - 强调文字颜色 3 6 6" xfId="1875"/>
    <cellStyle name="20% - 强调文字颜色 3 6 7" xfId="1876"/>
    <cellStyle name="20% - 强调文字颜色 3 6 8" xfId="1877"/>
    <cellStyle name="20% - 强调文字颜色 3 6 9" xfId="1878"/>
    <cellStyle name="20% - 强调文字颜色 3 7" xfId="1879"/>
    <cellStyle name="20% - 强调文字颜色 3 7 10" xfId="1880"/>
    <cellStyle name="20% - 强调文字颜色 3 7 11" xfId="1881"/>
    <cellStyle name="20% - 强调文字颜色 3 7 12" xfId="1882"/>
    <cellStyle name="20% - 强调文字颜色 3 7 13" xfId="1883"/>
    <cellStyle name="20% - 强调文字颜色 3 7 14" xfId="1884"/>
    <cellStyle name="20% - 强调文字颜色 3 7 15" xfId="1885"/>
    <cellStyle name="20% - 强调文字颜色 3 7 16" xfId="1886"/>
    <cellStyle name="20% - 强调文字颜色 3 7 17" xfId="1887"/>
    <cellStyle name="20% - 强调文字颜色 3 7 18" xfId="1888"/>
    <cellStyle name="20% - 强调文字颜色 3 7 19" xfId="1889"/>
    <cellStyle name="20% - 强调文字颜色 3 7 2" xfId="1890"/>
    <cellStyle name="20% - 强调文字颜色 3 7 2 10" xfId="1891"/>
    <cellStyle name="20% - 强调文字颜色 3 7 2 11" xfId="1892"/>
    <cellStyle name="20% - 强调文字颜色 3 7 2 12" xfId="1893"/>
    <cellStyle name="20% - 强调文字颜色 3 7 2 13" xfId="1894"/>
    <cellStyle name="20% - 强调文字颜色 3 7 2 14" xfId="1895"/>
    <cellStyle name="20% - 强调文字颜色 3 7 2 15" xfId="1896"/>
    <cellStyle name="20% - 强调文字颜色 3 7 2 16" xfId="1897"/>
    <cellStyle name="20% - 强调文字颜色 3 7 2 17" xfId="1898"/>
    <cellStyle name="20% - 强调文字颜色 3 7 2 18" xfId="1899"/>
    <cellStyle name="20% - 强调文字颜色 3 7 2 19" xfId="1900"/>
    <cellStyle name="20% - 强调文字颜色 3 7 2 2" xfId="1901"/>
    <cellStyle name="20% - 强调文字颜色 3 7 2 20" xfId="1902"/>
    <cellStyle name="20% - 强调文字颜色 3 7 2 21" xfId="1903"/>
    <cellStyle name="20% - 强调文字颜色 3 7 2 22" xfId="1904"/>
    <cellStyle name="20% - 强调文字颜色 3 7 2 23" xfId="1905"/>
    <cellStyle name="20% - 强调文字颜色 3 7 2 24" xfId="1906"/>
    <cellStyle name="20% - 强调文字颜色 3 7 2 25" xfId="1907"/>
    <cellStyle name="20% - 强调文字颜色 3 7 2 26" xfId="1908"/>
    <cellStyle name="20% - 强调文字颜色 3 7 2 27" xfId="1909"/>
    <cellStyle name="20% - 强调文字颜色 3 7 2 3" xfId="1910"/>
    <cellStyle name="20% - 强调文字颜色 3 7 2 4" xfId="1911"/>
    <cellStyle name="20% - 强调文字颜色 3 7 2 5" xfId="1912"/>
    <cellStyle name="20% - 强调文字颜色 3 7 2 6" xfId="1913"/>
    <cellStyle name="20% - 强调文字颜色 3 7 2 7" xfId="1914"/>
    <cellStyle name="20% - 强调文字颜色 3 7 2 8" xfId="1915"/>
    <cellStyle name="20% - 强调文字颜色 3 7 2 9" xfId="1916"/>
    <cellStyle name="20% - 强调文字颜色 3 7 20" xfId="1917"/>
    <cellStyle name="20% - 强调文字颜色 3 7 21" xfId="1918"/>
    <cellStyle name="20% - 强调文字颜色 3 7 22" xfId="1919"/>
    <cellStyle name="20% - 强调文字颜色 3 7 23" xfId="1920"/>
    <cellStyle name="20% - 强调文字颜色 3 7 24" xfId="1921"/>
    <cellStyle name="20% - 强调文字颜色 3 7 25" xfId="1922"/>
    <cellStyle name="20% - 强调文字颜色 3 7 26" xfId="1923"/>
    <cellStyle name="20% - 强调文字颜色 3 7 27" xfId="1924"/>
    <cellStyle name="20% - 强调文字颜色 3 7 28" xfId="1925"/>
    <cellStyle name="20% - 强调文字颜色 3 7 3" xfId="1926"/>
    <cellStyle name="20% - 强调文字颜色 3 7 4" xfId="1927"/>
    <cellStyle name="20% - 强调文字颜色 3 7 5" xfId="1928"/>
    <cellStyle name="20% - 强调文字颜色 3 7 6" xfId="1929"/>
    <cellStyle name="20% - 强调文字颜色 3 7 7" xfId="1930"/>
    <cellStyle name="20% - 强调文字颜色 3 7 8" xfId="1931"/>
    <cellStyle name="20% - 强调文字颜色 3 7 9" xfId="1932"/>
    <cellStyle name="20% - 强调文字颜色 3 8" xfId="1933"/>
    <cellStyle name="20% - 强调文字颜色 3 8 10" xfId="1934"/>
    <cellStyle name="20% - 强调文字颜色 3 8 11" xfId="1935"/>
    <cellStyle name="20% - 强调文字颜色 3 8 12" xfId="1936"/>
    <cellStyle name="20% - 强调文字颜色 3 8 13" xfId="1937"/>
    <cellStyle name="20% - 强调文字颜色 3 8 14" xfId="1938"/>
    <cellStyle name="20% - 强调文字颜色 3 8 15" xfId="1939"/>
    <cellStyle name="20% - 强调文字颜色 3 8 16" xfId="1940"/>
    <cellStyle name="20% - 强调文字颜色 3 8 17" xfId="1941"/>
    <cellStyle name="20% - 强调文字颜色 3 8 18" xfId="1942"/>
    <cellStyle name="20% - 强调文字颜色 3 8 19" xfId="1943"/>
    <cellStyle name="20% - 强调文字颜色 3 8 2" xfId="1944"/>
    <cellStyle name="20% - 强调文字颜色 3 8 2 10" xfId="1945"/>
    <cellStyle name="20% - 强调文字颜色 3 8 2 11" xfId="1946"/>
    <cellStyle name="20% - 强调文字颜色 3 8 2 12" xfId="1947"/>
    <cellStyle name="20% - 强调文字颜色 3 8 2 13" xfId="1948"/>
    <cellStyle name="20% - 强调文字颜色 3 8 2 14" xfId="1949"/>
    <cellStyle name="20% - 强调文字颜色 3 8 2 15" xfId="1950"/>
    <cellStyle name="20% - 强调文字颜色 3 8 2 16" xfId="1951"/>
    <cellStyle name="20% - 强调文字颜色 3 8 2 17" xfId="1952"/>
    <cellStyle name="20% - 强调文字颜色 3 8 2 18" xfId="1953"/>
    <cellStyle name="20% - 强调文字颜色 3 8 2 19" xfId="1954"/>
    <cellStyle name="20% - 强调文字颜色 3 8 2 2" xfId="1955"/>
    <cellStyle name="20% - 强调文字颜色 3 8 2 20" xfId="1956"/>
    <cellStyle name="20% - 强调文字颜色 3 8 2 21" xfId="1957"/>
    <cellStyle name="20% - 强调文字颜色 3 8 2 22" xfId="1958"/>
    <cellStyle name="20% - 强调文字颜色 3 8 2 23" xfId="1959"/>
    <cellStyle name="20% - 强调文字颜色 3 8 2 24" xfId="1960"/>
    <cellStyle name="20% - 强调文字颜色 3 8 2 25" xfId="1961"/>
    <cellStyle name="20% - 强调文字颜色 3 8 2 26" xfId="1962"/>
    <cellStyle name="20% - 强调文字颜色 3 8 2 27" xfId="1963"/>
    <cellStyle name="20% - 强调文字颜色 3 8 2 3" xfId="1964"/>
    <cellStyle name="20% - 强调文字颜色 3 8 2 4" xfId="1965"/>
    <cellStyle name="20% - 强调文字颜色 3 8 2 5" xfId="1966"/>
    <cellStyle name="20% - 强调文字颜色 3 8 2 6" xfId="1967"/>
    <cellStyle name="20% - 强调文字颜色 3 8 2 7" xfId="1968"/>
    <cellStyle name="20% - 强调文字颜色 3 8 2 8" xfId="1969"/>
    <cellStyle name="20% - 强调文字颜色 3 8 2 9" xfId="1970"/>
    <cellStyle name="20% - 强调文字颜色 3 8 20" xfId="1971"/>
    <cellStyle name="20% - 强调文字颜色 3 8 21" xfId="1972"/>
    <cellStyle name="20% - 强调文字颜色 3 8 22" xfId="1973"/>
    <cellStyle name="20% - 强调文字颜色 3 8 23" xfId="1974"/>
    <cellStyle name="20% - 强调文字颜色 3 8 24" xfId="1975"/>
    <cellStyle name="20% - 强调文字颜色 3 8 25" xfId="1976"/>
    <cellStyle name="20% - 强调文字颜色 3 8 26" xfId="1977"/>
    <cellStyle name="20% - 强调文字颜色 3 8 27" xfId="1978"/>
    <cellStyle name="20% - 强调文字颜色 3 8 28" xfId="1979"/>
    <cellStyle name="20% - 强调文字颜色 3 8 3" xfId="1980"/>
    <cellStyle name="20% - 强调文字颜色 3 8 4" xfId="1981"/>
    <cellStyle name="20% - 强调文字颜色 3 8 5" xfId="1982"/>
    <cellStyle name="20% - 强调文字颜色 3 8 6" xfId="1983"/>
    <cellStyle name="20% - 强调文字颜色 3 8 7" xfId="1984"/>
    <cellStyle name="20% - 强调文字颜色 3 8 8" xfId="1985"/>
    <cellStyle name="20% - 强调文字颜色 3 8 9" xfId="1986"/>
    <cellStyle name="20% - 强调文字颜色 3 9" xfId="1987"/>
    <cellStyle name="20% - 强调文字颜色 3 9 10" xfId="1988"/>
    <cellStyle name="20% - 强调文字颜色 3 9 11" xfId="1989"/>
    <cellStyle name="20% - 强调文字颜色 3 9 12" xfId="1990"/>
    <cellStyle name="20% - 强调文字颜色 3 9 13" xfId="1991"/>
    <cellStyle name="20% - 强调文字颜色 3 9 14" xfId="1992"/>
    <cellStyle name="20% - 强调文字颜色 3 9 15" xfId="1993"/>
    <cellStyle name="20% - 强调文字颜色 3 9 16" xfId="1994"/>
    <cellStyle name="20% - 强调文字颜色 3 9 17" xfId="1995"/>
    <cellStyle name="20% - 强调文字颜色 3 9 18" xfId="1996"/>
    <cellStyle name="20% - 强调文字颜色 3 9 19" xfId="1997"/>
    <cellStyle name="20% - 强调文字颜色 3 9 2" xfId="1998"/>
    <cellStyle name="20% - 强调文字颜色 3 9 2 10" xfId="1999"/>
    <cellStyle name="20% - 强调文字颜色 3 9 2 11" xfId="2000"/>
    <cellStyle name="20% - 强调文字颜色 3 9 2 12" xfId="2001"/>
    <cellStyle name="20% - 强调文字颜色 3 9 2 13" xfId="2002"/>
    <cellStyle name="20% - 强调文字颜色 3 9 2 14" xfId="2003"/>
    <cellStyle name="20% - 强调文字颜色 3 9 2 15" xfId="2004"/>
    <cellStyle name="20% - 强调文字颜色 3 9 2 16" xfId="2005"/>
    <cellStyle name="20% - 强调文字颜色 3 9 2 17" xfId="2006"/>
    <cellStyle name="20% - 强调文字颜色 3 9 2 18" xfId="2007"/>
    <cellStyle name="20% - 强调文字颜色 3 9 2 19" xfId="2008"/>
    <cellStyle name="20% - 强调文字颜色 3 9 2 2" xfId="2009"/>
    <cellStyle name="20% - 强调文字颜色 3 9 2 20" xfId="2010"/>
    <cellStyle name="20% - 强调文字颜色 3 9 2 21" xfId="2011"/>
    <cellStyle name="20% - 强调文字颜色 3 9 2 22" xfId="2012"/>
    <cellStyle name="20% - 强调文字颜色 3 9 2 23" xfId="2013"/>
    <cellStyle name="20% - 强调文字颜色 3 9 2 24" xfId="2014"/>
    <cellStyle name="20% - 强调文字颜色 3 9 2 25" xfId="2015"/>
    <cellStyle name="20% - 强调文字颜色 3 9 2 26" xfId="2016"/>
    <cellStyle name="20% - 强调文字颜色 3 9 2 27" xfId="2017"/>
    <cellStyle name="20% - 强调文字颜色 3 9 2 3" xfId="2018"/>
    <cellStyle name="20% - 强调文字颜色 3 9 2 4" xfId="2019"/>
    <cellStyle name="20% - 强调文字颜色 3 9 2 5" xfId="2020"/>
    <cellStyle name="20% - 强调文字颜色 3 9 2 6" xfId="2021"/>
    <cellStyle name="20% - 强调文字颜色 3 9 2 7" xfId="2022"/>
    <cellStyle name="20% - 强调文字颜色 3 9 2 8" xfId="2023"/>
    <cellStyle name="20% - 强调文字颜色 3 9 2 9" xfId="2024"/>
    <cellStyle name="20% - 强调文字颜色 3 9 20" xfId="2025"/>
    <cellStyle name="20% - 强调文字颜色 3 9 21" xfId="2026"/>
    <cellStyle name="20% - 强调文字颜色 3 9 22" xfId="2027"/>
    <cellStyle name="20% - 强调文字颜色 3 9 23" xfId="2028"/>
    <cellStyle name="20% - 强调文字颜色 3 9 24" xfId="2029"/>
    <cellStyle name="20% - 强调文字颜色 3 9 25" xfId="2030"/>
    <cellStyle name="20% - 强调文字颜色 3 9 26" xfId="2031"/>
    <cellStyle name="20% - 强调文字颜色 3 9 27" xfId="2032"/>
    <cellStyle name="20% - 强调文字颜色 3 9 28" xfId="2033"/>
    <cellStyle name="20% - 强调文字颜色 3 9 3" xfId="2034"/>
    <cellStyle name="20% - 强调文字颜色 3 9 4" xfId="2035"/>
    <cellStyle name="20% - 强调文字颜色 3 9 5" xfId="2036"/>
    <cellStyle name="20% - 强调文字颜色 3 9 6" xfId="2037"/>
    <cellStyle name="20% - 强调文字颜色 3 9 7" xfId="2038"/>
    <cellStyle name="20% - 强调文字颜色 3 9 8" xfId="2039"/>
    <cellStyle name="20% - 强调文字颜色 3 9 9" xfId="2040"/>
    <cellStyle name="20% - 强调文字颜色 4 10" xfId="2041"/>
    <cellStyle name="20% - 强调文字颜色 4 10 10" xfId="2042"/>
    <cellStyle name="20% - 强调文字颜色 4 10 11" xfId="2043"/>
    <cellStyle name="20% - 强调文字颜色 4 10 12" xfId="2044"/>
    <cellStyle name="20% - 强调文字颜色 4 10 13" xfId="2045"/>
    <cellStyle name="20% - 强调文字颜色 4 10 14" xfId="2046"/>
    <cellStyle name="20% - 强调文字颜色 4 10 15" xfId="2047"/>
    <cellStyle name="20% - 强调文字颜色 4 10 16" xfId="2048"/>
    <cellStyle name="20% - 强调文字颜色 4 10 17" xfId="2049"/>
    <cellStyle name="20% - 强调文字颜色 4 10 18" xfId="2050"/>
    <cellStyle name="20% - 强调文字颜色 4 10 19" xfId="2051"/>
    <cellStyle name="20% - 强调文字颜色 4 10 2" xfId="2052"/>
    <cellStyle name="20% - 强调文字颜色 4 10 2 10" xfId="2053"/>
    <cellStyle name="20% - 强调文字颜色 4 10 2 11" xfId="2054"/>
    <cellStyle name="20% - 强调文字颜色 4 10 2 12" xfId="2055"/>
    <cellStyle name="20% - 强调文字颜色 4 10 2 13" xfId="2056"/>
    <cellStyle name="20% - 强调文字颜色 4 10 2 14" xfId="2057"/>
    <cellStyle name="20% - 强调文字颜色 4 10 2 15" xfId="2058"/>
    <cellStyle name="20% - 强调文字颜色 4 10 2 16" xfId="2059"/>
    <cellStyle name="20% - 强调文字颜色 4 10 2 17" xfId="2060"/>
    <cellStyle name="20% - 强调文字颜色 4 10 2 18" xfId="2061"/>
    <cellStyle name="20% - 强调文字颜色 4 10 2 19" xfId="2062"/>
    <cellStyle name="20% - 强调文字颜色 4 10 2 2" xfId="2063"/>
    <cellStyle name="20% - 强调文字颜色 4 10 2 20" xfId="2064"/>
    <cellStyle name="20% - 强调文字颜色 4 10 2 21" xfId="2065"/>
    <cellStyle name="20% - 强调文字颜色 4 10 2 22" xfId="2066"/>
    <cellStyle name="20% - 强调文字颜色 4 10 2 23" xfId="2067"/>
    <cellStyle name="20% - 强调文字颜色 4 10 2 24" xfId="2068"/>
    <cellStyle name="20% - 强调文字颜色 4 10 2 25" xfId="2069"/>
    <cellStyle name="20% - 强调文字颜色 4 10 2 26" xfId="2070"/>
    <cellStyle name="20% - 强调文字颜色 4 10 2 27" xfId="2071"/>
    <cellStyle name="20% - 强调文字颜色 4 10 2 3" xfId="2072"/>
    <cellStyle name="20% - 强调文字颜色 4 10 2 4" xfId="2073"/>
    <cellStyle name="20% - 强调文字颜色 4 10 2 5" xfId="2074"/>
    <cellStyle name="20% - 强调文字颜色 4 10 2 6" xfId="2075"/>
    <cellStyle name="20% - 强调文字颜色 4 10 2 7" xfId="2076"/>
    <cellStyle name="20% - 强调文字颜色 4 10 2 8" xfId="2077"/>
    <cellStyle name="20% - 强调文字颜色 4 10 2 9" xfId="2078"/>
    <cellStyle name="20% - 强调文字颜色 4 10 20" xfId="2079"/>
    <cellStyle name="20% - 强调文字颜色 4 10 21" xfId="2080"/>
    <cellStyle name="20% - 强调文字颜色 4 10 22" xfId="2081"/>
    <cellStyle name="20% - 强调文字颜色 4 10 23" xfId="2082"/>
    <cellStyle name="20% - 强调文字颜色 4 10 24" xfId="2083"/>
    <cellStyle name="20% - 强调文字颜色 4 10 25" xfId="2084"/>
    <cellStyle name="20% - 强调文字颜色 4 10 26" xfId="2085"/>
    <cellStyle name="20% - 强调文字颜色 4 10 27" xfId="2086"/>
    <cellStyle name="20% - 强调文字颜色 4 10 28" xfId="2087"/>
    <cellStyle name="20% - 强调文字颜色 4 10 3" xfId="2088"/>
    <cellStyle name="20% - 强调文字颜色 4 10 4" xfId="2089"/>
    <cellStyle name="20% - 强调文字颜色 4 10 5" xfId="2090"/>
    <cellStyle name="20% - 强调文字颜色 4 10 6" xfId="2091"/>
    <cellStyle name="20% - 强调文字颜色 4 10 7" xfId="2092"/>
    <cellStyle name="20% - 强调文字颜色 4 10 8" xfId="2093"/>
    <cellStyle name="20% - 强调文字颜色 4 10 9" xfId="2094"/>
    <cellStyle name="20% - 强调文字颜色 4 11" xfId="2095"/>
    <cellStyle name="20% - 强调文字颜色 4 11 10" xfId="2096"/>
    <cellStyle name="20% - 强调文字颜色 4 11 11" xfId="2097"/>
    <cellStyle name="20% - 强调文字颜色 4 11 12" xfId="2098"/>
    <cellStyle name="20% - 强调文字颜色 4 11 13" xfId="2099"/>
    <cellStyle name="20% - 强调文字颜色 4 11 14" xfId="2100"/>
    <cellStyle name="20% - 强调文字颜色 4 11 15" xfId="2101"/>
    <cellStyle name="20% - 强调文字颜色 4 11 16" xfId="2102"/>
    <cellStyle name="20% - 强调文字颜色 4 11 17" xfId="2103"/>
    <cellStyle name="20% - 强调文字颜色 4 11 18" xfId="2104"/>
    <cellStyle name="20% - 强调文字颜色 4 11 19" xfId="2105"/>
    <cellStyle name="20% - 强调文字颜色 4 11 2" xfId="2106"/>
    <cellStyle name="20% - 强调文字颜色 4 11 2 10" xfId="2107"/>
    <cellStyle name="20% - 强调文字颜色 4 11 2 11" xfId="2108"/>
    <cellStyle name="20% - 强调文字颜色 4 11 2 12" xfId="2109"/>
    <cellStyle name="20% - 强调文字颜色 4 11 2 13" xfId="2110"/>
    <cellStyle name="20% - 强调文字颜色 4 11 2 14" xfId="2111"/>
    <cellStyle name="20% - 强调文字颜色 4 11 2 15" xfId="2112"/>
    <cellStyle name="20% - 强调文字颜色 4 11 2 16" xfId="2113"/>
    <cellStyle name="20% - 强调文字颜色 4 11 2 17" xfId="2114"/>
    <cellStyle name="20% - 强调文字颜色 4 11 2 18" xfId="2115"/>
    <cellStyle name="20% - 强调文字颜色 4 11 2 19" xfId="2116"/>
    <cellStyle name="20% - 强调文字颜色 4 11 2 2" xfId="2117"/>
    <cellStyle name="20% - 强调文字颜色 4 11 2 20" xfId="2118"/>
    <cellStyle name="20% - 强调文字颜色 4 11 2 21" xfId="2119"/>
    <cellStyle name="20% - 强调文字颜色 4 11 2 22" xfId="2120"/>
    <cellStyle name="20% - 强调文字颜色 4 11 2 23" xfId="2121"/>
    <cellStyle name="20% - 强调文字颜色 4 11 2 24" xfId="2122"/>
    <cellStyle name="20% - 强调文字颜色 4 11 2 25" xfId="2123"/>
    <cellStyle name="20% - 强调文字颜色 4 11 2 26" xfId="2124"/>
    <cellStyle name="20% - 强调文字颜色 4 11 2 27" xfId="2125"/>
    <cellStyle name="20% - 强调文字颜色 4 11 2 3" xfId="2126"/>
    <cellStyle name="20% - 强调文字颜色 4 11 2 4" xfId="2127"/>
    <cellStyle name="20% - 强调文字颜色 4 11 2 5" xfId="2128"/>
    <cellStyle name="20% - 强调文字颜色 4 11 2 6" xfId="2129"/>
    <cellStyle name="20% - 强调文字颜色 4 11 2 7" xfId="2130"/>
    <cellStyle name="20% - 强调文字颜色 4 11 2 8" xfId="2131"/>
    <cellStyle name="20% - 强调文字颜色 4 11 2 9" xfId="2132"/>
    <cellStyle name="20% - 强调文字颜色 4 11 20" xfId="2133"/>
    <cellStyle name="20% - 强调文字颜色 4 11 21" xfId="2134"/>
    <cellStyle name="20% - 强调文字颜色 4 11 22" xfId="2135"/>
    <cellStyle name="20% - 强调文字颜色 4 11 23" xfId="2136"/>
    <cellStyle name="20% - 强调文字颜色 4 11 24" xfId="2137"/>
    <cellStyle name="20% - 强调文字颜色 4 11 25" xfId="2138"/>
    <cellStyle name="20% - 强调文字颜色 4 11 26" xfId="2139"/>
    <cellStyle name="20% - 强调文字颜色 4 11 27" xfId="2140"/>
    <cellStyle name="20% - 强调文字颜色 4 11 28" xfId="2141"/>
    <cellStyle name="20% - 强调文字颜色 4 11 3" xfId="2142"/>
    <cellStyle name="20% - 强调文字颜色 4 11 4" xfId="2143"/>
    <cellStyle name="20% - 强调文字颜色 4 11 5" xfId="2144"/>
    <cellStyle name="20% - 强调文字颜色 4 11 6" xfId="2145"/>
    <cellStyle name="20% - 强调文字颜色 4 11 7" xfId="2146"/>
    <cellStyle name="20% - 强调文字颜色 4 11 8" xfId="2147"/>
    <cellStyle name="20% - 强调文字颜色 4 11 9" xfId="2148"/>
    <cellStyle name="20% - 强调文字颜色 4 12" xfId="2149"/>
    <cellStyle name="20% - 强调文字颜色 4 13" xfId="2150"/>
    <cellStyle name="20% - 强调文字颜色 4 14" xfId="2151"/>
    <cellStyle name="20% - 强调文字颜色 4 15" xfId="2152"/>
    <cellStyle name="20% - 强调文字颜色 4 16" xfId="2153"/>
    <cellStyle name="20% - 强调文字颜色 4 17" xfId="2154"/>
    <cellStyle name="20% - 强调文字颜色 4 18" xfId="2155"/>
    <cellStyle name="20% - 强调文字颜色 4 19" xfId="2156"/>
    <cellStyle name="20% - 强调文字颜色 4 2" xfId="2157"/>
    <cellStyle name="20% - 强调文字颜色 4 2 10" xfId="2158"/>
    <cellStyle name="20% - 强调文字颜色 4 2 11" xfId="2159"/>
    <cellStyle name="20% - 强调文字颜色 4 2 12" xfId="2160"/>
    <cellStyle name="20% - 强调文字颜色 4 2 13" xfId="2161"/>
    <cellStyle name="20% - 强调文字颜色 4 2 14" xfId="2162"/>
    <cellStyle name="20% - 强调文字颜色 4 2 15" xfId="2163"/>
    <cellStyle name="20% - 强调文字颜色 4 2 16" xfId="2164"/>
    <cellStyle name="20% - 强调文字颜色 4 2 17" xfId="2165"/>
    <cellStyle name="20% - 强调文字颜色 4 2 18" xfId="2166"/>
    <cellStyle name="20% - 强调文字颜色 4 2 19" xfId="2167"/>
    <cellStyle name="20% - 强调文字颜色 4 2 2" xfId="2168"/>
    <cellStyle name="20% - 强调文字颜色 4 2 2 10" xfId="2169"/>
    <cellStyle name="20% - 强调文字颜色 4 2 2 11" xfId="2170"/>
    <cellStyle name="20% - 强调文字颜色 4 2 2 12" xfId="2171"/>
    <cellStyle name="20% - 强调文字颜色 4 2 2 13" xfId="2172"/>
    <cellStyle name="20% - 强调文字颜色 4 2 2 14" xfId="2173"/>
    <cellStyle name="20% - 强调文字颜色 4 2 2 15" xfId="2174"/>
    <cellStyle name="20% - 强调文字颜色 4 2 2 16" xfId="2175"/>
    <cellStyle name="20% - 强调文字颜色 4 2 2 17" xfId="2176"/>
    <cellStyle name="20% - 强调文字颜色 4 2 2 18" xfId="2177"/>
    <cellStyle name="20% - 强调文字颜色 4 2 2 19" xfId="2178"/>
    <cellStyle name="20% - 强调文字颜色 4 2 2 2" xfId="2179"/>
    <cellStyle name="20% - 强调文字颜色 4 2 2 2 10" xfId="2180"/>
    <cellStyle name="20% - 强调文字颜色 4 2 2 2 11" xfId="2181"/>
    <cellStyle name="20% - 强调文字颜色 4 2 2 2 12" xfId="2182"/>
    <cellStyle name="20% - 强调文字颜色 4 2 2 2 13" xfId="2183"/>
    <cellStyle name="20% - 强调文字颜色 4 2 2 2 14" xfId="2184"/>
    <cellStyle name="20% - 强调文字颜色 4 2 2 2 15" xfId="2185"/>
    <cellStyle name="20% - 强调文字颜色 4 2 2 2 16" xfId="2186"/>
    <cellStyle name="20% - 强调文字颜色 4 2 2 2 17" xfId="2187"/>
    <cellStyle name="20% - 强调文字颜色 4 2 2 2 18" xfId="2188"/>
    <cellStyle name="20% - 强调文字颜色 4 2 2 2 19" xfId="2189"/>
    <cellStyle name="20% - 强调文字颜色 4 2 2 2 2" xfId="2190"/>
    <cellStyle name="20% - 强调文字颜色 4 2 2 2 20" xfId="2191"/>
    <cellStyle name="20% - 强调文字颜色 4 2 2 2 21" xfId="2192"/>
    <cellStyle name="20% - 强调文字颜色 4 2 2 2 22" xfId="2193"/>
    <cellStyle name="20% - 强调文字颜色 4 2 2 2 23" xfId="2194"/>
    <cellStyle name="20% - 强调文字颜色 4 2 2 2 24" xfId="2195"/>
    <cellStyle name="20% - 强调文字颜色 4 2 2 2 25" xfId="2196"/>
    <cellStyle name="20% - 强调文字颜色 4 2 2 2 26" xfId="2197"/>
    <cellStyle name="20% - 强调文字颜色 4 2 2 2 27" xfId="2198"/>
    <cellStyle name="20% - 强调文字颜色 4 2 2 2 3" xfId="2199"/>
    <cellStyle name="20% - 强调文字颜色 4 2 2 2 4" xfId="2200"/>
    <cellStyle name="20% - 强调文字颜色 4 2 2 2 5" xfId="2201"/>
    <cellStyle name="20% - 强调文字颜色 4 2 2 2 6" xfId="2202"/>
    <cellStyle name="20% - 强调文字颜色 4 2 2 2 7" xfId="2203"/>
    <cellStyle name="20% - 强调文字颜色 4 2 2 2 8" xfId="2204"/>
    <cellStyle name="20% - 强调文字颜色 4 2 2 2 9" xfId="2205"/>
    <cellStyle name="20% - 强调文字颜色 4 2 2 20" xfId="2206"/>
    <cellStyle name="20% - 强调文字颜色 4 2 2 21" xfId="2207"/>
    <cellStyle name="20% - 强调文字颜色 4 2 2 22" xfId="2208"/>
    <cellStyle name="20% - 强调文字颜色 4 2 2 23" xfId="2209"/>
    <cellStyle name="20% - 强调文字颜色 4 2 2 24" xfId="2210"/>
    <cellStyle name="20% - 强调文字颜色 4 2 2 25" xfId="2211"/>
    <cellStyle name="20% - 强调文字颜色 4 2 2 26" xfId="2212"/>
    <cellStyle name="20% - 强调文字颜色 4 2 2 27" xfId="2213"/>
    <cellStyle name="20% - 强调文字颜色 4 2 2 28" xfId="2214"/>
    <cellStyle name="20% - 强调文字颜色 4 2 2 3" xfId="2215"/>
    <cellStyle name="20% - 强调文字颜色 4 2 2 4" xfId="2216"/>
    <cellStyle name="20% - 强调文字颜色 4 2 2 5" xfId="2217"/>
    <cellStyle name="20% - 强调文字颜色 4 2 2 6" xfId="2218"/>
    <cellStyle name="20% - 强调文字颜色 4 2 2 7" xfId="2219"/>
    <cellStyle name="20% - 强调文字颜色 4 2 2 8" xfId="2220"/>
    <cellStyle name="20% - 强调文字颜色 4 2 2 9" xfId="2221"/>
    <cellStyle name="20% - 强调文字颜色 4 2 20" xfId="2222"/>
    <cellStyle name="20% - 强调文字颜色 4 2 21" xfId="2223"/>
    <cellStyle name="20% - 强调文字颜色 4 2 22" xfId="2224"/>
    <cellStyle name="20% - 强调文字颜色 4 2 23" xfId="2225"/>
    <cellStyle name="20% - 强调文字颜色 4 2 24" xfId="2226"/>
    <cellStyle name="20% - 强调文字颜色 4 2 25" xfId="2227"/>
    <cellStyle name="20% - 强调文字颜色 4 2 26" xfId="2228"/>
    <cellStyle name="20% - 强调文字颜色 4 2 27" xfId="2229"/>
    <cellStyle name="20% - 强调文字颜色 4 2 28" xfId="2230"/>
    <cellStyle name="20% - 强调文字颜色 4 2 29" xfId="2231"/>
    <cellStyle name="20% - 强调文字颜色 4 2 3" xfId="2232"/>
    <cellStyle name="20% - 强调文字颜色 4 2 3 10" xfId="2233"/>
    <cellStyle name="20% - 强调文字颜色 4 2 3 11" xfId="2234"/>
    <cellStyle name="20% - 强调文字颜色 4 2 3 12" xfId="2235"/>
    <cellStyle name="20% - 强调文字颜色 4 2 3 13" xfId="2236"/>
    <cellStyle name="20% - 强调文字颜色 4 2 3 14" xfId="2237"/>
    <cellStyle name="20% - 强调文字颜色 4 2 3 15" xfId="2238"/>
    <cellStyle name="20% - 强调文字颜色 4 2 3 16" xfId="2239"/>
    <cellStyle name="20% - 强调文字颜色 4 2 3 17" xfId="2240"/>
    <cellStyle name="20% - 强调文字颜色 4 2 3 18" xfId="2241"/>
    <cellStyle name="20% - 强调文字颜色 4 2 3 19" xfId="2242"/>
    <cellStyle name="20% - 强调文字颜色 4 2 3 2" xfId="2243"/>
    <cellStyle name="20% - 强调文字颜色 4 2 3 2 10" xfId="2244"/>
    <cellStyle name="20% - 强调文字颜色 4 2 3 2 11" xfId="2245"/>
    <cellStyle name="20% - 强调文字颜色 4 2 3 2 12" xfId="2246"/>
    <cellStyle name="20% - 强调文字颜色 4 2 3 2 13" xfId="2247"/>
    <cellStyle name="20% - 强调文字颜色 4 2 3 2 14" xfId="2248"/>
    <cellStyle name="20% - 强调文字颜色 4 2 3 2 15" xfId="2249"/>
    <cellStyle name="20% - 强调文字颜色 4 2 3 2 16" xfId="2250"/>
    <cellStyle name="20% - 强调文字颜色 4 2 3 2 17" xfId="2251"/>
    <cellStyle name="20% - 强调文字颜色 4 2 3 2 18" xfId="2252"/>
    <cellStyle name="20% - 强调文字颜色 4 2 3 2 19" xfId="2253"/>
    <cellStyle name="20% - 强调文字颜色 4 2 3 2 2" xfId="2254"/>
    <cellStyle name="20% - 强调文字颜色 4 2 3 2 20" xfId="2255"/>
    <cellStyle name="20% - 强调文字颜色 4 2 3 2 21" xfId="2256"/>
    <cellStyle name="20% - 强调文字颜色 4 2 3 2 22" xfId="2257"/>
    <cellStyle name="20% - 强调文字颜色 4 2 3 2 23" xfId="2258"/>
    <cellStyle name="20% - 强调文字颜色 4 2 3 2 24" xfId="2259"/>
    <cellStyle name="20% - 强调文字颜色 4 2 3 2 25" xfId="2260"/>
    <cellStyle name="20% - 强调文字颜色 4 2 3 2 26" xfId="2261"/>
    <cellStyle name="20% - 强调文字颜色 4 2 3 2 27" xfId="2262"/>
    <cellStyle name="20% - 强调文字颜色 4 2 3 2 3" xfId="2263"/>
    <cellStyle name="20% - 强调文字颜色 4 2 3 2 4" xfId="2264"/>
    <cellStyle name="20% - 强调文字颜色 4 2 3 2 5" xfId="2265"/>
    <cellStyle name="20% - 强调文字颜色 4 2 3 2 6" xfId="2266"/>
    <cellStyle name="20% - 强调文字颜色 4 2 3 2 7" xfId="2267"/>
    <cellStyle name="20% - 强调文字颜色 4 2 3 2 8" xfId="2268"/>
    <cellStyle name="20% - 强调文字颜色 4 2 3 2 9" xfId="2269"/>
    <cellStyle name="20% - 强调文字颜色 4 2 3 20" xfId="2270"/>
    <cellStyle name="20% - 强调文字颜色 4 2 3 21" xfId="2271"/>
    <cellStyle name="20% - 强调文字颜色 4 2 3 22" xfId="2272"/>
    <cellStyle name="20% - 强调文字颜色 4 2 3 23" xfId="2273"/>
    <cellStyle name="20% - 强调文字颜色 4 2 3 24" xfId="2274"/>
    <cellStyle name="20% - 强调文字颜色 4 2 3 25" xfId="2275"/>
    <cellStyle name="20% - 强调文字颜色 4 2 3 26" xfId="2276"/>
    <cellStyle name="20% - 强调文字颜色 4 2 3 27" xfId="2277"/>
    <cellStyle name="20% - 强调文字颜色 4 2 3 28" xfId="2278"/>
    <cellStyle name="20% - 强调文字颜色 4 2 3 3" xfId="2279"/>
    <cellStyle name="20% - 强调文字颜色 4 2 3 4" xfId="2280"/>
    <cellStyle name="20% - 强调文字颜色 4 2 3 5" xfId="2281"/>
    <cellStyle name="20% - 强调文字颜色 4 2 3 6" xfId="2282"/>
    <cellStyle name="20% - 强调文字颜色 4 2 3 7" xfId="2283"/>
    <cellStyle name="20% - 强调文字颜色 4 2 3 8" xfId="2284"/>
    <cellStyle name="20% - 强调文字颜色 4 2 3 9" xfId="2285"/>
    <cellStyle name="20% - 强调文字颜色 4 2 30" xfId="2286"/>
    <cellStyle name="20% - 强调文字颜色 4 2 31" xfId="2287"/>
    <cellStyle name="20% - 强调文字颜色 4 2 32" xfId="2288"/>
    <cellStyle name="20% - 强调文字颜色 4 2 33" xfId="2289"/>
    <cellStyle name="20% - 强调文字颜色 4 2 4" xfId="2290"/>
    <cellStyle name="20% - 强调文字颜色 4 2 4 10" xfId="2291"/>
    <cellStyle name="20% - 强调文字颜色 4 2 4 11" xfId="2292"/>
    <cellStyle name="20% - 强调文字颜色 4 2 4 12" xfId="2293"/>
    <cellStyle name="20% - 强调文字颜色 4 2 4 13" xfId="2294"/>
    <cellStyle name="20% - 强调文字颜色 4 2 4 14" xfId="2295"/>
    <cellStyle name="20% - 强调文字颜色 4 2 4 15" xfId="2296"/>
    <cellStyle name="20% - 强调文字颜色 4 2 4 16" xfId="2297"/>
    <cellStyle name="20% - 强调文字颜色 4 2 4 17" xfId="2298"/>
    <cellStyle name="20% - 强调文字颜色 4 2 4 18" xfId="2299"/>
    <cellStyle name="20% - 强调文字颜色 4 2 4 19" xfId="2300"/>
    <cellStyle name="20% - 强调文字颜色 4 2 4 2" xfId="2301"/>
    <cellStyle name="20% - 强调文字颜色 4 2 4 20" xfId="2302"/>
    <cellStyle name="20% - 强调文字颜色 4 2 4 21" xfId="2303"/>
    <cellStyle name="20% - 强调文字颜色 4 2 4 22" xfId="2304"/>
    <cellStyle name="20% - 强调文字颜色 4 2 4 23" xfId="2305"/>
    <cellStyle name="20% - 强调文字颜色 4 2 4 24" xfId="2306"/>
    <cellStyle name="20% - 强调文字颜色 4 2 4 25" xfId="2307"/>
    <cellStyle name="20% - 强调文字颜色 4 2 4 26" xfId="2308"/>
    <cellStyle name="20% - 强调文字颜色 4 2 4 27" xfId="2309"/>
    <cellStyle name="20% - 强调文字颜色 4 2 4 3" xfId="2310"/>
    <cellStyle name="20% - 强调文字颜色 4 2 4 4" xfId="2311"/>
    <cellStyle name="20% - 强调文字颜色 4 2 4 5" xfId="2312"/>
    <cellStyle name="20% - 强调文字颜色 4 2 4 6" xfId="2313"/>
    <cellStyle name="20% - 强调文字颜色 4 2 4 7" xfId="2314"/>
    <cellStyle name="20% - 强调文字颜色 4 2 4 8" xfId="2315"/>
    <cellStyle name="20% - 强调文字颜色 4 2 4 9" xfId="2316"/>
    <cellStyle name="20% - 强调文字颜色 4 2 5" xfId="2317"/>
    <cellStyle name="20% - 强调文字颜色 4 2 6" xfId="2318"/>
    <cellStyle name="20% - 强调文字颜色 4 2 7" xfId="2319"/>
    <cellStyle name="20% - 强调文字颜色 4 2 8" xfId="2320"/>
    <cellStyle name="20% - 强调文字颜色 4 2 9" xfId="2321"/>
    <cellStyle name="20% - 强调文字颜色 4 20" xfId="2322"/>
    <cellStyle name="20% - 强调文字颜色 4 21" xfId="2323"/>
    <cellStyle name="20% - 强调文字颜色 4 22" xfId="2324"/>
    <cellStyle name="20% - 强调文字颜色 4 23" xfId="2325"/>
    <cellStyle name="20% - 强调文字颜色 4 24" xfId="2326"/>
    <cellStyle name="20% - 强调文字颜色 4 25" xfId="2327"/>
    <cellStyle name="20% - 强调文字颜色 4 26" xfId="2328"/>
    <cellStyle name="20% - 强调文字颜色 4 27" xfId="2329"/>
    <cellStyle name="20% - 强调文字颜色 4 28" xfId="2330"/>
    <cellStyle name="20% - 强调文字颜色 4 29" xfId="2331"/>
    <cellStyle name="20% - 强调文字颜色 4 3" xfId="2332"/>
    <cellStyle name="20% - 强调文字颜色 4 3 10" xfId="2333"/>
    <cellStyle name="20% - 强调文字颜色 4 3 11" xfId="2334"/>
    <cellStyle name="20% - 强调文字颜色 4 3 12" xfId="2335"/>
    <cellStyle name="20% - 强调文字颜色 4 3 13" xfId="2336"/>
    <cellStyle name="20% - 强调文字颜色 4 3 14" xfId="2337"/>
    <cellStyle name="20% - 强调文字颜色 4 3 15" xfId="2338"/>
    <cellStyle name="20% - 强调文字颜色 4 3 16" xfId="2339"/>
    <cellStyle name="20% - 强调文字颜色 4 3 17" xfId="2340"/>
    <cellStyle name="20% - 强调文字颜色 4 3 18" xfId="2341"/>
    <cellStyle name="20% - 强调文字颜色 4 3 19" xfId="2342"/>
    <cellStyle name="20% - 强调文字颜色 4 3 2" xfId="2343"/>
    <cellStyle name="20% - 强调文字颜色 4 3 2 10" xfId="2344"/>
    <cellStyle name="20% - 强调文字颜色 4 3 2 11" xfId="2345"/>
    <cellStyle name="20% - 强调文字颜色 4 3 2 12" xfId="2346"/>
    <cellStyle name="20% - 强调文字颜色 4 3 2 13" xfId="2347"/>
    <cellStyle name="20% - 强调文字颜色 4 3 2 14" xfId="2348"/>
    <cellStyle name="20% - 强调文字颜色 4 3 2 15" xfId="2349"/>
    <cellStyle name="20% - 强调文字颜色 4 3 2 16" xfId="2350"/>
    <cellStyle name="20% - 强调文字颜色 4 3 2 17" xfId="2351"/>
    <cellStyle name="20% - 强调文字颜色 4 3 2 18" xfId="2352"/>
    <cellStyle name="20% - 强调文字颜色 4 3 2 19" xfId="2353"/>
    <cellStyle name="20% - 强调文字颜色 4 3 2 2" xfId="2354"/>
    <cellStyle name="20% - 强调文字颜色 4 3 2 20" xfId="2355"/>
    <cellStyle name="20% - 强调文字颜色 4 3 2 21" xfId="2356"/>
    <cellStyle name="20% - 强调文字颜色 4 3 2 22" xfId="2357"/>
    <cellStyle name="20% - 强调文字颜色 4 3 2 23" xfId="2358"/>
    <cellStyle name="20% - 强调文字颜色 4 3 2 24" xfId="2359"/>
    <cellStyle name="20% - 强调文字颜色 4 3 2 25" xfId="2360"/>
    <cellStyle name="20% - 强调文字颜色 4 3 2 26" xfId="2361"/>
    <cellStyle name="20% - 强调文字颜色 4 3 2 27" xfId="2362"/>
    <cellStyle name="20% - 强调文字颜色 4 3 2 3" xfId="2363"/>
    <cellStyle name="20% - 强调文字颜色 4 3 2 4" xfId="2364"/>
    <cellStyle name="20% - 强调文字颜色 4 3 2 5" xfId="2365"/>
    <cellStyle name="20% - 强调文字颜色 4 3 2 6" xfId="2366"/>
    <cellStyle name="20% - 强调文字颜色 4 3 2 7" xfId="2367"/>
    <cellStyle name="20% - 强调文字颜色 4 3 2 8" xfId="2368"/>
    <cellStyle name="20% - 强调文字颜色 4 3 2 9" xfId="2369"/>
    <cellStyle name="20% - 强调文字颜色 4 3 20" xfId="2370"/>
    <cellStyle name="20% - 强调文字颜色 4 3 21" xfId="2371"/>
    <cellStyle name="20% - 强调文字颜色 4 3 22" xfId="2372"/>
    <cellStyle name="20% - 强调文字颜色 4 3 23" xfId="2373"/>
    <cellStyle name="20% - 强调文字颜色 4 3 24" xfId="2374"/>
    <cellStyle name="20% - 强调文字颜色 4 3 25" xfId="2375"/>
    <cellStyle name="20% - 强调文字颜色 4 3 26" xfId="2376"/>
    <cellStyle name="20% - 强调文字颜色 4 3 27" xfId="2377"/>
    <cellStyle name="20% - 强调文字颜色 4 3 28" xfId="2378"/>
    <cellStyle name="20% - 强调文字颜色 4 3 3" xfId="2379"/>
    <cellStyle name="20% - 强调文字颜色 4 3 4" xfId="2380"/>
    <cellStyle name="20% - 强调文字颜色 4 3 5" xfId="2381"/>
    <cellStyle name="20% - 强调文字颜色 4 3 6" xfId="2382"/>
    <cellStyle name="20% - 强调文字颜色 4 3 7" xfId="2383"/>
    <cellStyle name="20% - 强调文字颜色 4 3 8" xfId="2384"/>
    <cellStyle name="20% - 强调文字颜色 4 3 9" xfId="2385"/>
    <cellStyle name="20% - 强调文字颜色 4 30" xfId="2386"/>
    <cellStyle name="20% - 强调文字颜色 4 31" xfId="2387"/>
    <cellStyle name="20% - 强调文字颜色 4 32" xfId="2388"/>
    <cellStyle name="20% - 强调文字颜色 4 33" xfId="2389"/>
    <cellStyle name="20% - 强调文字颜色 4 34" xfId="2390"/>
    <cellStyle name="20% - 强调文字颜色 4 35" xfId="2391"/>
    <cellStyle name="20% - 强调文字颜色 4 36" xfId="2392"/>
    <cellStyle name="20% - 强调文字颜色 4 37" xfId="2393"/>
    <cellStyle name="20% - 强调文字颜色 4 38" xfId="2394"/>
    <cellStyle name="20% - 强调文字颜色 4 39" xfId="2395"/>
    <cellStyle name="20% - 强调文字颜色 4 4" xfId="2396"/>
    <cellStyle name="20% - 强调文字颜色 4 4 10" xfId="2397"/>
    <cellStyle name="20% - 强调文字颜色 4 4 11" xfId="2398"/>
    <cellStyle name="20% - 强调文字颜色 4 4 12" xfId="2399"/>
    <cellStyle name="20% - 强调文字颜色 4 4 13" xfId="2400"/>
    <cellStyle name="20% - 强调文字颜色 4 4 14" xfId="2401"/>
    <cellStyle name="20% - 强调文字颜色 4 4 15" xfId="2402"/>
    <cellStyle name="20% - 强调文字颜色 4 4 16" xfId="2403"/>
    <cellStyle name="20% - 强调文字颜色 4 4 17" xfId="2404"/>
    <cellStyle name="20% - 强调文字颜色 4 4 18" xfId="2405"/>
    <cellStyle name="20% - 强调文字颜色 4 4 19" xfId="2406"/>
    <cellStyle name="20% - 强调文字颜色 4 4 2" xfId="2407"/>
    <cellStyle name="20% - 强调文字颜色 4 4 2 10" xfId="2408"/>
    <cellStyle name="20% - 强调文字颜色 4 4 2 11" xfId="2409"/>
    <cellStyle name="20% - 强调文字颜色 4 4 2 12" xfId="2410"/>
    <cellStyle name="20% - 强调文字颜色 4 4 2 13" xfId="2411"/>
    <cellStyle name="20% - 强调文字颜色 4 4 2 14" xfId="2412"/>
    <cellStyle name="20% - 强调文字颜色 4 4 2 15" xfId="2413"/>
    <cellStyle name="20% - 强调文字颜色 4 4 2 16" xfId="2414"/>
    <cellStyle name="20% - 强调文字颜色 4 4 2 17" xfId="2415"/>
    <cellStyle name="20% - 强调文字颜色 4 4 2 18" xfId="2416"/>
    <cellStyle name="20% - 强调文字颜色 4 4 2 19" xfId="2417"/>
    <cellStyle name="20% - 强调文字颜色 4 4 2 2" xfId="2418"/>
    <cellStyle name="20% - 强调文字颜色 4 4 2 20" xfId="2419"/>
    <cellStyle name="20% - 强调文字颜色 4 4 2 21" xfId="2420"/>
    <cellStyle name="20% - 强调文字颜色 4 4 2 22" xfId="2421"/>
    <cellStyle name="20% - 强调文字颜色 4 4 2 23" xfId="2422"/>
    <cellStyle name="20% - 强调文字颜色 4 4 2 24" xfId="2423"/>
    <cellStyle name="20% - 强调文字颜色 4 4 2 25" xfId="2424"/>
    <cellStyle name="20% - 强调文字颜色 4 4 2 26" xfId="2425"/>
    <cellStyle name="20% - 强调文字颜色 4 4 2 27" xfId="2426"/>
    <cellStyle name="20% - 强调文字颜色 4 4 2 3" xfId="2427"/>
    <cellStyle name="20% - 强调文字颜色 4 4 2 4" xfId="2428"/>
    <cellStyle name="20% - 强调文字颜色 4 4 2 5" xfId="2429"/>
    <cellStyle name="20% - 强调文字颜色 4 4 2 6" xfId="2430"/>
    <cellStyle name="20% - 强调文字颜色 4 4 2 7" xfId="2431"/>
    <cellStyle name="20% - 强调文字颜色 4 4 2 8" xfId="2432"/>
    <cellStyle name="20% - 强调文字颜色 4 4 2 9" xfId="2433"/>
    <cellStyle name="20% - 强调文字颜色 4 4 20" xfId="2434"/>
    <cellStyle name="20% - 强调文字颜色 4 4 21" xfId="2435"/>
    <cellStyle name="20% - 强调文字颜色 4 4 22" xfId="2436"/>
    <cellStyle name="20% - 强调文字颜色 4 4 23" xfId="2437"/>
    <cellStyle name="20% - 强调文字颜色 4 4 24" xfId="2438"/>
    <cellStyle name="20% - 强调文字颜色 4 4 25" xfId="2439"/>
    <cellStyle name="20% - 强调文字颜色 4 4 26" xfId="2440"/>
    <cellStyle name="20% - 强调文字颜色 4 4 27" xfId="2441"/>
    <cellStyle name="20% - 强调文字颜色 4 4 28" xfId="2442"/>
    <cellStyle name="20% - 强调文字颜色 4 4 3" xfId="2443"/>
    <cellStyle name="20% - 强调文字颜色 4 4 4" xfId="2444"/>
    <cellStyle name="20% - 强调文字颜色 4 4 5" xfId="2445"/>
    <cellStyle name="20% - 强调文字颜色 4 4 6" xfId="2446"/>
    <cellStyle name="20% - 强调文字颜色 4 4 7" xfId="2447"/>
    <cellStyle name="20% - 强调文字颜色 4 4 8" xfId="2448"/>
    <cellStyle name="20% - 强调文字颜色 4 4 9" xfId="2449"/>
    <cellStyle name="20% - 强调文字颜色 4 40" xfId="2450"/>
    <cellStyle name="20% - 强调文字颜色 4 5" xfId="2451"/>
    <cellStyle name="20% - 强调文字颜色 4 5 10" xfId="2452"/>
    <cellStyle name="20% - 强调文字颜色 4 5 11" xfId="2453"/>
    <cellStyle name="20% - 强调文字颜色 4 5 12" xfId="2454"/>
    <cellStyle name="20% - 强调文字颜色 4 5 13" xfId="2455"/>
    <cellStyle name="20% - 强调文字颜色 4 5 14" xfId="2456"/>
    <cellStyle name="20% - 强调文字颜色 4 5 15" xfId="2457"/>
    <cellStyle name="20% - 强调文字颜色 4 5 16" xfId="2458"/>
    <cellStyle name="20% - 强调文字颜色 4 5 17" xfId="2459"/>
    <cellStyle name="20% - 强调文字颜色 4 5 18" xfId="2460"/>
    <cellStyle name="20% - 强调文字颜色 4 5 19" xfId="2461"/>
    <cellStyle name="20% - 强调文字颜色 4 5 2" xfId="2462"/>
    <cellStyle name="20% - 强调文字颜色 4 5 2 10" xfId="2463"/>
    <cellStyle name="20% - 强调文字颜色 4 5 2 11" xfId="2464"/>
    <cellStyle name="20% - 强调文字颜色 4 5 2 12" xfId="2465"/>
    <cellStyle name="20% - 强调文字颜色 4 5 2 13" xfId="2466"/>
    <cellStyle name="20% - 强调文字颜色 4 5 2 14" xfId="2467"/>
    <cellStyle name="20% - 强调文字颜色 4 5 2 15" xfId="2468"/>
    <cellStyle name="20% - 强调文字颜色 4 5 2 16" xfId="2469"/>
    <cellStyle name="20% - 强调文字颜色 4 5 2 17" xfId="2470"/>
    <cellStyle name="20% - 强调文字颜色 4 5 2 18" xfId="2471"/>
    <cellStyle name="20% - 强调文字颜色 4 5 2 19" xfId="2472"/>
    <cellStyle name="20% - 强调文字颜色 4 5 2 2" xfId="2473"/>
    <cellStyle name="20% - 强调文字颜色 4 5 2 20" xfId="2474"/>
    <cellStyle name="20% - 强调文字颜色 4 5 2 21" xfId="2475"/>
    <cellStyle name="20% - 强调文字颜色 4 5 2 22" xfId="2476"/>
    <cellStyle name="20% - 强调文字颜色 4 5 2 23" xfId="2477"/>
    <cellStyle name="20% - 强调文字颜色 4 5 2 24" xfId="2478"/>
    <cellStyle name="20% - 强调文字颜色 4 5 2 25" xfId="2479"/>
    <cellStyle name="20% - 强调文字颜色 4 5 2 26" xfId="2480"/>
    <cellStyle name="20% - 强调文字颜色 4 5 2 27" xfId="2481"/>
    <cellStyle name="20% - 强调文字颜色 4 5 2 3" xfId="2482"/>
    <cellStyle name="20% - 强调文字颜色 4 5 2 4" xfId="2483"/>
    <cellStyle name="20% - 强调文字颜色 4 5 2 5" xfId="2484"/>
    <cellStyle name="20% - 强调文字颜色 4 5 2 6" xfId="2485"/>
    <cellStyle name="20% - 强调文字颜色 4 5 2 7" xfId="2486"/>
    <cellStyle name="20% - 强调文字颜色 4 5 2 8" xfId="2487"/>
    <cellStyle name="20% - 强调文字颜色 4 5 2 9" xfId="2488"/>
    <cellStyle name="20% - 强调文字颜色 4 5 20" xfId="2489"/>
    <cellStyle name="20% - 强调文字颜色 4 5 21" xfId="2490"/>
    <cellStyle name="20% - 强调文字颜色 4 5 22" xfId="2491"/>
    <cellStyle name="20% - 强调文字颜色 4 5 23" xfId="2492"/>
    <cellStyle name="20% - 强调文字颜色 4 5 24" xfId="2493"/>
    <cellStyle name="20% - 强调文字颜色 4 5 25" xfId="2494"/>
    <cellStyle name="20% - 强调文字颜色 4 5 26" xfId="2495"/>
    <cellStyle name="20% - 强调文字颜色 4 5 27" xfId="2496"/>
    <cellStyle name="20% - 强调文字颜色 4 5 28" xfId="2497"/>
    <cellStyle name="20% - 强调文字颜色 4 5 3" xfId="2498"/>
    <cellStyle name="20% - 强调文字颜色 4 5 4" xfId="2499"/>
    <cellStyle name="20% - 强调文字颜色 4 5 5" xfId="2500"/>
    <cellStyle name="20% - 强调文字颜色 4 5 6" xfId="2501"/>
    <cellStyle name="20% - 强调文字颜色 4 5 7" xfId="2502"/>
    <cellStyle name="20% - 强调文字颜色 4 5 8" xfId="2503"/>
    <cellStyle name="20% - 强调文字颜色 4 5 9" xfId="2504"/>
    <cellStyle name="20% - 强调文字颜色 4 6" xfId="2505"/>
    <cellStyle name="20% - 强调文字颜色 4 6 10" xfId="2506"/>
    <cellStyle name="20% - 强调文字颜色 4 6 11" xfId="2507"/>
    <cellStyle name="20% - 强调文字颜色 4 6 12" xfId="2508"/>
    <cellStyle name="20% - 强调文字颜色 4 6 13" xfId="2509"/>
    <cellStyle name="20% - 强调文字颜色 4 6 14" xfId="2510"/>
    <cellStyle name="20% - 强调文字颜色 4 6 15" xfId="2511"/>
    <cellStyle name="20% - 强调文字颜色 4 6 16" xfId="2512"/>
    <cellStyle name="20% - 强调文字颜色 4 6 17" xfId="2513"/>
    <cellStyle name="20% - 强调文字颜色 4 6 18" xfId="2514"/>
    <cellStyle name="20% - 强调文字颜色 4 6 19" xfId="2515"/>
    <cellStyle name="20% - 强调文字颜色 4 6 2" xfId="2516"/>
    <cellStyle name="20% - 强调文字颜色 4 6 2 10" xfId="2517"/>
    <cellStyle name="20% - 强调文字颜色 4 6 2 11" xfId="2518"/>
    <cellStyle name="20% - 强调文字颜色 4 6 2 12" xfId="2519"/>
    <cellStyle name="20% - 强调文字颜色 4 6 2 13" xfId="2520"/>
    <cellStyle name="20% - 强调文字颜色 4 6 2 14" xfId="2521"/>
    <cellStyle name="20% - 强调文字颜色 4 6 2 15" xfId="2522"/>
    <cellStyle name="20% - 强调文字颜色 4 6 2 16" xfId="2523"/>
    <cellStyle name="20% - 强调文字颜色 4 6 2 17" xfId="2524"/>
    <cellStyle name="20% - 强调文字颜色 4 6 2 18" xfId="2525"/>
    <cellStyle name="20% - 强调文字颜色 4 6 2 19" xfId="2526"/>
    <cellStyle name="20% - 强调文字颜色 4 6 2 2" xfId="2527"/>
    <cellStyle name="20% - 强调文字颜色 4 6 2 20" xfId="2528"/>
    <cellStyle name="20% - 强调文字颜色 4 6 2 21" xfId="2529"/>
    <cellStyle name="20% - 强调文字颜色 4 6 2 22" xfId="2530"/>
    <cellStyle name="20% - 强调文字颜色 4 6 2 23" xfId="2531"/>
    <cellStyle name="20% - 强调文字颜色 4 6 2 24" xfId="2532"/>
    <cellStyle name="20% - 强调文字颜色 4 6 2 25" xfId="2533"/>
    <cellStyle name="20% - 强调文字颜色 4 6 2 26" xfId="2534"/>
    <cellStyle name="20% - 强调文字颜色 4 6 2 27" xfId="2535"/>
    <cellStyle name="20% - 强调文字颜色 4 6 2 3" xfId="2536"/>
    <cellStyle name="20% - 强调文字颜色 4 6 2 4" xfId="2537"/>
    <cellStyle name="20% - 强调文字颜色 4 6 2 5" xfId="2538"/>
    <cellStyle name="20% - 强调文字颜色 4 6 2 6" xfId="2539"/>
    <cellStyle name="20% - 强调文字颜色 4 6 2 7" xfId="2540"/>
    <cellStyle name="20% - 强调文字颜色 4 6 2 8" xfId="2541"/>
    <cellStyle name="20% - 强调文字颜色 4 6 2 9" xfId="2542"/>
    <cellStyle name="20% - 强调文字颜色 4 6 20" xfId="2543"/>
    <cellStyle name="20% - 强调文字颜色 4 6 21" xfId="2544"/>
    <cellStyle name="20% - 强调文字颜色 4 6 22" xfId="2545"/>
    <cellStyle name="20% - 强调文字颜色 4 6 23" xfId="2546"/>
    <cellStyle name="20% - 强调文字颜色 4 6 24" xfId="2547"/>
    <cellStyle name="20% - 强调文字颜色 4 6 25" xfId="2548"/>
    <cellStyle name="20% - 强调文字颜色 4 6 26" xfId="2549"/>
    <cellStyle name="20% - 强调文字颜色 4 6 27" xfId="2550"/>
    <cellStyle name="20% - 强调文字颜色 4 6 28" xfId="2551"/>
    <cellStyle name="20% - 强调文字颜色 4 6 3" xfId="2552"/>
    <cellStyle name="20% - 强调文字颜色 4 6 4" xfId="2553"/>
    <cellStyle name="20% - 强调文字颜色 4 6 5" xfId="2554"/>
    <cellStyle name="20% - 强调文字颜色 4 6 6" xfId="2555"/>
    <cellStyle name="20% - 强调文字颜色 4 6 7" xfId="2556"/>
    <cellStyle name="20% - 强调文字颜色 4 6 8" xfId="2557"/>
    <cellStyle name="20% - 强调文字颜色 4 6 9" xfId="2558"/>
    <cellStyle name="20% - 强调文字颜色 4 7" xfId="2559"/>
    <cellStyle name="20% - 强调文字颜色 4 7 10" xfId="2560"/>
    <cellStyle name="20% - 强调文字颜色 4 7 11" xfId="2561"/>
    <cellStyle name="20% - 强调文字颜色 4 7 12" xfId="2562"/>
    <cellStyle name="20% - 强调文字颜色 4 7 13" xfId="2563"/>
    <cellStyle name="20% - 强调文字颜色 4 7 14" xfId="2564"/>
    <cellStyle name="20% - 强调文字颜色 4 7 15" xfId="2565"/>
    <cellStyle name="20% - 强调文字颜色 4 7 16" xfId="2566"/>
    <cellStyle name="20% - 强调文字颜色 4 7 17" xfId="2567"/>
    <cellStyle name="20% - 强调文字颜色 4 7 18" xfId="2568"/>
    <cellStyle name="20% - 强调文字颜色 4 7 19" xfId="2569"/>
    <cellStyle name="20% - 强调文字颜色 4 7 2" xfId="2570"/>
    <cellStyle name="20% - 强调文字颜色 4 7 2 10" xfId="2571"/>
    <cellStyle name="20% - 强调文字颜色 4 7 2 11" xfId="2572"/>
    <cellStyle name="20% - 强调文字颜色 4 7 2 12" xfId="2573"/>
    <cellStyle name="20% - 强调文字颜色 4 7 2 13" xfId="2574"/>
    <cellStyle name="20% - 强调文字颜色 4 7 2 14" xfId="2575"/>
    <cellStyle name="20% - 强调文字颜色 4 7 2 15" xfId="2576"/>
    <cellStyle name="20% - 强调文字颜色 4 7 2 16" xfId="2577"/>
    <cellStyle name="20% - 强调文字颜色 4 7 2 17" xfId="2578"/>
    <cellStyle name="20% - 强调文字颜色 4 7 2 18" xfId="2579"/>
    <cellStyle name="20% - 强调文字颜色 4 7 2 19" xfId="2580"/>
    <cellStyle name="20% - 强调文字颜色 4 7 2 2" xfId="2581"/>
    <cellStyle name="20% - 强调文字颜色 4 7 2 20" xfId="2582"/>
    <cellStyle name="20% - 强调文字颜色 4 7 2 21" xfId="2583"/>
    <cellStyle name="20% - 强调文字颜色 4 7 2 22" xfId="2584"/>
    <cellStyle name="20% - 强调文字颜色 4 7 2 23" xfId="2585"/>
    <cellStyle name="20% - 强调文字颜色 4 7 2 24" xfId="2586"/>
    <cellStyle name="20% - 强调文字颜色 4 7 2 25" xfId="2587"/>
    <cellStyle name="20% - 强调文字颜色 4 7 2 26" xfId="2588"/>
    <cellStyle name="20% - 强调文字颜色 4 7 2 27" xfId="2589"/>
    <cellStyle name="20% - 强调文字颜色 4 7 2 3" xfId="2590"/>
    <cellStyle name="20% - 强调文字颜色 4 7 2 4" xfId="2591"/>
    <cellStyle name="20% - 强调文字颜色 4 7 2 5" xfId="2592"/>
    <cellStyle name="20% - 强调文字颜色 4 7 2 6" xfId="2593"/>
    <cellStyle name="20% - 强调文字颜色 4 7 2 7" xfId="2594"/>
    <cellStyle name="20% - 强调文字颜色 4 7 2 8" xfId="2595"/>
    <cellStyle name="20% - 强调文字颜色 4 7 2 9" xfId="2596"/>
    <cellStyle name="20% - 强调文字颜色 4 7 20" xfId="2597"/>
    <cellStyle name="20% - 强调文字颜色 4 7 21" xfId="2598"/>
    <cellStyle name="20% - 强调文字颜色 4 7 22" xfId="2599"/>
    <cellStyle name="20% - 强调文字颜色 4 7 23" xfId="2600"/>
    <cellStyle name="20% - 强调文字颜色 4 7 24" xfId="2601"/>
    <cellStyle name="20% - 强调文字颜色 4 7 25" xfId="2602"/>
    <cellStyle name="20% - 强调文字颜色 4 7 26" xfId="2603"/>
    <cellStyle name="20% - 强调文字颜色 4 7 27" xfId="2604"/>
    <cellStyle name="20% - 强调文字颜色 4 7 28" xfId="2605"/>
    <cellStyle name="20% - 强调文字颜色 4 7 3" xfId="2606"/>
    <cellStyle name="20% - 强调文字颜色 4 7 4" xfId="2607"/>
    <cellStyle name="20% - 强调文字颜色 4 7 5" xfId="2608"/>
    <cellStyle name="20% - 强调文字颜色 4 7 6" xfId="2609"/>
    <cellStyle name="20% - 强调文字颜色 4 7 7" xfId="2610"/>
    <cellStyle name="20% - 强调文字颜色 4 7 8" xfId="2611"/>
    <cellStyle name="20% - 强调文字颜色 4 7 9" xfId="2612"/>
    <cellStyle name="20% - 强调文字颜色 4 8" xfId="2613"/>
    <cellStyle name="20% - 强调文字颜色 4 8 10" xfId="2614"/>
    <cellStyle name="20% - 强调文字颜色 4 8 11" xfId="2615"/>
    <cellStyle name="20% - 强调文字颜色 4 8 12" xfId="2616"/>
    <cellStyle name="20% - 强调文字颜色 4 8 13" xfId="2617"/>
    <cellStyle name="20% - 强调文字颜色 4 8 14" xfId="2618"/>
    <cellStyle name="20% - 强调文字颜色 4 8 15" xfId="2619"/>
    <cellStyle name="20% - 强调文字颜色 4 8 16" xfId="2620"/>
    <cellStyle name="20% - 强调文字颜色 4 8 17" xfId="2621"/>
    <cellStyle name="20% - 强调文字颜色 4 8 18" xfId="2622"/>
    <cellStyle name="20% - 强调文字颜色 4 8 19" xfId="2623"/>
    <cellStyle name="20% - 强调文字颜色 4 8 2" xfId="2624"/>
    <cellStyle name="20% - 强调文字颜色 4 8 2 10" xfId="2625"/>
    <cellStyle name="20% - 强调文字颜色 4 8 2 11" xfId="2626"/>
    <cellStyle name="20% - 强调文字颜色 4 8 2 12" xfId="2627"/>
    <cellStyle name="20% - 强调文字颜色 4 8 2 13" xfId="2628"/>
    <cellStyle name="20% - 强调文字颜色 4 8 2 14" xfId="2629"/>
    <cellStyle name="20% - 强调文字颜色 4 8 2 15" xfId="2630"/>
    <cellStyle name="20% - 强调文字颜色 4 8 2 16" xfId="2631"/>
    <cellStyle name="20% - 强调文字颜色 4 8 2 17" xfId="2632"/>
    <cellStyle name="20% - 强调文字颜色 4 8 2 18" xfId="2633"/>
    <cellStyle name="20% - 强调文字颜色 4 8 2 19" xfId="2634"/>
    <cellStyle name="20% - 强调文字颜色 4 8 2 2" xfId="2635"/>
    <cellStyle name="20% - 强调文字颜色 4 8 2 20" xfId="2636"/>
    <cellStyle name="20% - 强调文字颜色 4 8 2 21" xfId="2637"/>
    <cellStyle name="20% - 强调文字颜色 4 8 2 22" xfId="2638"/>
    <cellStyle name="20% - 强调文字颜色 4 8 2 23" xfId="2639"/>
    <cellStyle name="20% - 强调文字颜色 4 8 2 24" xfId="2640"/>
    <cellStyle name="20% - 强调文字颜色 4 8 2 25" xfId="2641"/>
    <cellStyle name="20% - 强调文字颜色 4 8 2 26" xfId="2642"/>
    <cellStyle name="20% - 强调文字颜色 4 8 2 27" xfId="2643"/>
    <cellStyle name="20% - 强调文字颜色 4 8 2 3" xfId="2644"/>
    <cellStyle name="20% - 强调文字颜色 4 8 2 4" xfId="2645"/>
    <cellStyle name="20% - 强调文字颜色 4 8 2 5" xfId="2646"/>
    <cellStyle name="20% - 强调文字颜色 4 8 2 6" xfId="2647"/>
    <cellStyle name="20% - 强调文字颜色 4 8 2 7" xfId="2648"/>
    <cellStyle name="20% - 强调文字颜色 4 8 2 8" xfId="2649"/>
    <cellStyle name="20% - 强调文字颜色 4 8 2 9" xfId="2650"/>
    <cellStyle name="20% - 强调文字颜色 4 8 20" xfId="2651"/>
    <cellStyle name="20% - 强调文字颜色 4 8 21" xfId="2652"/>
    <cellStyle name="20% - 强调文字颜色 4 8 22" xfId="2653"/>
    <cellStyle name="20% - 强调文字颜色 4 8 23" xfId="2654"/>
    <cellStyle name="20% - 强调文字颜色 4 8 24" xfId="2655"/>
    <cellStyle name="20% - 强调文字颜色 4 8 25" xfId="2656"/>
    <cellStyle name="20% - 强调文字颜色 4 8 26" xfId="2657"/>
    <cellStyle name="20% - 强调文字颜色 4 8 27" xfId="2658"/>
    <cellStyle name="20% - 强调文字颜色 4 8 28" xfId="2659"/>
    <cellStyle name="20% - 强调文字颜色 4 8 3" xfId="2660"/>
    <cellStyle name="20% - 强调文字颜色 4 8 4" xfId="2661"/>
    <cellStyle name="20% - 强调文字颜色 4 8 5" xfId="2662"/>
    <cellStyle name="20% - 强调文字颜色 4 8 6" xfId="2663"/>
    <cellStyle name="20% - 强调文字颜色 4 8 7" xfId="2664"/>
    <cellStyle name="20% - 强调文字颜色 4 8 8" xfId="2665"/>
    <cellStyle name="20% - 强调文字颜色 4 8 9" xfId="2666"/>
    <cellStyle name="20% - 强调文字颜色 4 9" xfId="2667"/>
    <cellStyle name="20% - 强调文字颜色 4 9 10" xfId="2668"/>
    <cellStyle name="20% - 强调文字颜色 4 9 11" xfId="2669"/>
    <cellStyle name="20% - 强调文字颜色 4 9 12" xfId="2670"/>
    <cellStyle name="20% - 强调文字颜色 4 9 13" xfId="2671"/>
    <cellStyle name="20% - 强调文字颜色 4 9 14" xfId="2672"/>
    <cellStyle name="20% - 强调文字颜色 4 9 15" xfId="2673"/>
    <cellStyle name="20% - 强调文字颜色 4 9 16" xfId="2674"/>
    <cellStyle name="20% - 强调文字颜色 4 9 17" xfId="2675"/>
    <cellStyle name="20% - 强调文字颜色 4 9 18" xfId="2676"/>
    <cellStyle name="20% - 强调文字颜色 4 9 19" xfId="2677"/>
    <cellStyle name="20% - 强调文字颜色 4 9 2" xfId="2678"/>
    <cellStyle name="20% - 强调文字颜色 4 9 2 10" xfId="2679"/>
    <cellStyle name="20% - 强调文字颜色 4 9 2 11" xfId="2680"/>
    <cellStyle name="20% - 强调文字颜色 4 9 2 12" xfId="2681"/>
    <cellStyle name="20% - 强调文字颜色 4 9 2 13" xfId="2682"/>
    <cellStyle name="20% - 强调文字颜色 4 9 2 14" xfId="2683"/>
    <cellStyle name="20% - 强调文字颜色 4 9 2 15" xfId="2684"/>
    <cellStyle name="20% - 强调文字颜色 4 9 2 16" xfId="2685"/>
    <cellStyle name="20% - 强调文字颜色 4 9 2 17" xfId="2686"/>
    <cellStyle name="20% - 强调文字颜色 4 9 2 18" xfId="2687"/>
    <cellStyle name="20% - 强调文字颜色 4 9 2 19" xfId="2688"/>
    <cellStyle name="20% - 强调文字颜色 4 9 2 2" xfId="2689"/>
    <cellStyle name="20% - 强调文字颜色 4 9 2 20" xfId="2690"/>
    <cellStyle name="20% - 强调文字颜色 4 9 2 21" xfId="2691"/>
    <cellStyle name="20% - 强调文字颜色 4 9 2 22" xfId="2692"/>
    <cellStyle name="20% - 强调文字颜色 4 9 2 23" xfId="2693"/>
    <cellStyle name="20% - 强调文字颜色 4 9 2 24" xfId="2694"/>
    <cellStyle name="20% - 强调文字颜色 4 9 2 25" xfId="2695"/>
    <cellStyle name="20% - 强调文字颜色 4 9 2 26" xfId="2696"/>
    <cellStyle name="20% - 强调文字颜色 4 9 2 27" xfId="2697"/>
    <cellStyle name="20% - 强调文字颜色 4 9 2 3" xfId="2698"/>
    <cellStyle name="20% - 强调文字颜色 4 9 2 4" xfId="2699"/>
    <cellStyle name="20% - 强调文字颜色 4 9 2 5" xfId="2700"/>
    <cellStyle name="20% - 强调文字颜色 4 9 2 6" xfId="2701"/>
    <cellStyle name="20% - 强调文字颜色 4 9 2 7" xfId="2702"/>
    <cellStyle name="20% - 强调文字颜色 4 9 2 8" xfId="2703"/>
    <cellStyle name="20% - 强调文字颜色 4 9 2 9" xfId="2704"/>
    <cellStyle name="20% - 强调文字颜色 4 9 20" xfId="2705"/>
    <cellStyle name="20% - 强调文字颜色 4 9 21" xfId="2706"/>
    <cellStyle name="20% - 强调文字颜色 4 9 22" xfId="2707"/>
    <cellStyle name="20% - 强调文字颜色 4 9 23" xfId="2708"/>
    <cellStyle name="20% - 强调文字颜色 4 9 24" xfId="2709"/>
    <cellStyle name="20% - 强调文字颜色 4 9 25" xfId="2710"/>
    <cellStyle name="20% - 强调文字颜色 4 9 26" xfId="2711"/>
    <cellStyle name="20% - 强调文字颜色 4 9 27" xfId="2712"/>
    <cellStyle name="20% - 强调文字颜色 4 9 28" xfId="2713"/>
    <cellStyle name="20% - 强调文字颜色 4 9 3" xfId="2714"/>
    <cellStyle name="20% - 强调文字颜色 4 9 4" xfId="2715"/>
    <cellStyle name="20% - 强调文字颜色 4 9 5" xfId="2716"/>
    <cellStyle name="20% - 强调文字颜色 4 9 6" xfId="2717"/>
    <cellStyle name="20% - 强调文字颜色 4 9 7" xfId="2718"/>
    <cellStyle name="20% - 强调文字颜色 4 9 8" xfId="2719"/>
    <cellStyle name="20% - 强调文字颜色 4 9 9" xfId="2720"/>
    <cellStyle name="20% - 强调文字颜色 5 10" xfId="2721"/>
    <cellStyle name="20% - 强调文字颜色 5 10 10" xfId="2722"/>
    <cellStyle name="20% - 强调文字颜色 5 10 11" xfId="2723"/>
    <cellStyle name="20% - 强调文字颜色 5 10 12" xfId="2724"/>
    <cellStyle name="20% - 强调文字颜色 5 10 13" xfId="2725"/>
    <cellStyle name="20% - 强调文字颜色 5 10 14" xfId="2726"/>
    <cellStyle name="20% - 强调文字颜色 5 10 15" xfId="2727"/>
    <cellStyle name="20% - 强调文字颜色 5 10 16" xfId="2728"/>
    <cellStyle name="20% - 强调文字颜色 5 10 17" xfId="2729"/>
    <cellStyle name="20% - 强调文字颜色 5 10 18" xfId="2730"/>
    <cellStyle name="20% - 强调文字颜色 5 10 19" xfId="2731"/>
    <cellStyle name="20% - 强调文字颜色 5 10 2" xfId="2732"/>
    <cellStyle name="20% - 强调文字颜色 5 10 2 10" xfId="2733"/>
    <cellStyle name="20% - 强调文字颜色 5 10 2 11" xfId="2734"/>
    <cellStyle name="20% - 强调文字颜色 5 10 2 12" xfId="2735"/>
    <cellStyle name="20% - 强调文字颜色 5 10 2 13" xfId="2736"/>
    <cellStyle name="20% - 强调文字颜色 5 10 2 14" xfId="2737"/>
    <cellStyle name="20% - 强调文字颜色 5 10 2 15" xfId="2738"/>
    <cellStyle name="20% - 强调文字颜色 5 10 2 16" xfId="2739"/>
    <cellStyle name="20% - 强调文字颜色 5 10 2 17" xfId="2740"/>
    <cellStyle name="20% - 强调文字颜色 5 10 2 18" xfId="2741"/>
    <cellStyle name="20% - 强调文字颜色 5 10 2 19" xfId="2742"/>
    <cellStyle name="20% - 强调文字颜色 5 10 2 2" xfId="2743"/>
    <cellStyle name="20% - 强调文字颜色 5 10 2 20" xfId="2744"/>
    <cellStyle name="20% - 强调文字颜色 5 10 2 21" xfId="2745"/>
    <cellStyle name="20% - 强调文字颜色 5 10 2 22" xfId="2746"/>
    <cellStyle name="20% - 强调文字颜色 5 10 2 23" xfId="2747"/>
    <cellStyle name="20% - 强调文字颜色 5 10 2 24" xfId="2748"/>
    <cellStyle name="20% - 强调文字颜色 5 10 2 25" xfId="2749"/>
    <cellStyle name="20% - 强调文字颜色 5 10 2 26" xfId="2750"/>
    <cellStyle name="20% - 强调文字颜色 5 10 2 27" xfId="2751"/>
    <cellStyle name="20% - 强调文字颜色 5 10 2 3" xfId="2752"/>
    <cellStyle name="20% - 强调文字颜色 5 10 2 4" xfId="2753"/>
    <cellStyle name="20% - 强调文字颜色 5 10 2 5" xfId="2754"/>
    <cellStyle name="20% - 强调文字颜色 5 10 2 6" xfId="2755"/>
    <cellStyle name="20% - 强调文字颜色 5 10 2 7" xfId="2756"/>
    <cellStyle name="20% - 强调文字颜色 5 10 2 8" xfId="2757"/>
    <cellStyle name="20% - 强调文字颜色 5 10 2 9" xfId="2758"/>
    <cellStyle name="20% - 强调文字颜色 5 10 20" xfId="2759"/>
    <cellStyle name="20% - 强调文字颜色 5 10 21" xfId="2760"/>
    <cellStyle name="20% - 强调文字颜色 5 10 22" xfId="2761"/>
    <cellStyle name="20% - 强调文字颜色 5 10 23" xfId="2762"/>
    <cellStyle name="20% - 强调文字颜色 5 10 24" xfId="2763"/>
    <cellStyle name="20% - 强调文字颜色 5 10 25" xfId="2764"/>
    <cellStyle name="20% - 强调文字颜色 5 10 26" xfId="2765"/>
    <cellStyle name="20% - 强调文字颜色 5 10 27" xfId="2766"/>
    <cellStyle name="20% - 强调文字颜色 5 10 28" xfId="2767"/>
    <cellStyle name="20% - 强调文字颜色 5 10 3" xfId="2768"/>
    <cellStyle name="20% - 强调文字颜色 5 10 4" xfId="2769"/>
    <cellStyle name="20% - 强调文字颜色 5 10 5" xfId="2770"/>
    <cellStyle name="20% - 强调文字颜色 5 10 6" xfId="2771"/>
    <cellStyle name="20% - 强调文字颜色 5 10 7" xfId="2772"/>
    <cellStyle name="20% - 强调文字颜色 5 10 8" xfId="2773"/>
    <cellStyle name="20% - 强调文字颜色 5 10 9" xfId="2774"/>
    <cellStyle name="20% - 强调文字颜色 5 11" xfId="2775"/>
    <cellStyle name="20% - 强调文字颜色 5 11 10" xfId="2776"/>
    <cellStyle name="20% - 强调文字颜色 5 11 11" xfId="2777"/>
    <cellStyle name="20% - 强调文字颜色 5 11 12" xfId="2778"/>
    <cellStyle name="20% - 强调文字颜色 5 11 13" xfId="2779"/>
    <cellStyle name="20% - 强调文字颜色 5 11 14" xfId="2780"/>
    <cellStyle name="20% - 强调文字颜色 5 11 15" xfId="2781"/>
    <cellStyle name="20% - 强调文字颜色 5 11 16" xfId="2782"/>
    <cellStyle name="20% - 强调文字颜色 5 11 17" xfId="2783"/>
    <cellStyle name="20% - 强调文字颜色 5 11 18" xfId="2784"/>
    <cellStyle name="20% - 强调文字颜色 5 11 19" xfId="2785"/>
    <cellStyle name="20% - 强调文字颜色 5 11 2" xfId="2786"/>
    <cellStyle name="20% - 强调文字颜色 5 11 2 10" xfId="2787"/>
    <cellStyle name="20% - 强调文字颜色 5 11 2 11" xfId="2788"/>
    <cellStyle name="20% - 强调文字颜色 5 11 2 12" xfId="2789"/>
    <cellStyle name="20% - 强调文字颜色 5 11 2 13" xfId="2790"/>
    <cellStyle name="20% - 强调文字颜色 5 11 2 14" xfId="2791"/>
    <cellStyle name="20% - 强调文字颜色 5 11 2 15" xfId="2792"/>
    <cellStyle name="20% - 强调文字颜色 5 11 2 16" xfId="2793"/>
    <cellStyle name="20% - 强调文字颜色 5 11 2 17" xfId="2794"/>
    <cellStyle name="20% - 强调文字颜色 5 11 2 18" xfId="2795"/>
    <cellStyle name="20% - 强调文字颜色 5 11 2 19" xfId="2796"/>
    <cellStyle name="20% - 强调文字颜色 5 11 2 2" xfId="2797"/>
    <cellStyle name="20% - 强调文字颜色 5 11 2 20" xfId="2798"/>
    <cellStyle name="20% - 强调文字颜色 5 11 2 21" xfId="2799"/>
    <cellStyle name="20% - 强调文字颜色 5 11 2 22" xfId="2800"/>
    <cellStyle name="20% - 强调文字颜色 5 11 2 23" xfId="2801"/>
    <cellStyle name="20% - 强调文字颜色 5 11 2 24" xfId="2802"/>
    <cellStyle name="20% - 强调文字颜色 5 11 2 25" xfId="2803"/>
    <cellStyle name="20% - 强调文字颜色 5 11 2 26" xfId="2804"/>
    <cellStyle name="20% - 强调文字颜色 5 11 2 27" xfId="2805"/>
    <cellStyle name="20% - 强调文字颜色 5 11 2 3" xfId="2806"/>
    <cellStyle name="20% - 强调文字颜色 5 11 2 4" xfId="2807"/>
    <cellStyle name="20% - 强调文字颜色 5 11 2 5" xfId="2808"/>
    <cellStyle name="20% - 强调文字颜色 5 11 2 6" xfId="2809"/>
    <cellStyle name="20% - 强调文字颜色 5 11 2 7" xfId="2810"/>
    <cellStyle name="20% - 强调文字颜色 5 11 2 8" xfId="2811"/>
    <cellStyle name="20% - 强调文字颜色 5 11 2 9" xfId="2812"/>
    <cellStyle name="20% - 强调文字颜色 5 11 20" xfId="2813"/>
    <cellStyle name="20% - 强调文字颜色 5 11 21" xfId="2814"/>
    <cellStyle name="20% - 强调文字颜色 5 11 22" xfId="2815"/>
    <cellStyle name="20% - 强调文字颜色 5 11 23" xfId="2816"/>
    <cellStyle name="20% - 强调文字颜色 5 11 24" xfId="2817"/>
    <cellStyle name="20% - 强调文字颜色 5 11 25" xfId="2818"/>
    <cellStyle name="20% - 强调文字颜色 5 11 26" xfId="2819"/>
    <cellStyle name="20% - 强调文字颜色 5 11 27" xfId="2820"/>
    <cellStyle name="20% - 强调文字颜色 5 11 28" xfId="2821"/>
    <cellStyle name="20% - 强调文字颜色 5 11 3" xfId="2822"/>
    <cellStyle name="20% - 强调文字颜色 5 11 4" xfId="2823"/>
    <cellStyle name="20% - 强调文字颜色 5 11 5" xfId="2824"/>
    <cellStyle name="20% - 强调文字颜色 5 11 6" xfId="2825"/>
    <cellStyle name="20% - 强调文字颜色 5 11 7" xfId="2826"/>
    <cellStyle name="20% - 强调文字颜色 5 11 8" xfId="2827"/>
    <cellStyle name="20% - 强调文字颜色 5 11 9" xfId="2828"/>
    <cellStyle name="20% - 强调文字颜色 5 12" xfId="2829"/>
    <cellStyle name="20% - 强调文字颜色 5 13" xfId="2830"/>
    <cellStyle name="20% - 强调文字颜色 5 14" xfId="2831"/>
    <cellStyle name="20% - 强调文字颜色 5 15" xfId="2832"/>
    <cellStyle name="20% - 强调文字颜色 5 16" xfId="2833"/>
    <cellStyle name="20% - 强调文字颜色 5 17" xfId="2834"/>
    <cellStyle name="20% - 强调文字颜色 5 18" xfId="2835"/>
    <cellStyle name="20% - 强调文字颜色 5 19" xfId="2836"/>
    <cellStyle name="20% - 强调文字颜色 5 2" xfId="2837"/>
    <cellStyle name="20% - 强调文字颜色 5 2 10" xfId="2838"/>
    <cellStyle name="20% - 强调文字颜色 5 2 11" xfId="2839"/>
    <cellStyle name="20% - 强调文字颜色 5 2 12" xfId="2840"/>
    <cellStyle name="20% - 强调文字颜色 5 2 13" xfId="2841"/>
    <cellStyle name="20% - 强调文字颜色 5 2 14" xfId="2842"/>
    <cellStyle name="20% - 强调文字颜色 5 2 15" xfId="2843"/>
    <cellStyle name="20% - 强调文字颜色 5 2 16" xfId="2844"/>
    <cellStyle name="20% - 强调文字颜色 5 2 17" xfId="2845"/>
    <cellStyle name="20% - 强调文字颜色 5 2 18" xfId="2846"/>
    <cellStyle name="20% - 强调文字颜色 5 2 19" xfId="2847"/>
    <cellStyle name="20% - 强调文字颜色 5 2 2" xfId="2848"/>
    <cellStyle name="20% - 强调文字颜色 5 2 2 10" xfId="2849"/>
    <cellStyle name="20% - 强调文字颜色 5 2 2 11" xfId="2850"/>
    <cellStyle name="20% - 强调文字颜色 5 2 2 12" xfId="2851"/>
    <cellStyle name="20% - 强调文字颜色 5 2 2 13" xfId="2852"/>
    <cellStyle name="20% - 强调文字颜色 5 2 2 14" xfId="2853"/>
    <cellStyle name="20% - 强调文字颜色 5 2 2 15" xfId="2854"/>
    <cellStyle name="20% - 强调文字颜色 5 2 2 16" xfId="2855"/>
    <cellStyle name="20% - 强调文字颜色 5 2 2 17" xfId="2856"/>
    <cellStyle name="20% - 强调文字颜色 5 2 2 18" xfId="2857"/>
    <cellStyle name="20% - 强调文字颜色 5 2 2 19" xfId="2858"/>
    <cellStyle name="20% - 强调文字颜色 5 2 2 2" xfId="2859"/>
    <cellStyle name="20% - 强调文字颜色 5 2 2 2 10" xfId="2860"/>
    <cellStyle name="20% - 强调文字颜色 5 2 2 2 11" xfId="2861"/>
    <cellStyle name="20% - 强调文字颜色 5 2 2 2 12" xfId="2862"/>
    <cellStyle name="20% - 强调文字颜色 5 2 2 2 13" xfId="2863"/>
    <cellStyle name="20% - 强调文字颜色 5 2 2 2 14" xfId="2864"/>
    <cellStyle name="20% - 强调文字颜色 5 2 2 2 15" xfId="2865"/>
    <cellStyle name="20% - 强调文字颜色 5 2 2 2 16" xfId="2866"/>
    <cellStyle name="20% - 强调文字颜色 5 2 2 2 17" xfId="2867"/>
    <cellStyle name="20% - 强调文字颜色 5 2 2 2 18" xfId="2868"/>
    <cellStyle name="20% - 强调文字颜色 5 2 2 2 19" xfId="2869"/>
    <cellStyle name="20% - 强调文字颜色 5 2 2 2 2" xfId="2870"/>
    <cellStyle name="20% - 强调文字颜色 5 2 2 2 20" xfId="2871"/>
    <cellStyle name="20% - 强调文字颜色 5 2 2 2 21" xfId="2872"/>
    <cellStyle name="20% - 强调文字颜色 5 2 2 2 22" xfId="2873"/>
    <cellStyle name="20% - 强调文字颜色 5 2 2 2 23" xfId="2874"/>
    <cellStyle name="20% - 强调文字颜色 5 2 2 2 24" xfId="2875"/>
    <cellStyle name="20% - 强调文字颜色 5 2 2 2 25" xfId="2876"/>
    <cellStyle name="20% - 强调文字颜色 5 2 2 2 26" xfId="2877"/>
    <cellStyle name="20% - 强调文字颜色 5 2 2 2 27" xfId="2878"/>
    <cellStyle name="20% - 强调文字颜色 5 2 2 2 3" xfId="2879"/>
    <cellStyle name="20% - 强调文字颜色 5 2 2 2 4" xfId="2880"/>
    <cellStyle name="20% - 强调文字颜色 5 2 2 2 5" xfId="2881"/>
    <cellStyle name="20% - 强调文字颜色 5 2 2 2 6" xfId="2882"/>
    <cellStyle name="20% - 强调文字颜色 5 2 2 2 7" xfId="2883"/>
    <cellStyle name="20% - 强调文字颜色 5 2 2 2 8" xfId="2884"/>
    <cellStyle name="20% - 强调文字颜色 5 2 2 2 9" xfId="2885"/>
    <cellStyle name="20% - 强调文字颜色 5 2 2 20" xfId="2886"/>
    <cellStyle name="20% - 强调文字颜色 5 2 2 21" xfId="2887"/>
    <cellStyle name="20% - 强调文字颜色 5 2 2 22" xfId="2888"/>
    <cellStyle name="20% - 强调文字颜色 5 2 2 23" xfId="2889"/>
    <cellStyle name="20% - 强调文字颜色 5 2 2 24" xfId="2890"/>
    <cellStyle name="20% - 强调文字颜色 5 2 2 25" xfId="2891"/>
    <cellStyle name="20% - 强调文字颜色 5 2 2 26" xfId="2892"/>
    <cellStyle name="20% - 强调文字颜色 5 2 2 27" xfId="2893"/>
    <cellStyle name="20% - 强调文字颜色 5 2 2 28" xfId="2894"/>
    <cellStyle name="20% - 强调文字颜色 5 2 2 3" xfId="2895"/>
    <cellStyle name="20% - 强调文字颜色 5 2 2 4" xfId="2896"/>
    <cellStyle name="20% - 强调文字颜色 5 2 2 5" xfId="2897"/>
    <cellStyle name="20% - 强调文字颜色 5 2 2 6" xfId="2898"/>
    <cellStyle name="20% - 强调文字颜色 5 2 2 7" xfId="2899"/>
    <cellStyle name="20% - 强调文字颜色 5 2 2 8" xfId="2900"/>
    <cellStyle name="20% - 强调文字颜色 5 2 2 9" xfId="2901"/>
    <cellStyle name="20% - 强调文字颜色 5 2 20" xfId="2902"/>
    <cellStyle name="20% - 强调文字颜色 5 2 21" xfId="2903"/>
    <cellStyle name="20% - 强调文字颜色 5 2 22" xfId="2904"/>
    <cellStyle name="20% - 强调文字颜色 5 2 23" xfId="2905"/>
    <cellStyle name="20% - 强调文字颜色 5 2 24" xfId="2906"/>
    <cellStyle name="20% - 强调文字颜色 5 2 25" xfId="2907"/>
    <cellStyle name="20% - 强调文字颜色 5 2 26" xfId="2908"/>
    <cellStyle name="20% - 强调文字颜色 5 2 27" xfId="2909"/>
    <cellStyle name="20% - 强调文字颜色 5 2 28" xfId="2910"/>
    <cellStyle name="20% - 强调文字颜色 5 2 29" xfId="2911"/>
    <cellStyle name="20% - 强调文字颜色 5 2 3" xfId="2912"/>
    <cellStyle name="20% - 强调文字颜色 5 2 3 10" xfId="2913"/>
    <cellStyle name="20% - 强调文字颜色 5 2 3 11" xfId="2914"/>
    <cellStyle name="20% - 强调文字颜色 5 2 3 12" xfId="2915"/>
    <cellStyle name="20% - 强调文字颜色 5 2 3 13" xfId="2916"/>
    <cellStyle name="20% - 强调文字颜色 5 2 3 14" xfId="2917"/>
    <cellStyle name="20% - 强调文字颜色 5 2 3 15" xfId="2918"/>
    <cellStyle name="20% - 强调文字颜色 5 2 3 16" xfId="2919"/>
    <cellStyle name="20% - 强调文字颜色 5 2 3 17" xfId="2920"/>
    <cellStyle name="20% - 强调文字颜色 5 2 3 18" xfId="2921"/>
    <cellStyle name="20% - 强调文字颜色 5 2 3 19" xfId="2922"/>
    <cellStyle name="20% - 强调文字颜色 5 2 3 2" xfId="2923"/>
    <cellStyle name="20% - 强调文字颜色 5 2 3 2 10" xfId="2924"/>
    <cellStyle name="20% - 强调文字颜色 5 2 3 2 11" xfId="2925"/>
    <cellStyle name="20% - 强调文字颜色 5 2 3 2 12" xfId="2926"/>
    <cellStyle name="20% - 强调文字颜色 5 2 3 2 13" xfId="2927"/>
    <cellStyle name="20% - 强调文字颜色 5 2 3 2 14" xfId="2928"/>
    <cellStyle name="20% - 强调文字颜色 5 2 3 2 15" xfId="2929"/>
    <cellStyle name="20% - 强调文字颜色 5 2 3 2 16" xfId="2930"/>
    <cellStyle name="20% - 强调文字颜色 5 2 3 2 17" xfId="2931"/>
    <cellStyle name="20% - 强调文字颜色 5 2 3 2 18" xfId="2932"/>
    <cellStyle name="20% - 强调文字颜色 5 2 3 2 19" xfId="2933"/>
    <cellStyle name="20% - 强调文字颜色 5 2 3 2 2" xfId="2934"/>
    <cellStyle name="20% - 强调文字颜色 5 2 3 2 20" xfId="2935"/>
    <cellStyle name="20% - 强调文字颜色 5 2 3 2 21" xfId="2936"/>
    <cellStyle name="20% - 强调文字颜色 5 2 3 2 22" xfId="2937"/>
    <cellStyle name="20% - 强调文字颜色 5 2 3 2 23" xfId="2938"/>
    <cellStyle name="20% - 强调文字颜色 5 2 3 2 24" xfId="2939"/>
    <cellStyle name="20% - 强调文字颜色 5 2 3 2 25" xfId="2940"/>
    <cellStyle name="20% - 强调文字颜色 5 2 3 2 26" xfId="2941"/>
    <cellStyle name="20% - 强调文字颜色 5 2 3 2 27" xfId="2942"/>
    <cellStyle name="20% - 强调文字颜色 5 2 3 2 3" xfId="2943"/>
    <cellStyle name="20% - 强调文字颜色 5 2 3 2 4" xfId="2944"/>
    <cellStyle name="20% - 强调文字颜色 5 2 3 2 5" xfId="2945"/>
    <cellStyle name="20% - 强调文字颜色 5 2 3 2 6" xfId="2946"/>
    <cellStyle name="20% - 强调文字颜色 5 2 3 2 7" xfId="2947"/>
    <cellStyle name="20% - 强调文字颜色 5 2 3 2 8" xfId="2948"/>
    <cellStyle name="20% - 强调文字颜色 5 2 3 2 9" xfId="2949"/>
    <cellStyle name="20% - 强调文字颜色 5 2 3 20" xfId="2950"/>
    <cellStyle name="20% - 强调文字颜色 5 2 3 21" xfId="2951"/>
    <cellStyle name="20% - 强调文字颜色 5 2 3 22" xfId="2952"/>
    <cellStyle name="20% - 强调文字颜色 5 2 3 23" xfId="2953"/>
    <cellStyle name="20% - 强调文字颜色 5 2 3 24" xfId="2954"/>
    <cellStyle name="20% - 强调文字颜色 5 2 3 25" xfId="2955"/>
    <cellStyle name="20% - 强调文字颜色 5 2 3 26" xfId="2956"/>
    <cellStyle name="20% - 强调文字颜色 5 2 3 27" xfId="2957"/>
    <cellStyle name="20% - 强调文字颜色 5 2 3 28" xfId="2958"/>
    <cellStyle name="20% - 强调文字颜色 5 2 3 3" xfId="2959"/>
    <cellStyle name="20% - 强调文字颜色 5 2 3 4" xfId="2960"/>
    <cellStyle name="20% - 强调文字颜色 5 2 3 5" xfId="2961"/>
    <cellStyle name="20% - 强调文字颜色 5 2 3 6" xfId="2962"/>
    <cellStyle name="20% - 强调文字颜色 5 2 3 7" xfId="2963"/>
    <cellStyle name="20% - 强调文字颜色 5 2 3 8" xfId="2964"/>
    <cellStyle name="20% - 强调文字颜色 5 2 3 9" xfId="2965"/>
    <cellStyle name="20% - 强调文字颜色 5 2 30" xfId="2966"/>
    <cellStyle name="20% - 强调文字颜色 5 2 31" xfId="2967"/>
    <cellStyle name="20% - 强调文字颜色 5 2 32" xfId="2968"/>
    <cellStyle name="20% - 强调文字颜色 5 2 33" xfId="2969"/>
    <cellStyle name="20% - 强调文字颜色 5 2 4" xfId="2970"/>
    <cellStyle name="20% - 强调文字颜色 5 2 4 10" xfId="2971"/>
    <cellStyle name="20% - 强调文字颜色 5 2 4 11" xfId="2972"/>
    <cellStyle name="20% - 强调文字颜色 5 2 4 12" xfId="2973"/>
    <cellStyle name="20% - 强调文字颜色 5 2 4 13" xfId="2974"/>
    <cellStyle name="20% - 强调文字颜色 5 2 4 14" xfId="2975"/>
    <cellStyle name="20% - 强调文字颜色 5 2 4 15" xfId="2976"/>
    <cellStyle name="20% - 强调文字颜色 5 2 4 16" xfId="2977"/>
    <cellStyle name="20% - 强调文字颜色 5 2 4 17" xfId="2978"/>
    <cellStyle name="20% - 强调文字颜色 5 2 4 18" xfId="2979"/>
    <cellStyle name="20% - 强调文字颜色 5 2 4 19" xfId="2980"/>
    <cellStyle name="20% - 强调文字颜色 5 2 4 2" xfId="2981"/>
    <cellStyle name="20% - 强调文字颜色 5 2 4 20" xfId="2982"/>
    <cellStyle name="20% - 强调文字颜色 5 2 4 21" xfId="2983"/>
    <cellStyle name="20% - 强调文字颜色 5 2 4 22" xfId="2984"/>
    <cellStyle name="20% - 强调文字颜色 5 2 4 23" xfId="2985"/>
    <cellStyle name="20% - 强调文字颜色 5 2 4 24" xfId="2986"/>
    <cellStyle name="20% - 强调文字颜色 5 2 4 25" xfId="2987"/>
    <cellStyle name="20% - 强调文字颜色 5 2 4 26" xfId="2988"/>
    <cellStyle name="20% - 强调文字颜色 5 2 4 27" xfId="2989"/>
    <cellStyle name="20% - 强调文字颜色 5 2 4 3" xfId="2990"/>
    <cellStyle name="20% - 强调文字颜色 5 2 4 4" xfId="2991"/>
    <cellStyle name="20% - 强调文字颜色 5 2 4 5" xfId="2992"/>
    <cellStyle name="20% - 强调文字颜色 5 2 4 6" xfId="2993"/>
    <cellStyle name="20% - 强调文字颜色 5 2 4 7" xfId="2994"/>
    <cellStyle name="20% - 强调文字颜色 5 2 4 8" xfId="2995"/>
    <cellStyle name="20% - 强调文字颜色 5 2 4 9" xfId="2996"/>
    <cellStyle name="20% - 强调文字颜色 5 2 5" xfId="2997"/>
    <cellStyle name="20% - 强调文字颜色 5 2 6" xfId="2998"/>
    <cellStyle name="20% - 强调文字颜色 5 2 7" xfId="2999"/>
    <cellStyle name="20% - 强调文字颜色 5 2 8" xfId="3000"/>
    <cellStyle name="20% - 强调文字颜色 5 2 9" xfId="3001"/>
    <cellStyle name="20% - 强调文字颜色 5 20" xfId="3002"/>
    <cellStyle name="20% - 强调文字颜色 5 21" xfId="3003"/>
    <cellStyle name="20% - 强调文字颜色 5 22" xfId="3004"/>
    <cellStyle name="20% - 强调文字颜色 5 23" xfId="3005"/>
    <cellStyle name="20% - 强调文字颜色 5 24" xfId="3006"/>
    <cellStyle name="20% - 强调文字颜色 5 25" xfId="3007"/>
    <cellStyle name="20% - 强调文字颜色 5 26" xfId="3008"/>
    <cellStyle name="20% - 强调文字颜色 5 27" xfId="3009"/>
    <cellStyle name="20% - 强调文字颜色 5 28" xfId="3010"/>
    <cellStyle name="20% - 强调文字颜色 5 29" xfId="3011"/>
    <cellStyle name="20% - 强调文字颜色 5 3" xfId="3012"/>
    <cellStyle name="20% - 强调文字颜色 5 3 10" xfId="3013"/>
    <cellStyle name="20% - 强调文字颜色 5 3 11" xfId="3014"/>
    <cellStyle name="20% - 强调文字颜色 5 3 12" xfId="3015"/>
    <cellStyle name="20% - 强调文字颜色 5 3 13" xfId="3016"/>
    <cellStyle name="20% - 强调文字颜色 5 3 14" xfId="3017"/>
    <cellStyle name="20% - 强调文字颜色 5 3 15" xfId="3018"/>
    <cellStyle name="20% - 强调文字颜色 5 3 16" xfId="3019"/>
    <cellStyle name="20% - 强调文字颜色 5 3 17" xfId="3020"/>
    <cellStyle name="20% - 强调文字颜色 5 3 18" xfId="3021"/>
    <cellStyle name="20% - 强调文字颜色 5 3 19" xfId="3022"/>
    <cellStyle name="20% - 强调文字颜色 5 3 2" xfId="3023"/>
    <cellStyle name="20% - 强调文字颜色 5 3 2 10" xfId="3024"/>
    <cellStyle name="20% - 强调文字颜色 5 3 2 11" xfId="3025"/>
    <cellStyle name="20% - 强调文字颜色 5 3 2 12" xfId="3026"/>
    <cellStyle name="20% - 强调文字颜色 5 3 2 13" xfId="3027"/>
    <cellStyle name="20% - 强调文字颜色 5 3 2 14" xfId="3028"/>
    <cellStyle name="20% - 强调文字颜色 5 3 2 15" xfId="3029"/>
    <cellStyle name="20% - 强调文字颜色 5 3 2 16" xfId="3030"/>
    <cellStyle name="20% - 强调文字颜色 5 3 2 17" xfId="3031"/>
    <cellStyle name="20% - 强调文字颜色 5 3 2 18" xfId="3032"/>
    <cellStyle name="20% - 强调文字颜色 5 3 2 19" xfId="3033"/>
    <cellStyle name="20% - 强调文字颜色 5 3 2 2" xfId="3034"/>
    <cellStyle name="20% - 强调文字颜色 5 3 2 20" xfId="3035"/>
    <cellStyle name="20% - 强调文字颜色 5 3 2 21" xfId="3036"/>
    <cellStyle name="20% - 强调文字颜色 5 3 2 22" xfId="3037"/>
    <cellStyle name="20% - 强调文字颜色 5 3 2 23" xfId="3038"/>
    <cellStyle name="20% - 强调文字颜色 5 3 2 24" xfId="3039"/>
    <cellStyle name="20% - 强调文字颜色 5 3 2 25" xfId="3040"/>
    <cellStyle name="20% - 强调文字颜色 5 3 2 26" xfId="3041"/>
    <cellStyle name="20% - 强调文字颜色 5 3 2 27" xfId="3042"/>
    <cellStyle name="20% - 强调文字颜色 5 3 2 3" xfId="3043"/>
    <cellStyle name="20% - 强调文字颜色 5 3 2 4" xfId="3044"/>
    <cellStyle name="20% - 强调文字颜色 5 3 2 5" xfId="3045"/>
    <cellStyle name="20% - 强调文字颜色 5 3 2 6" xfId="3046"/>
    <cellStyle name="20% - 强调文字颜色 5 3 2 7" xfId="3047"/>
    <cellStyle name="20% - 强调文字颜色 5 3 2 8" xfId="3048"/>
    <cellStyle name="20% - 强调文字颜色 5 3 2 9" xfId="3049"/>
    <cellStyle name="20% - 强调文字颜色 5 3 20" xfId="3050"/>
    <cellStyle name="20% - 强调文字颜色 5 3 21" xfId="3051"/>
    <cellStyle name="20% - 强调文字颜色 5 3 22" xfId="3052"/>
    <cellStyle name="20% - 强调文字颜色 5 3 23" xfId="3053"/>
    <cellStyle name="20% - 强调文字颜色 5 3 24" xfId="3054"/>
    <cellStyle name="20% - 强调文字颜色 5 3 25" xfId="3055"/>
    <cellStyle name="20% - 强调文字颜色 5 3 26" xfId="3056"/>
    <cellStyle name="20% - 强调文字颜色 5 3 27" xfId="3057"/>
    <cellStyle name="20% - 强调文字颜色 5 3 28" xfId="3058"/>
    <cellStyle name="20% - 强调文字颜色 5 3 3" xfId="3059"/>
    <cellStyle name="20% - 强调文字颜色 5 3 4" xfId="3060"/>
    <cellStyle name="20% - 强调文字颜色 5 3 5" xfId="3061"/>
    <cellStyle name="20% - 强调文字颜色 5 3 6" xfId="3062"/>
    <cellStyle name="20% - 强调文字颜色 5 3 7" xfId="3063"/>
    <cellStyle name="20% - 强调文字颜色 5 3 8" xfId="3064"/>
    <cellStyle name="20% - 强调文字颜色 5 3 9" xfId="3065"/>
    <cellStyle name="20% - 强调文字颜色 5 30" xfId="3066"/>
    <cellStyle name="20% - 强调文字颜色 5 31" xfId="3067"/>
    <cellStyle name="20% - 强调文字颜色 5 32" xfId="3068"/>
    <cellStyle name="20% - 强调文字颜色 5 33" xfId="3069"/>
    <cellStyle name="20% - 强调文字颜色 5 34" xfId="3070"/>
    <cellStyle name="20% - 强调文字颜色 5 35" xfId="3071"/>
    <cellStyle name="20% - 强调文字颜色 5 36" xfId="3072"/>
    <cellStyle name="20% - 强调文字颜色 5 37" xfId="3073"/>
    <cellStyle name="20% - 强调文字颜色 5 38" xfId="3074"/>
    <cellStyle name="20% - 强调文字颜色 5 39" xfId="3075"/>
    <cellStyle name="20% - 强调文字颜色 5 4" xfId="3076"/>
    <cellStyle name="20% - 强调文字颜色 5 4 10" xfId="3077"/>
    <cellStyle name="20% - 强调文字颜色 5 4 11" xfId="3078"/>
    <cellStyle name="20% - 强调文字颜色 5 4 12" xfId="3079"/>
    <cellStyle name="20% - 强调文字颜色 5 4 13" xfId="3080"/>
    <cellStyle name="20% - 强调文字颜色 5 4 14" xfId="3081"/>
    <cellStyle name="20% - 强调文字颜色 5 4 15" xfId="3082"/>
    <cellStyle name="20% - 强调文字颜色 5 4 16" xfId="3083"/>
    <cellStyle name="20% - 强调文字颜色 5 4 17" xfId="3084"/>
    <cellStyle name="20% - 强调文字颜色 5 4 18" xfId="3085"/>
    <cellStyle name="20% - 强调文字颜色 5 4 19" xfId="3086"/>
    <cellStyle name="20% - 强调文字颜色 5 4 2" xfId="3087"/>
    <cellStyle name="20% - 强调文字颜色 5 4 2 10" xfId="3088"/>
    <cellStyle name="20% - 强调文字颜色 5 4 2 11" xfId="3089"/>
    <cellStyle name="20% - 强调文字颜色 5 4 2 12" xfId="3090"/>
    <cellStyle name="20% - 强调文字颜色 5 4 2 13" xfId="3091"/>
    <cellStyle name="20% - 强调文字颜色 5 4 2 14" xfId="3092"/>
    <cellStyle name="20% - 强调文字颜色 5 4 2 15" xfId="3093"/>
    <cellStyle name="20% - 强调文字颜色 5 4 2 16" xfId="3094"/>
    <cellStyle name="20% - 强调文字颜色 5 4 2 17" xfId="3095"/>
    <cellStyle name="20% - 强调文字颜色 5 4 2 18" xfId="3096"/>
    <cellStyle name="20% - 强调文字颜色 5 4 2 19" xfId="3097"/>
    <cellStyle name="20% - 强调文字颜色 5 4 2 2" xfId="3098"/>
    <cellStyle name="20% - 强调文字颜色 5 4 2 20" xfId="3099"/>
    <cellStyle name="20% - 强调文字颜色 5 4 2 21" xfId="3100"/>
    <cellStyle name="20% - 强调文字颜色 5 4 2 22" xfId="3101"/>
    <cellStyle name="20% - 强调文字颜色 5 4 2 23" xfId="3102"/>
    <cellStyle name="20% - 强调文字颜色 5 4 2 24" xfId="3103"/>
    <cellStyle name="20% - 强调文字颜色 5 4 2 25" xfId="3104"/>
    <cellStyle name="20% - 强调文字颜色 5 4 2 26" xfId="3105"/>
    <cellStyle name="20% - 强调文字颜色 5 4 2 27" xfId="3106"/>
    <cellStyle name="20% - 强调文字颜色 5 4 2 3" xfId="3107"/>
    <cellStyle name="20% - 强调文字颜色 5 4 2 4" xfId="3108"/>
    <cellStyle name="20% - 强调文字颜色 5 4 2 5" xfId="3109"/>
    <cellStyle name="20% - 强调文字颜色 5 4 2 6" xfId="3110"/>
    <cellStyle name="20% - 强调文字颜色 5 4 2 7" xfId="3111"/>
    <cellStyle name="20% - 强调文字颜色 5 4 2 8" xfId="3112"/>
    <cellStyle name="20% - 强调文字颜色 5 4 2 9" xfId="3113"/>
    <cellStyle name="20% - 强调文字颜色 5 4 20" xfId="3114"/>
    <cellStyle name="20% - 强调文字颜色 5 4 21" xfId="3115"/>
    <cellStyle name="20% - 强调文字颜色 5 4 22" xfId="3116"/>
    <cellStyle name="20% - 强调文字颜色 5 4 23" xfId="3117"/>
    <cellStyle name="20% - 强调文字颜色 5 4 24" xfId="3118"/>
    <cellStyle name="20% - 强调文字颜色 5 4 25" xfId="3119"/>
    <cellStyle name="20% - 强调文字颜色 5 4 26" xfId="3120"/>
    <cellStyle name="20% - 强调文字颜色 5 4 27" xfId="3121"/>
    <cellStyle name="20% - 强调文字颜色 5 4 28" xfId="3122"/>
    <cellStyle name="20% - 强调文字颜色 5 4 3" xfId="3123"/>
    <cellStyle name="20% - 强调文字颜色 5 4 4" xfId="3124"/>
    <cellStyle name="20% - 强调文字颜色 5 4 5" xfId="3125"/>
    <cellStyle name="20% - 强调文字颜色 5 4 6" xfId="3126"/>
    <cellStyle name="20% - 强调文字颜色 5 4 7" xfId="3127"/>
    <cellStyle name="20% - 强调文字颜色 5 4 8" xfId="3128"/>
    <cellStyle name="20% - 强调文字颜色 5 4 9" xfId="3129"/>
    <cellStyle name="20% - 强调文字颜色 5 40" xfId="3130"/>
    <cellStyle name="20% - 强调文字颜色 5 5" xfId="3131"/>
    <cellStyle name="20% - 强调文字颜色 5 5 10" xfId="3132"/>
    <cellStyle name="20% - 强调文字颜色 5 5 11" xfId="3133"/>
    <cellStyle name="20% - 强调文字颜色 5 5 12" xfId="3134"/>
    <cellStyle name="20% - 强调文字颜色 5 5 13" xfId="3135"/>
    <cellStyle name="20% - 强调文字颜色 5 5 14" xfId="3136"/>
    <cellStyle name="20% - 强调文字颜色 5 5 15" xfId="3137"/>
    <cellStyle name="20% - 强调文字颜色 5 5 16" xfId="3138"/>
    <cellStyle name="20% - 强调文字颜色 5 5 17" xfId="3139"/>
    <cellStyle name="20% - 强调文字颜色 5 5 18" xfId="3140"/>
    <cellStyle name="20% - 强调文字颜色 5 5 19" xfId="3141"/>
    <cellStyle name="20% - 强调文字颜色 5 5 2" xfId="3142"/>
    <cellStyle name="20% - 强调文字颜色 5 5 2 10" xfId="3143"/>
    <cellStyle name="20% - 强调文字颜色 5 5 2 11" xfId="3144"/>
    <cellStyle name="20% - 强调文字颜色 5 5 2 12" xfId="3145"/>
    <cellStyle name="20% - 强调文字颜色 5 5 2 13" xfId="3146"/>
    <cellStyle name="20% - 强调文字颜色 5 5 2 14" xfId="3147"/>
    <cellStyle name="20% - 强调文字颜色 5 5 2 15" xfId="3148"/>
    <cellStyle name="20% - 强调文字颜色 5 5 2 16" xfId="3149"/>
    <cellStyle name="20% - 强调文字颜色 5 5 2 17" xfId="3150"/>
    <cellStyle name="20% - 强调文字颜色 5 5 2 18" xfId="3151"/>
    <cellStyle name="20% - 强调文字颜色 5 5 2 19" xfId="3152"/>
    <cellStyle name="20% - 强调文字颜色 5 5 2 2" xfId="3153"/>
    <cellStyle name="20% - 强调文字颜色 5 5 2 20" xfId="3154"/>
    <cellStyle name="20% - 强调文字颜色 5 5 2 21" xfId="3155"/>
    <cellStyle name="20% - 强调文字颜色 5 5 2 22" xfId="3156"/>
    <cellStyle name="20% - 强调文字颜色 5 5 2 23" xfId="3157"/>
    <cellStyle name="20% - 强调文字颜色 5 5 2 24" xfId="3158"/>
    <cellStyle name="20% - 强调文字颜色 5 5 2 25" xfId="3159"/>
    <cellStyle name="20% - 强调文字颜色 5 5 2 26" xfId="3160"/>
    <cellStyle name="20% - 强调文字颜色 5 5 2 27" xfId="3161"/>
    <cellStyle name="20% - 强调文字颜色 5 5 2 3" xfId="3162"/>
    <cellStyle name="20% - 强调文字颜色 5 5 2 4" xfId="3163"/>
    <cellStyle name="20% - 强调文字颜色 5 5 2 5" xfId="3164"/>
    <cellStyle name="20% - 强调文字颜色 5 5 2 6" xfId="3165"/>
    <cellStyle name="20% - 强调文字颜色 5 5 2 7" xfId="3166"/>
    <cellStyle name="20% - 强调文字颜色 5 5 2 8" xfId="3167"/>
    <cellStyle name="20% - 强调文字颜色 5 5 2 9" xfId="3168"/>
    <cellStyle name="20% - 强调文字颜色 5 5 20" xfId="3169"/>
    <cellStyle name="20% - 强调文字颜色 5 5 21" xfId="3170"/>
    <cellStyle name="20% - 强调文字颜色 5 5 22" xfId="3171"/>
    <cellStyle name="20% - 强调文字颜色 5 5 23" xfId="3172"/>
    <cellStyle name="20% - 强调文字颜色 5 5 24" xfId="3173"/>
    <cellStyle name="20% - 强调文字颜色 5 5 25" xfId="3174"/>
    <cellStyle name="20% - 强调文字颜色 5 5 26" xfId="3175"/>
    <cellStyle name="20% - 强调文字颜色 5 5 27" xfId="3176"/>
    <cellStyle name="20% - 强调文字颜色 5 5 28" xfId="3177"/>
    <cellStyle name="20% - 强调文字颜色 5 5 3" xfId="3178"/>
    <cellStyle name="20% - 强调文字颜色 5 5 4" xfId="3179"/>
    <cellStyle name="20% - 强调文字颜色 5 5 5" xfId="3180"/>
    <cellStyle name="20% - 强调文字颜色 5 5 6" xfId="3181"/>
    <cellStyle name="20% - 强调文字颜色 5 5 7" xfId="3182"/>
    <cellStyle name="20% - 强调文字颜色 5 5 8" xfId="3183"/>
    <cellStyle name="20% - 强调文字颜色 5 5 9" xfId="3184"/>
    <cellStyle name="20% - 强调文字颜色 5 6" xfId="3185"/>
    <cellStyle name="20% - 强调文字颜色 5 6 10" xfId="3186"/>
    <cellStyle name="20% - 强调文字颜色 5 6 11" xfId="3187"/>
    <cellStyle name="20% - 强调文字颜色 5 6 12" xfId="3188"/>
    <cellStyle name="20% - 强调文字颜色 5 6 13" xfId="3189"/>
    <cellStyle name="20% - 强调文字颜色 5 6 14" xfId="3190"/>
    <cellStyle name="20% - 强调文字颜色 5 6 15" xfId="3191"/>
    <cellStyle name="20% - 强调文字颜色 5 6 16" xfId="3192"/>
    <cellStyle name="20% - 强调文字颜色 5 6 17" xfId="3193"/>
    <cellStyle name="20% - 强调文字颜色 5 6 18" xfId="3194"/>
    <cellStyle name="20% - 强调文字颜色 5 6 19" xfId="3195"/>
    <cellStyle name="20% - 强调文字颜色 5 6 2" xfId="3196"/>
    <cellStyle name="20% - 强调文字颜色 5 6 2 10" xfId="3197"/>
    <cellStyle name="20% - 强调文字颜色 5 6 2 11" xfId="3198"/>
    <cellStyle name="20% - 强调文字颜色 5 6 2 12" xfId="3199"/>
    <cellStyle name="20% - 强调文字颜色 5 6 2 13" xfId="3200"/>
    <cellStyle name="20% - 强调文字颜色 5 6 2 14" xfId="3201"/>
    <cellStyle name="20% - 强调文字颜色 5 6 2 15" xfId="3202"/>
    <cellStyle name="20% - 强调文字颜色 5 6 2 16" xfId="3203"/>
    <cellStyle name="20% - 强调文字颜色 5 6 2 17" xfId="3204"/>
    <cellStyle name="20% - 强调文字颜色 5 6 2 18" xfId="3205"/>
    <cellStyle name="20% - 强调文字颜色 5 6 2 19" xfId="3206"/>
    <cellStyle name="20% - 强调文字颜色 5 6 2 2" xfId="3207"/>
    <cellStyle name="20% - 强调文字颜色 5 6 2 20" xfId="3208"/>
    <cellStyle name="20% - 强调文字颜色 5 6 2 21" xfId="3209"/>
    <cellStyle name="20% - 强调文字颜色 5 6 2 22" xfId="3210"/>
    <cellStyle name="20% - 强调文字颜色 5 6 2 23" xfId="3211"/>
    <cellStyle name="20% - 强调文字颜色 5 6 2 24" xfId="3212"/>
    <cellStyle name="20% - 强调文字颜色 5 6 2 25" xfId="3213"/>
    <cellStyle name="20% - 强调文字颜色 5 6 2 26" xfId="3214"/>
    <cellStyle name="20% - 强调文字颜色 5 6 2 27" xfId="3215"/>
    <cellStyle name="20% - 强调文字颜色 5 6 2 3" xfId="3216"/>
    <cellStyle name="20% - 强调文字颜色 5 6 2 4" xfId="3217"/>
    <cellStyle name="20% - 强调文字颜色 5 6 2 5" xfId="3218"/>
    <cellStyle name="20% - 强调文字颜色 5 6 2 6" xfId="3219"/>
    <cellStyle name="20% - 强调文字颜色 5 6 2 7" xfId="3220"/>
    <cellStyle name="20% - 强调文字颜色 5 6 2 8" xfId="3221"/>
    <cellStyle name="20% - 强调文字颜色 5 6 2 9" xfId="3222"/>
    <cellStyle name="20% - 强调文字颜色 5 6 20" xfId="3223"/>
    <cellStyle name="20% - 强调文字颜色 5 6 21" xfId="3224"/>
    <cellStyle name="20% - 强调文字颜色 5 6 22" xfId="3225"/>
    <cellStyle name="20% - 强调文字颜色 5 6 23" xfId="3226"/>
    <cellStyle name="20% - 强调文字颜色 5 6 24" xfId="3227"/>
    <cellStyle name="20% - 强调文字颜色 5 6 25" xfId="3228"/>
    <cellStyle name="20% - 强调文字颜色 5 6 26" xfId="3229"/>
    <cellStyle name="20% - 强调文字颜色 5 6 27" xfId="3230"/>
    <cellStyle name="20% - 强调文字颜色 5 6 28" xfId="3231"/>
    <cellStyle name="20% - 强调文字颜色 5 6 3" xfId="3232"/>
    <cellStyle name="20% - 强调文字颜色 5 6 4" xfId="3233"/>
    <cellStyle name="20% - 强调文字颜色 5 6 5" xfId="3234"/>
    <cellStyle name="20% - 强调文字颜色 5 6 6" xfId="3235"/>
    <cellStyle name="20% - 强调文字颜色 5 6 7" xfId="3236"/>
    <cellStyle name="20% - 强调文字颜色 5 6 8" xfId="3237"/>
    <cellStyle name="20% - 强调文字颜色 5 6 9" xfId="3238"/>
    <cellStyle name="20% - 强调文字颜色 5 7" xfId="3239"/>
    <cellStyle name="20% - 强调文字颜色 5 7 10" xfId="3240"/>
    <cellStyle name="20% - 强调文字颜色 5 7 11" xfId="3241"/>
    <cellStyle name="20% - 强调文字颜色 5 7 12" xfId="3242"/>
    <cellStyle name="20% - 强调文字颜色 5 7 13" xfId="3243"/>
    <cellStyle name="20% - 强调文字颜色 5 7 14" xfId="3244"/>
    <cellStyle name="20% - 强调文字颜色 5 7 15" xfId="3245"/>
    <cellStyle name="20% - 强调文字颜色 5 7 16" xfId="3246"/>
    <cellStyle name="20% - 强调文字颜色 5 7 17" xfId="3247"/>
    <cellStyle name="20% - 强调文字颜色 5 7 18" xfId="3248"/>
    <cellStyle name="20% - 强调文字颜色 5 7 19" xfId="3249"/>
    <cellStyle name="20% - 强调文字颜色 5 7 2" xfId="3250"/>
    <cellStyle name="20% - 强调文字颜色 5 7 2 10" xfId="3251"/>
    <cellStyle name="20% - 强调文字颜色 5 7 2 11" xfId="3252"/>
    <cellStyle name="20% - 强调文字颜色 5 7 2 12" xfId="3253"/>
    <cellStyle name="20% - 强调文字颜色 5 7 2 13" xfId="3254"/>
    <cellStyle name="20% - 强调文字颜色 5 7 2 14" xfId="3255"/>
    <cellStyle name="20% - 强调文字颜色 5 7 2 15" xfId="3256"/>
    <cellStyle name="20% - 强调文字颜色 5 7 2 16" xfId="3257"/>
    <cellStyle name="20% - 强调文字颜色 5 7 2 17" xfId="3258"/>
    <cellStyle name="20% - 强调文字颜色 5 7 2 18" xfId="3259"/>
    <cellStyle name="20% - 强调文字颜色 5 7 2 19" xfId="3260"/>
    <cellStyle name="20% - 强调文字颜色 5 7 2 2" xfId="3261"/>
    <cellStyle name="20% - 强调文字颜色 5 7 2 20" xfId="3262"/>
    <cellStyle name="20% - 强调文字颜色 5 7 2 21" xfId="3263"/>
    <cellStyle name="20% - 强调文字颜色 5 7 2 22" xfId="3264"/>
    <cellStyle name="20% - 强调文字颜色 5 7 2 23" xfId="3265"/>
    <cellStyle name="20% - 强调文字颜色 5 7 2 24" xfId="3266"/>
    <cellStyle name="20% - 强调文字颜色 5 7 2 25" xfId="3267"/>
    <cellStyle name="20% - 强调文字颜色 5 7 2 26" xfId="3268"/>
    <cellStyle name="20% - 强调文字颜色 5 7 2 27" xfId="3269"/>
    <cellStyle name="20% - 强调文字颜色 5 7 2 3" xfId="3270"/>
    <cellStyle name="20% - 强调文字颜色 5 7 2 4" xfId="3271"/>
    <cellStyle name="20% - 强调文字颜色 5 7 2 5" xfId="3272"/>
    <cellStyle name="20% - 强调文字颜色 5 7 2 6" xfId="3273"/>
    <cellStyle name="20% - 强调文字颜色 5 7 2 7" xfId="3274"/>
    <cellStyle name="20% - 强调文字颜色 5 7 2 8" xfId="3275"/>
    <cellStyle name="20% - 强调文字颜色 5 7 2 9" xfId="3276"/>
    <cellStyle name="20% - 强调文字颜色 5 7 20" xfId="3277"/>
    <cellStyle name="20% - 强调文字颜色 5 7 21" xfId="3278"/>
    <cellStyle name="20% - 强调文字颜色 5 7 22" xfId="3279"/>
    <cellStyle name="20% - 强调文字颜色 5 7 23" xfId="3280"/>
    <cellStyle name="20% - 强调文字颜色 5 7 24" xfId="3281"/>
    <cellStyle name="20% - 强调文字颜色 5 7 25" xfId="3282"/>
    <cellStyle name="20% - 强调文字颜色 5 7 26" xfId="3283"/>
    <cellStyle name="20% - 强调文字颜色 5 7 27" xfId="3284"/>
    <cellStyle name="20% - 强调文字颜色 5 7 28" xfId="3285"/>
    <cellStyle name="20% - 强调文字颜色 5 7 3" xfId="3286"/>
    <cellStyle name="20% - 强调文字颜色 5 7 4" xfId="3287"/>
    <cellStyle name="20% - 强调文字颜色 5 7 5" xfId="3288"/>
    <cellStyle name="20% - 强调文字颜色 5 7 6" xfId="3289"/>
    <cellStyle name="20% - 强调文字颜色 5 7 7" xfId="3290"/>
    <cellStyle name="20% - 强调文字颜色 5 7 8" xfId="3291"/>
    <cellStyle name="20% - 强调文字颜色 5 7 9" xfId="3292"/>
    <cellStyle name="20% - 强调文字颜色 5 8" xfId="3293"/>
    <cellStyle name="20% - 强调文字颜色 5 8 10" xfId="3294"/>
    <cellStyle name="20% - 强调文字颜色 5 8 11" xfId="3295"/>
    <cellStyle name="20% - 强调文字颜色 5 8 12" xfId="3296"/>
    <cellStyle name="20% - 强调文字颜色 5 8 13" xfId="3297"/>
    <cellStyle name="20% - 强调文字颜色 5 8 14" xfId="3298"/>
    <cellStyle name="20% - 强调文字颜色 5 8 15" xfId="3299"/>
    <cellStyle name="20% - 强调文字颜色 5 8 16" xfId="3300"/>
    <cellStyle name="20% - 强调文字颜色 5 8 17" xfId="3301"/>
    <cellStyle name="20% - 强调文字颜色 5 8 18" xfId="3302"/>
    <cellStyle name="20% - 强调文字颜色 5 8 19" xfId="3303"/>
    <cellStyle name="20% - 强调文字颜色 5 8 2" xfId="3304"/>
    <cellStyle name="20% - 强调文字颜色 5 8 2 10" xfId="3305"/>
    <cellStyle name="20% - 强调文字颜色 5 8 2 11" xfId="3306"/>
    <cellStyle name="20% - 强调文字颜色 5 8 2 12" xfId="3307"/>
    <cellStyle name="20% - 强调文字颜色 5 8 2 13" xfId="3308"/>
    <cellStyle name="20% - 强调文字颜色 5 8 2 14" xfId="3309"/>
    <cellStyle name="20% - 强调文字颜色 5 8 2 15" xfId="3310"/>
    <cellStyle name="20% - 强调文字颜色 5 8 2 16" xfId="3311"/>
    <cellStyle name="20% - 强调文字颜色 5 8 2 17" xfId="3312"/>
    <cellStyle name="20% - 强调文字颜色 5 8 2 18" xfId="3313"/>
    <cellStyle name="20% - 强调文字颜色 5 8 2 19" xfId="3314"/>
    <cellStyle name="20% - 强调文字颜色 5 8 2 2" xfId="3315"/>
    <cellStyle name="20% - 强调文字颜色 5 8 2 20" xfId="3316"/>
    <cellStyle name="20% - 强调文字颜色 5 8 2 21" xfId="3317"/>
    <cellStyle name="20% - 强调文字颜色 5 8 2 22" xfId="3318"/>
    <cellStyle name="20% - 强调文字颜色 5 8 2 23" xfId="3319"/>
    <cellStyle name="20% - 强调文字颜色 5 8 2 24" xfId="3320"/>
    <cellStyle name="20% - 强调文字颜色 5 8 2 25" xfId="3321"/>
    <cellStyle name="20% - 强调文字颜色 5 8 2 26" xfId="3322"/>
    <cellStyle name="20% - 强调文字颜色 5 8 2 27" xfId="3323"/>
    <cellStyle name="20% - 强调文字颜色 5 8 2 3" xfId="3324"/>
    <cellStyle name="20% - 强调文字颜色 5 8 2 4" xfId="3325"/>
    <cellStyle name="20% - 强调文字颜色 5 8 2 5" xfId="3326"/>
    <cellStyle name="20% - 强调文字颜色 5 8 2 6" xfId="3327"/>
    <cellStyle name="20% - 强调文字颜色 5 8 2 7" xfId="3328"/>
    <cellStyle name="20% - 强调文字颜色 5 8 2 8" xfId="3329"/>
    <cellStyle name="20% - 强调文字颜色 5 8 2 9" xfId="3330"/>
    <cellStyle name="20% - 强调文字颜色 5 8 20" xfId="3331"/>
    <cellStyle name="20% - 强调文字颜色 5 8 21" xfId="3332"/>
    <cellStyle name="20% - 强调文字颜色 5 8 22" xfId="3333"/>
    <cellStyle name="20% - 强调文字颜色 5 8 23" xfId="3334"/>
    <cellStyle name="20% - 强调文字颜色 5 8 24" xfId="3335"/>
    <cellStyle name="20% - 强调文字颜色 5 8 25" xfId="3336"/>
    <cellStyle name="20% - 强调文字颜色 5 8 26" xfId="3337"/>
    <cellStyle name="20% - 强调文字颜色 5 8 27" xfId="3338"/>
    <cellStyle name="20% - 强调文字颜色 5 8 28" xfId="3339"/>
    <cellStyle name="20% - 强调文字颜色 5 8 3" xfId="3340"/>
    <cellStyle name="20% - 强调文字颜色 5 8 4" xfId="3341"/>
    <cellStyle name="20% - 强调文字颜色 5 8 5" xfId="3342"/>
    <cellStyle name="20% - 强调文字颜色 5 8 6" xfId="3343"/>
    <cellStyle name="20% - 强调文字颜色 5 8 7" xfId="3344"/>
    <cellStyle name="20% - 强调文字颜色 5 8 8" xfId="3345"/>
    <cellStyle name="20% - 强调文字颜色 5 8 9" xfId="3346"/>
    <cellStyle name="20% - 强调文字颜色 5 9" xfId="3347"/>
    <cellStyle name="20% - 强调文字颜色 5 9 10" xfId="3348"/>
    <cellStyle name="20% - 强调文字颜色 5 9 11" xfId="3349"/>
    <cellStyle name="20% - 强调文字颜色 5 9 12" xfId="3350"/>
    <cellStyle name="20% - 强调文字颜色 5 9 13" xfId="3351"/>
    <cellStyle name="20% - 强调文字颜色 5 9 14" xfId="3352"/>
    <cellStyle name="20% - 强调文字颜色 5 9 15" xfId="3353"/>
    <cellStyle name="20% - 强调文字颜色 5 9 16" xfId="3354"/>
    <cellStyle name="20% - 强调文字颜色 5 9 17" xfId="3355"/>
    <cellStyle name="20% - 强调文字颜色 5 9 18" xfId="3356"/>
    <cellStyle name="20% - 强调文字颜色 5 9 19" xfId="3357"/>
    <cellStyle name="20% - 强调文字颜色 5 9 2" xfId="3358"/>
    <cellStyle name="20% - 强调文字颜色 5 9 2 10" xfId="3359"/>
    <cellStyle name="20% - 强调文字颜色 5 9 2 11" xfId="3360"/>
    <cellStyle name="20% - 强调文字颜色 5 9 2 12" xfId="3361"/>
    <cellStyle name="20% - 强调文字颜色 5 9 2 13" xfId="3362"/>
    <cellStyle name="20% - 强调文字颜色 5 9 2 14" xfId="3363"/>
    <cellStyle name="20% - 强调文字颜色 5 9 2 15" xfId="3364"/>
    <cellStyle name="20% - 强调文字颜色 5 9 2 16" xfId="3365"/>
    <cellStyle name="20% - 强调文字颜色 5 9 2 17" xfId="3366"/>
    <cellStyle name="20% - 强调文字颜色 5 9 2 18" xfId="3367"/>
    <cellStyle name="20% - 强调文字颜色 5 9 2 19" xfId="3368"/>
    <cellStyle name="20% - 强调文字颜色 5 9 2 2" xfId="3369"/>
    <cellStyle name="20% - 强调文字颜色 5 9 2 20" xfId="3370"/>
    <cellStyle name="20% - 强调文字颜色 5 9 2 21" xfId="3371"/>
    <cellStyle name="20% - 强调文字颜色 5 9 2 22" xfId="3372"/>
    <cellStyle name="20% - 强调文字颜色 5 9 2 23" xfId="3373"/>
    <cellStyle name="20% - 强调文字颜色 5 9 2 24" xfId="3374"/>
    <cellStyle name="20% - 强调文字颜色 5 9 2 25" xfId="3375"/>
    <cellStyle name="20% - 强调文字颜色 5 9 2 26" xfId="3376"/>
    <cellStyle name="20% - 强调文字颜色 5 9 2 27" xfId="3377"/>
    <cellStyle name="20% - 强调文字颜色 5 9 2 3" xfId="3378"/>
    <cellStyle name="20% - 强调文字颜色 5 9 2 4" xfId="3379"/>
    <cellStyle name="20% - 强调文字颜色 5 9 2 5" xfId="3380"/>
    <cellStyle name="20% - 强调文字颜色 5 9 2 6" xfId="3381"/>
    <cellStyle name="20% - 强调文字颜色 5 9 2 7" xfId="3382"/>
    <cellStyle name="20% - 强调文字颜色 5 9 2 8" xfId="3383"/>
    <cellStyle name="20% - 强调文字颜色 5 9 2 9" xfId="3384"/>
    <cellStyle name="20% - 强调文字颜色 5 9 20" xfId="3385"/>
    <cellStyle name="20% - 强调文字颜色 5 9 21" xfId="3386"/>
    <cellStyle name="20% - 强调文字颜色 5 9 22" xfId="3387"/>
    <cellStyle name="20% - 强调文字颜色 5 9 23" xfId="3388"/>
    <cellStyle name="20% - 强调文字颜色 5 9 24" xfId="3389"/>
    <cellStyle name="20% - 强调文字颜色 5 9 25" xfId="3390"/>
    <cellStyle name="20% - 强调文字颜色 5 9 26" xfId="3391"/>
    <cellStyle name="20% - 强调文字颜色 5 9 27" xfId="3392"/>
    <cellStyle name="20% - 强调文字颜色 5 9 28" xfId="3393"/>
    <cellStyle name="20% - 强调文字颜色 5 9 3" xfId="3394"/>
    <cellStyle name="20% - 强调文字颜色 5 9 4" xfId="3395"/>
    <cellStyle name="20% - 强调文字颜色 5 9 5" xfId="3396"/>
    <cellStyle name="20% - 强调文字颜色 5 9 6" xfId="3397"/>
    <cellStyle name="20% - 强调文字颜色 5 9 7" xfId="3398"/>
    <cellStyle name="20% - 强调文字颜色 5 9 8" xfId="3399"/>
    <cellStyle name="20% - 强调文字颜色 5 9 9" xfId="3400"/>
    <cellStyle name="20% - 强调文字颜色 6 10" xfId="3401"/>
    <cellStyle name="20% - 强调文字颜色 6 10 10" xfId="3402"/>
    <cellStyle name="20% - 强调文字颜色 6 10 11" xfId="3403"/>
    <cellStyle name="20% - 强调文字颜色 6 10 12" xfId="3404"/>
    <cellStyle name="20% - 强调文字颜色 6 10 13" xfId="3405"/>
    <cellStyle name="20% - 强调文字颜色 6 10 14" xfId="3406"/>
    <cellStyle name="20% - 强调文字颜色 6 10 15" xfId="3407"/>
    <cellStyle name="20% - 强调文字颜色 6 10 16" xfId="3408"/>
    <cellStyle name="20% - 强调文字颜色 6 10 17" xfId="3409"/>
    <cellStyle name="20% - 强调文字颜色 6 10 18" xfId="3410"/>
    <cellStyle name="20% - 强调文字颜色 6 10 19" xfId="3411"/>
    <cellStyle name="20% - 强调文字颜色 6 10 2" xfId="3412"/>
    <cellStyle name="20% - 强调文字颜色 6 10 2 10" xfId="3413"/>
    <cellStyle name="20% - 强调文字颜色 6 10 2 11" xfId="3414"/>
    <cellStyle name="20% - 强调文字颜色 6 10 2 12" xfId="3415"/>
    <cellStyle name="20% - 强调文字颜色 6 10 2 13" xfId="3416"/>
    <cellStyle name="20% - 强调文字颜色 6 10 2 14" xfId="3417"/>
    <cellStyle name="20% - 强调文字颜色 6 10 2 15" xfId="3418"/>
    <cellStyle name="20% - 强调文字颜色 6 10 2 16" xfId="3419"/>
    <cellStyle name="20% - 强调文字颜色 6 10 2 17" xfId="3420"/>
    <cellStyle name="20% - 强调文字颜色 6 10 2 18" xfId="3421"/>
    <cellStyle name="20% - 强调文字颜色 6 10 2 19" xfId="3422"/>
    <cellStyle name="20% - 强调文字颜色 6 10 2 2" xfId="3423"/>
    <cellStyle name="20% - 强调文字颜色 6 10 2 20" xfId="3424"/>
    <cellStyle name="20% - 强调文字颜色 6 10 2 21" xfId="3425"/>
    <cellStyle name="20% - 强调文字颜色 6 10 2 22" xfId="3426"/>
    <cellStyle name="20% - 强调文字颜色 6 10 2 23" xfId="3427"/>
    <cellStyle name="20% - 强调文字颜色 6 10 2 24" xfId="3428"/>
    <cellStyle name="20% - 强调文字颜色 6 10 2 25" xfId="3429"/>
    <cellStyle name="20% - 强调文字颜色 6 10 2 26" xfId="3430"/>
    <cellStyle name="20% - 强调文字颜色 6 10 2 27" xfId="3431"/>
    <cellStyle name="20% - 强调文字颜色 6 10 2 3" xfId="3432"/>
    <cellStyle name="20% - 强调文字颜色 6 10 2 4" xfId="3433"/>
    <cellStyle name="20% - 强调文字颜色 6 10 2 5" xfId="3434"/>
    <cellStyle name="20% - 强调文字颜色 6 10 2 6" xfId="3435"/>
    <cellStyle name="20% - 强调文字颜色 6 10 2 7" xfId="3436"/>
    <cellStyle name="20% - 强调文字颜色 6 10 2 8" xfId="3437"/>
    <cellStyle name="20% - 强调文字颜色 6 10 2 9" xfId="3438"/>
    <cellStyle name="20% - 强调文字颜色 6 10 20" xfId="3439"/>
    <cellStyle name="20% - 强调文字颜色 6 10 21" xfId="3440"/>
    <cellStyle name="20% - 强调文字颜色 6 10 22" xfId="3441"/>
    <cellStyle name="20% - 强调文字颜色 6 10 23" xfId="3442"/>
    <cellStyle name="20% - 强调文字颜色 6 10 24" xfId="3443"/>
    <cellStyle name="20% - 强调文字颜色 6 10 25" xfId="3444"/>
    <cellStyle name="20% - 强调文字颜色 6 10 26" xfId="3445"/>
    <cellStyle name="20% - 强调文字颜色 6 10 27" xfId="3446"/>
    <cellStyle name="20% - 强调文字颜色 6 10 28" xfId="3447"/>
    <cellStyle name="20% - 强调文字颜色 6 10 3" xfId="3448"/>
    <cellStyle name="20% - 强调文字颜色 6 10 4" xfId="3449"/>
    <cellStyle name="20% - 强调文字颜色 6 10 5" xfId="3450"/>
    <cellStyle name="20% - 强调文字颜色 6 10 6" xfId="3451"/>
    <cellStyle name="20% - 强调文字颜色 6 10 7" xfId="3452"/>
    <cellStyle name="20% - 强调文字颜色 6 10 8" xfId="3453"/>
    <cellStyle name="20% - 强调文字颜色 6 10 9" xfId="3454"/>
    <cellStyle name="20% - 强调文字颜色 6 11" xfId="3455"/>
    <cellStyle name="20% - 强调文字颜色 6 11 10" xfId="3456"/>
    <cellStyle name="20% - 强调文字颜色 6 11 11" xfId="3457"/>
    <cellStyle name="20% - 强调文字颜色 6 11 12" xfId="3458"/>
    <cellStyle name="20% - 强调文字颜色 6 11 13" xfId="3459"/>
    <cellStyle name="20% - 强调文字颜色 6 11 14" xfId="3460"/>
    <cellStyle name="20% - 强调文字颜色 6 11 15" xfId="3461"/>
    <cellStyle name="20% - 强调文字颜色 6 11 16" xfId="3462"/>
    <cellStyle name="20% - 强调文字颜色 6 11 17" xfId="3463"/>
    <cellStyle name="20% - 强调文字颜色 6 11 18" xfId="3464"/>
    <cellStyle name="20% - 强调文字颜色 6 11 19" xfId="3465"/>
    <cellStyle name="20% - 强调文字颜色 6 11 2" xfId="3466"/>
    <cellStyle name="20% - 强调文字颜色 6 11 2 10" xfId="3467"/>
    <cellStyle name="20% - 强调文字颜色 6 11 2 11" xfId="3468"/>
    <cellStyle name="20% - 强调文字颜色 6 11 2 12" xfId="3469"/>
    <cellStyle name="20% - 强调文字颜色 6 11 2 13" xfId="3470"/>
    <cellStyle name="20% - 强调文字颜色 6 11 2 14" xfId="3471"/>
    <cellStyle name="20% - 强调文字颜色 6 11 2 15" xfId="3472"/>
    <cellStyle name="20% - 强调文字颜色 6 11 2 16" xfId="3473"/>
    <cellStyle name="20% - 强调文字颜色 6 11 2 17" xfId="3474"/>
    <cellStyle name="20% - 强调文字颜色 6 11 2 18" xfId="3475"/>
    <cellStyle name="20% - 强调文字颜色 6 11 2 19" xfId="3476"/>
    <cellStyle name="20% - 强调文字颜色 6 11 2 2" xfId="3477"/>
    <cellStyle name="20% - 强调文字颜色 6 11 2 20" xfId="3478"/>
    <cellStyle name="20% - 强调文字颜色 6 11 2 21" xfId="3479"/>
    <cellStyle name="20% - 强调文字颜色 6 11 2 22" xfId="3480"/>
    <cellStyle name="20% - 强调文字颜色 6 11 2 23" xfId="3481"/>
    <cellStyle name="20% - 强调文字颜色 6 11 2 24" xfId="3482"/>
    <cellStyle name="20% - 强调文字颜色 6 11 2 25" xfId="3483"/>
    <cellStyle name="20% - 强调文字颜色 6 11 2 26" xfId="3484"/>
    <cellStyle name="20% - 强调文字颜色 6 11 2 27" xfId="3485"/>
    <cellStyle name="20% - 强调文字颜色 6 11 2 3" xfId="3486"/>
    <cellStyle name="20% - 强调文字颜色 6 11 2 4" xfId="3487"/>
    <cellStyle name="20% - 强调文字颜色 6 11 2 5" xfId="3488"/>
    <cellStyle name="20% - 强调文字颜色 6 11 2 6" xfId="3489"/>
    <cellStyle name="20% - 强调文字颜色 6 11 2 7" xfId="3490"/>
    <cellStyle name="20% - 强调文字颜色 6 11 2 8" xfId="3491"/>
    <cellStyle name="20% - 强调文字颜色 6 11 2 9" xfId="3492"/>
    <cellStyle name="20% - 强调文字颜色 6 11 20" xfId="3493"/>
    <cellStyle name="20% - 强调文字颜色 6 11 21" xfId="3494"/>
    <cellStyle name="20% - 强调文字颜色 6 11 22" xfId="3495"/>
    <cellStyle name="20% - 强调文字颜色 6 11 23" xfId="3496"/>
    <cellStyle name="20% - 强调文字颜色 6 11 24" xfId="3497"/>
    <cellStyle name="20% - 强调文字颜色 6 11 25" xfId="3498"/>
    <cellStyle name="20% - 强调文字颜色 6 11 26" xfId="3499"/>
    <cellStyle name="20% - 强调文字颜色 6 11 27" xfId="3500"/>
    <cellStyle name="20% - 强调文字颜色 6 11 28" xfId="3501"/>
    <cellStyle name="20% - 强调文字颜色 6 11 3" xfId="3502"/>
    <cellStyle name="20% - 强调文字颜色 6 11 4" xfId="3503"/>
    <cellStyle name="20% - 强调文字颜色 6 11 5" xfId="3504"/>
    <cellStyle name="20% - 强调文字颜色 6 11 6" xfId="3505"/>
    <cellStyle name="20% - 强调文字颜色 6 11 7" xfId="3506"/>
    <cellStyle name="20% - 强调文字颜色 6 11 8" xfId="3507"/>
    <cellStyle name="20% - 强调文字颜色 6 11 9" xfId="3508"/>
    <cellStyle name="20% - 强调文字颜色 6 12" xfId="3509"/>
    <cellStyle name="20% - 强调文字颜色 6 13" xfId="3510"/>
    <cellStyle name="20% - 强调文字颜色 6 14" xfId="3511"/>
    <cellStyle name="20% - 强调文字颜色 6 15" xfId="3512"/>
    <cellStyle name="20% - 强调文字颜色 6 16" xfId="3513"/>
    <cellStyle name="20% - 强调文字颜色 6 17" xfId="3514"/>
    <cellStyle name="20% - 强调文字颜色 6 18" xfId="3515"/>
    <cellStyle name="20% - 强调文字颜色 6 19" xfId="3516"/>
    <cellStyle name="20% - 强调文字颜色 6 2" xfId="3517"/>
    <cellStyle name="20% - 强调文字颜色 6 2 10" xfId="3518"/>
    <cellStyle name="20% - 强调文字颜色 6 2 11" xfId="3519"/>
    <cellStyle name="20% - 强调文字颜色 6 2 12" xfId="3520"/>
    <cellStyle name="20% - 强调文字颜色 6 2 13" xfId="3521"/>
    <cellStyle name="20% - 强调文字颜色 6 2 14" xfId="3522"/>
    <cellStyle name="20% - 强调文字颜色 6 2 15" xfId="3523"/>
    <cellStyle name="20% - 强调文字颜色 6 2 16" xfId="3524"/>
    <cellStyle name="20% - 强调文字颜色 6 2 17" xfId="3525"/>
    <cellStyle name="20% - 强调文字颜色 6 2 18" xfId="3526"/>
    <cellStyle name="20% - 强调文字颜色 6 2 19" xfId="3527"/>
    <cellStyle name="20% - 强调文字颜色 6 2 2" xfId="3528"/>
    <cellStyle name="20% - 强调文字颜色 6 2 2 10" xfId="3529"/>
    <cellStyle name="20% - 强调文字颜色 6 2 2 11" xfId="3530"/>
    <cellStyle name="20% - 强调文字颜色 6 2 2 12" xfId="3531"/>
    <cellStyle name="20% - 强调文字颜色 6 2 2 13" xfId="3532"/>
    <cellStyle name="20% - 强调文字颜色 6 2 2 14" xfId="3533"/>
    <cellStyle name="20% - 强调文字颜色 6 2 2 15" xfId="3534"/>
    <cellStyle name="20% - 强调文字颜色 6 2 2 16" xfId="3535"/>
    <cellStyle name="20% - 强调文字颜色 6 2 2 17" xfId="3536"/>
    <cellStyle name="20% - 强调文字颜色 6 2 2 18" xfId="3537"/>
    <cellStyle name="20% - 强调文字颜色 6 2 2 19" xfId="3538"/>
    <cellStyle name="20% - 强调文字颜色 6 2 2 2" xfId="3539"/>
    <cellStyle name="20% - 强调文字颜色 6 2 2 2 10" xfId="3540"/>
    <cellStyle name="20% - 强调文字颜色 6 2 2 2 11" xfId="3541"/>
    <cellStyle name="20% - 强调文字颜色 6 2 2 2 12" xfId="3542"/>
    <cellStyle name="20% - 强调文字颜色 6 2 2 2 13" xfId="3543"/>
    <cellStyle name="20% - 强调文字颜色 6 2 2 2 14" xfId="3544"/>
    <cellStyle name="20% - 强调文字颜色 6 2 2 2 15" xfId="3545"/>
    <cellStyle name="20% - 强调文字颜色 6 2 2 2 16" xfId="3546"/>
    <cellStyle name="20% - 强调文字颜色 6 2 2 2 17" xfId="3547"/>
    <cellStyle name="20% - 强调文字颜色 6 2 2 2 18" xfId="3548"/>
    <cellStyle name="20% - 强调文字颜色 6 2 2 2 19" xfId="3549"/>
    <cellStyle name="20% - 强调文字颜色 6 2 2 2 2" xfId="3550"/>
    <cellStyle name="20% - 强调文字颜色 6 2 2 2 20" xfId="3551"/>
    <cellStyle name="20% - 强调文字颜色 6 2 2 2 21" xfId="3552"/>
    <cellStyle name="20% - 强调文字颜色 6 2 2 2 22" xfId="3553"/>
    <cellStyle name="20% - 强调文字颜色 6 2 2 2 23" xfId="3554"/>
    <cellStyle name="20% - 强调文字颜色 6 2 2 2 24" xfId="3555"/>
    <cellStyle name="20% - 强调文字颜色 6 2 2 2 25" xfId="3556"/>
    <cellStyle name="20% - 强调文字颜色 6 2 2 2 26" xfId="3557"/>
    <cellStyle name="20% - 强调文字颜色 6 2 2 2 27" xfId="3558"/>
    <cellStyle name="20% - 强调文字颜色 6 2 2 2 3" xfId="3559"/>
    <cellStyle name="20% - 强调文字颜色 6 2 2 2 4" xfId="3560"/>
    <cellStyle name="20% - 强调文字颜色 6 2 2 2 5" xfId="3561"/>
    <cellStyle name="20% - 强调文字颜色 6 2 2 2 6" xfId="3562"/>
    <cellStyle name="20% - 强调文字颜色 6 2 2 2 7" xfId="3563"/>
    <cellStyle name="20% - 强调文字颜色 6 2 2 2 8" xfId="3564"/>
    <cellStyle name="20% - 强调文字颜色 6 2 2 2 9" xfId="3565"/>
    <cellStyle name="20% - 强调文字颜色 6 2 2 20" xfId="3566"/>
    <cellStyle name="20% - 强调文字颜色 6 2 2 21" xfId="3567"/>
    <cellStyle name="20% - 强调文字颜色 6 2 2 22" xfId="3568"/>
    <cellStyle name="20% - 强调文字颜色 6 2 2 23" xfId="3569"/>
    <cellStyle name="20% - 强调文字颜色 6 2 2 24" xfId="3570"/>
    <cellStyle name="20% - 强调文字颜色 6 2 2 25" xfId="3571"/>
    <cellStyle name="20% - 强调文字颜色 6 2 2 26" xfId="3572"/>
    <cellStyle name="20% - 强调文字颜色 6 2 2 27" xfId="3573"/>
    <cellStyle name="20% - 强调文字颜色 6 2 2 28" xfId="3574"/>
    <cellStyle name="20% - 强调文字颜色 6 2 2 3" xfId="3575"/>
    <cellStyle name="20% - 强调文字颜色 6 2 2 4" xfId="3576"/>
    <cellStyle name="20% - 强调文字颜色 6 2 2 5" xfId="3577"/>
    <cellStyle name="20% - 强调文字颜色 6 2 2 6" xfId="3578"/>
    <cellStyle name="20% - 强调文字颜色 6 2 2 7" xfId="3579"/>
    <cellStyle name="20% - 强调文字颜色 6 2 2 8" xfId="3580"/>
    <cellStyle name="20% - 强调文字颜色 6 2 2 9" xfId="3581"/>
    <cellStyle name="20% - 强调文字颜色 6 2 20" xfId="3582"/>
    <cellStyle name="20% - 强调文字颜色 6 2 21" xfId="3583"/>
    <cellStyle name="20% - 强调文字颜色 6 2 22" xfId="3584"/>
    <cellStyle name="20% - 强调文字颜色 6 2 23" xfId="3585"/>
    <cellStyle name="20% - 强调文字颜色 6 2 24" xfId="3586"/>
    <cellStyle name="20% - 强调文字颜色 6 2 25" xfId="3587"/>
    <cellStyle name="20% - 强调文字颜色 6 2 26" xfId="3588"/>
    <cellStyle name="20% - 强调文字颜色 6 2 27" xfId="3589"/>
    <cellStyle name="20% - 强调文字颜色 6 2 28" xfId="3590"/>
    <cellStyle name="20% - 强调文字颜色 6 2 29" xfId="3591"/>
    <cellStyle name="20% - 强调文字颜色 6 2 3" xfId="3592"/>
    <cellStyle name="20% - 强调文字颜色 6 2 3 10" xfId="3593"/>
    <cellStyle name="20% - 强调文字颜色 6 2 3 11" xfId="3594"/>
    <cellStyle name="20% - 强调文字颜色 6 2 3 12" xfId="3595"/>
    <cellStyle name="20% - 强调文字颜色 6 2 3 13" xfId="3596"/>
    <cellStyle name="20% - 强调文字颜色 6 2 3 14" xfId="3597"/>
    <cellStyle name="20% - 强调文字颜色 6 2 3 15" xfId="3598"/>
    <cellStyle name="20% - 强调文字颜色 6 2 3 16" xfId="3599"/>
    <cellStyle name="20% - 强调文字颜色 6 2 3 17" xfId="3600"/>
    <cellStyle name="20% - 强调文字颜色 6 2 3 18" xfId="3601"/>
    <cellStyle name="20% - 强调文字颜色 6 2 3 19" xfId="3602"/>
    <cellStyle name="20% - 强调文字颜色 6 2 3 2" xfId="3603"/>
    <cellStyle name="20% - 强调文字颜色 6 2 3 2 10" xfId="3604"/>
    <cellStyle name="20% - 强调文字颜色 6 2 3 2 11" xfId="3605"/>
    <cellStyle name="20% - 强调文字颜色 6 2 3 2 12" xfId="3606"/>
    <cellStyle name="20% - 强调文字颜色 6 2 3 2 13" xfId="3607"/>
    <cellStyle name="20% - 强调文字颜色 6 2 3 2 14" xfId="3608"/>
    <cellStyle name="20% - 强调文字颜色 6 2 3 2 15" xfId="3609"/>
    <cellStyle name="20% - 强调文字颜色 6 2 3 2 16" xfId="3610"/>
    <cellStyle name="20% - 强调文字颜色 6 2 3 2 17" xfId="3611"/>
    <cellStyle name="20% - 强调文字颜色 6 2 3 2 18" xfId="3612"/>
    <cellStyle name="20% - 强调文字颜色 6 2 3 2 19" xfId="3613"/>
    <cellStyle name="20% - 强调文字颜色 6 2 3 2 2" xfId="3614"/>
    <cellStyle name="20% - 强调文字颜色 6 2 3 2 20" xfId="3615"/>
    <cellStyle name="20% - 强调文字颜色 6 2 3 2 21" xfId="3616"/>
    <cellStyle name="20% - 强调文字颜色 6 2 3 2 22" xfId="3617"/>
    <cellStyle name="20% - 强调文字颜色 6 2 3 2 23" xfId="3618"/>
    <cellStyle name="20% - 强调文字颜色 6 2 3 2 24" xfId="3619"/>
    <cellStyle name="20% - 强调文字颜色 6 2 3 2 25" xfId="3620"/>
    <cellStyle name="20% - 强调文字颜色 6 2 3 2 26" xfId="3621"/>
    <cellStyle name="20% - 强调文字颜色 6 2 3 2 27" xfId="3622"/>
    <cellStyle name="20% - 强调文字颜色 6 2 3 2 3" xfId="3623"/>
    <cellStyle name="20% - 强调文字颜色 6 2 3 2 4" xfId="3624"/>
    <cellStyle name="20% - 强调文字颜色 6 2 3 2 5" xfId="3625"/>
    <cellStyle name="20% - 强调文字颜色 6 2 3 2 6" xfId="3626"/>
    <cellStyle name="20% - 强调文字颜色 6 2 3 2 7" xfId="3627"/>
    <cellStyle name="20% - 强调文字颜色 6 2 3 2 8" xfId="3628"/>
    <cellStyle name="20% - 强调文字颜色 6 2 3 2 9" xfId="3629"/>
    <cellStyle name="20% - 强调文字颜色 6 2 3 20" xfId="3630"/>
    <cellStyle name="20% - 强调文字颜色 6 2 3 21" xfId="3631"/>
    <cellStyle name="20% - 强调文字颜色 6 2 3 22" xfId="3632"/>
    <cellStyle name="20% - 强调文字颜色 6 2 3 23" xfId="3633"/>
    <cellStyle name="20% - 强调文字颜色 6 2 3 24" xfId="3634"/>
    <cellStyle name="20% - 强调文字颜色 6 2 3 25" xfId="3635"/>
    <cellStyle name="20% - 强调文字颜色 6 2 3 26" xfId="3636"/>
    <cellStyle name="20% - 强调文字颜色 6 2 3 27" xfId="3637"/>
    <cellStyle name="20% - 强调文字颜色 6 2 3 28" xfId="3638"/>
    <cellStyle name="20% - 强调文字颜色 6 2 3 3" xfId="3639"/>
    <cellStyle name="20% - 强调文字颜色 6 2 3 4" xfId="3640"/>
    <cellStyle name="20% - 强调文字颜色 6 2 3 5" xfId="3641"/>
    <cellStyle name="20% - 强调文字颜色 6 2 3 6" xfId="3642"/>
    <cellStyle name="20% - 强调文字颜色 6 2 3 7" xfId="3643"/>
    <cellStyle name="20% - 强调文字颜色 6 2 3 8" xfId="3644"/>
    <cellStyle name="20% - 强调文字颜色 6 2 3 9" xfId="3645"/>
    <cellStyle name="20% - 强调文字颜色 6 2 30" xfId="3646"/>
    <cellStyle name="20% - 强调文字颜色 6 2 31" xfId="3647"/>
    <cellStyle name="20% - 强调文字颜色 6 2 32" xfId="3648"/>
    <cellStyle name="20% - 强调文字颜色 6 2 33" xfId="3649"/>
    <cellStyle name="20% - 强调文字颜色 6 2 4" xfId="3650"/>
    <cellStyle name="20% - 强调文字颜色 6 2 4 10" xfId="3651"/>
    <cellStyle name="20% - 强调文字颜色 6 2 4 11" xfId="3652"/>
    <cellStyle name="20% - 强调文字颜色 6 2 4 12" xfId="3653"/>
    <cellStyle name="20% - 强调文字颜色 6 2 4 13" xfId="3654"/>
    <cellStyle name="20% - 强调文字颜色 6 2 4 14" xfId="3655"/>
    <cellStyle name="20% - 强调文字颜色 6 2 4 15" xfId="3656"/>
    <cellStyle name="20% - 强调文字颜色 6 2 4 16" xfId="3657"/>
    <cellStyle name="20% - 强调文字颜色 6 2 4 17" xfId="3658"/>
    <cellStyle name="20% - 强调文字颜色 6 2 4 18" xfId="3659"/>
    <cellStyle name="20% - 强调文字颜色 6 2 4 19" xfId="3660"/>
    <cellStyle name="20% - 强调文字颜色 6 2 4 2" xfId="3661"/>
    <cellStyle name="20% - 强调文字颜色 6 2 4 20" xfId="3662"/>
    <cellStyle name="20% - 强调文字颜色 6 2 4 21" xfId="3663"/>
    <cellStyle name="20% - 强调文字颜色 6 2 4 22" xfId="3664"/>
    <cellStyle name="20% - 强调文字颜色 6 2 4 23" xfId="3665"/>
    <cellStyle name="20% - 强调文字颜色 6 2 4 24" xfId="3666"/>
    <cellStyle name="20% - 强调文字颜色 6 2 4 25" xfId="3667"/>
    <cellStyle name="20% - 强调文字颜色 6 2 4 26" xfId="3668"/>
    <cellStyle name="20% - 强调文字颜色 6 2 4 27" xfId="3669"/>
    <cellStyle name="20% - 强调文字颜色 6 2 4 3" xfId="3670"/>
    <cellStyle name="20% - 强调文字颜色 6 2 4 4" xfId="3671"/>
    <cellStyle name="20% - 强调文字颜色 6 2 4 5" xfId="3672"/>
    <cellStyle name="20% - 强调文字颜色 6 2 4 6" xfId="3673"/>
    <cellStyle name="20% - 强调文字颜色 6 2 4 7" xfId="3674"/>
    <cellStyle name="20% - 强调文字颜色 6 2 4 8" xfId="3675"/>
    <cellStyle name="20% - 强调文字颜色 6 2 4 9" xfId="3676"/>
    <cellStyle name="20% - 强调文字颜色 6 2 5" xfId="3677"/>
    <cellStyle name="20% - 强调文字颜色 6 2 6" xfId="3678"/>
    <cellStyle name="20% - 强调文字颜色 6 2 7" xfId="3679"/>
    <cellStyle name="20% - 强调文字颜色 6 2 8" xfId="3680"/>
    <cellStyle name="20% - 强调文字颜色 6 2 9" xfId="3681"/>
    <cellStyle name="20% - 强调文字颜色 6 20" xfId="3682"/>
    <cellStyle name="20% - 强调文字颜色 6 21" xfId="3683"/>
    <cellStyle name="20% - 强调文字颜色 6 22" xfId="3684"/>
    <cellStyle name="20% - 强调文字颜色 6 23" xfId="3685"/>
    <cellStyle name="20% - 强调文字颜色 6 24" xfId="3686"/>
    <cellStyle name="20% - 强调文字颜色 6 25" xfId="3687"/>
    <cellStyle name="20% - 强调文字颜色 6 26" xfId="3688"/>
    <cellStyle name="20% - 强调文字颜色 6 27" xfId="3689"/>
    <cellStyle name="20% - 强调文字颜色 6 28" xfId="3690"/>
    <cellStyle name="20% - 强调文字颜色 6 29" xfId="3691"/>
    <cellStyle name="20% - 强调文字颜色 6 3" xfId="3692"/>
    <cellStyle name="20% - 强调文字颜色 6 3 10" xfId="3693"/>
    <cellStyle name="20% - 强调文字颜色 6 3 11" xfId="3694"/>
    <cellStyle name="20% - 强调文字颜色 6 3 12" xfId="3695"/>
    <cellStyle name="20% - 强调文字颜色 6 3 13" xfId="3696"/>
    <cellStyle name="20% - 强调文字颜色 6 3 14" xfId="3697"/>
    <cellStyle name="20% - 强调文字颜色 6 3 15" xfId="3698"/>
    <cellStyle name="20% - 强调文字颜色 6 3 16" xfId="3699"/>
    <cellStyle name="20% - 强调文字颜色 6 3 17" xfId="3700"/>
    <cellStyle name="20% - 强调文字颜色 6 3 18" xfId="3701"/>
    <cellStyle name="20% - 强调文字颜色 6 3 19" xfId="3702"/>
    <cellStyle name="20% - 强调文字颜色 6 3 2" xfId="3703"/>
    <cellStyle name="20% - 强调文字颜色 6 3 2 10" xfId="3704"/>
    <cellStyle name="20% - 强调文字颜色 6 3 2 11" xfId="3705"/>
    <cellStyle name="20% - 强调文字颜色 6 3 2 12" xfId="3706"/>
    <cellStyle name="20% - 强调文字颜色 6 3 2 13" xfId="3707"/>
    <cellStyle name="20% - 强调文字颜色 6 3 2 14" xfId="3708"/>
    <cellStyle name="20% - 强调文字颜色 6 3 2 15" xfId="3709"/>
    <cellStyle name="20% - 强调文字颜色 6 3 2 16" xfId="3710"/>
    <cellStyle name="20% - 强调文字颜色 6 3 2 17" xfId="3711"/>
    <cellStyle name="20% - 强调文字颜色 6 3 2 18" xfId="3712"/>
    <cellStyle name="20% - 强调文字颜色 6 3 2 19" xfId="3713"/>
    <cellStyle name="20% - 强调文字颜色 6 3 2 2" xfId="3714"/>
    <cellStyle name="20% - 强调文字颜色 6 3 2 20" xfId="3715"/>
    <cellStyle name="20% - 强调文字颜色 6 3 2 21" xfId="3716"/>
    <cellStyle name="20% - 强调文字颜色 6 3 2 22" xfId="3717"/>
    <cellStyle name="20% - 强调文字颜色 6 3 2 23" xfId="3718"/>
    <cellStyle name="20% - 强调文字颜色 6 3 2 24" xfId="3719"/>
    <cellStyle name="20% - 强调文字颜色 6 3 2 25" xfId="3720"/>
    <cellStyle name="20% - 强调文字颜色 6 3 2 26" xfId="3721"/>
    <cellStyle name="20% - 强调文字颜色 6 3 2 27" xfId="3722"/>
    <cellStyle name="20% - 强调文字颜色 6 3 2 3" xfId="3723"/>
    <cellStyle name="20% - 强调文字颜色 6 3 2 4" xfId="3724"/>
    <cellStyle name="20% - 强调文字颜色 6 3 2 5" xfId="3725"/>
    <cellStyle name="20% - 强调文字颜色 6 3 2 6" xfId="3726"/>
    <cellStyle name="20% - 强调文字颜色 6 3 2 7" xfId="3727"/>
    <cellStyle name="20% - 强调文字颜色 6 3 2 8" xfId="3728"/>
    <cellStyle name="20% - 强调文字颜色 6 3 2 9" xfId="3729"/>
    <cellStyle name="20% - 强调文字颜色 6 3 20" xfId="3730"/>
    <cellStyle name="20% - 强调文字颜色 6 3 21" xfId="3731"/>
    <cellStyle name="20% - 强调文字颜色 6 3 22" xfId="3732"/>
    <cellStyle name="20% - 强调文字颜色 6 3 23" xfId="3733"/>
    <cellStyle name="20% - 强调文字颜色 6 3 24" xfId="3734"/>
    <cellStyle name="20% - 强调文字颜色 6 3 25" xfId="3735"/>
    <cellStyle name="20% - 强调文字颜色 6 3 26" xfId="3736"/>
    <cellStyle name="20% - 强调文字颜色 6 3 27" xfId="3737"/>
    <cellStyle name="20% - 强调文字颜色 6 3 28" xfId="3738"/>
    <cellStyle name="20% - 强调文字颜色 6 3 3" xfId="3739"/>
    <cellStyle name="20% - 强调文字颜色 6 3 4" xfId="3740"/>
    <cellStyle name="20% - 强调文字颜色 6 3 5" xfId="3741"/>
    <cellStyle name="20% - 强调文字颜色 6 3 6" xfId="3742"/>
    <cellStyle name="20% - 强调文字颜色 6 3 7" xfId="3743"/>
    <cellStyle name="20% - 强调文字颜色 6 3 8" xfId="3744"/>
    <cellStyle name="20% - 强调文字颜色 6 3 9" xfId="3745"/>
    <cellStyle name="20% - 强调文字颜色 6 30" xfId="3746"/>
    <cellStyle name="20% - 强调文字颜色 6 31" xfId="3747"/>
    <cellStyle name="20% - 强调文字颜色 6 32" xfId="3748"/>
    <cellStyle name="20% - 强调文字颜色 6 33" xfId="3749"/>
    <cellStyle name="20% - 强调文字颜色 6 34" xfId="3750"/>
    <cellStyle name="20% - 强调文字颜色 6 35" xfId="3751"/>
    <cellStyle name="20% - 强调文字颜色 6 36" xfId="3752"/>
    <cellStyle name="20% - 强调文字颜色 6 37" xfId="3753"/>
    <cellStyle name="20% - 强调文字颜色 6 38" xfId="3754"/>
    <cellStyle name="20% - 强调文字颜色 6 39" xfId="3755"/>
    <cellStyle name="20% - 强调文字颜色 6 4" xfId="3756"/>
    <cellStyle name="20% - 强调文字颜色 6 4 10" xfId="3757"/>
    <cellStyle name="20% - 强调文字颜色 6 4 11" xfId="3758"/>
    <cellStyle name="20% - 强调文字颜色 6 4 12" xfId="3759"/>
    <cellStyle name="20% - 强调文字颜色 6 4 13" xfId="3760"/>
    <cellStyle name="20% - 强调文字颜色 6 4 14" xfId="3761"/>
    <cellStyle name="20% - 强调文字颜色 6 4 15" xfId="3762"/>
    <cellStyle name="20% - 强调文字颜色 6 4 16" xfId="3763"/>
    <cellStyle name="20% - 强调文字颜色 6 4 17" xfId="3764"/>
    <cellStyle name="20% - 强调文字颜色 6 4 18" xfId="3765"/>
    <cellStyle name="20% - 强调文字颜色 6 4 19" xfId="3766"/>
    <cellStyle name="20% - 强调文字颜色 6 4 2" xfId="3767"/>
    <cellStyle name="20% - 强调文字颜色 6 4 2 10" xfId="3768"/>
    <cellStyle name="20% - 强调文字颜色 6 4 2 11" xfId="3769"/>
    <cellStyle name="20% - 强调文字颜色 6 4 2 12" xfId="3770"/>
    <cellStyle name="20% - 强调文字颜色 6 4 2 13" xfId="3771"/>
    <cellStyle name="20% - 强调文字颜色 6 4 2 14" xfId="3772"/>
    <cellStyle name="20% - 强调文字颜色 6 4 2 15" xfId="3773"/>
    <cellStyle name="20% - 强调文字颜色 6 4 2 16" xfId="3774"/>
    <cellStyle name="20% - 强调文字颜色 6 4 2 17" xfId="3775"/>
    <cellStyle name="20% - 强调文字颜色 6 4 2 18" xfId="3776"/>
    <cellStyle name="20% - 强调文字颜色 6 4 2 19" xfId="3777"/>
    <cellStyle name="20% - 强调文字颜色 6 4 2 2" xfId="3778"/>
    <cellStyle name="20% - 强调文字颜色 6 4 2 20" xfId="3779"/>
    <cellStyle name="20% - 强调文字颜色 6 4 2 21" xfId="3780"/>
    <cellStyle name="20% - 强调文字颜色 6 4 2 22" xfId="3781"/>
    <cellStyle name="20% - 强调文字颜色 6 4 2 23" xfId="3782"/>
    <cellStyle name="20% - 强调文字颜色 6 4 2 24" xfId="3783"/>
    <cellStyle name="20% - 强调文字颜色 6 4 2 25" xfId="3784"/>
    <cellStyle name="20% - 强调文字颜色 6 4 2 26" xfId="3785"/>
    <cellStyle name="20% - 强调文字颜色 6 4 2 27" xfId="3786"/>
    <cellStyle name="20% - 强调文字颜色 6 4 2 3" xfId="3787"/>
    <cellStyle name="20% - 强调文字颜色 6 4 2 4" xfId="3788"/>
    <cellStyle name="20% - 强调文字颜色 6 4 2 5" xfId="3789"/>
    <cellStyle name="20% - 强调文字颜色 6 4 2 6" xfId="3790"/>
    <cellStyle name="20% - 强调文字颜色 6 4 2 7" xfId="3791"/>
    <cellStyle name="20% - 强调文字颜色 6 4 2 8" xfId="3792"/>
    <cellStyle name="20% - 强调文字颜色 6 4 2 9" xfId="3793"/>
    <cellStyle name="20% - 强调文字颜色 6 4 20" xfId="3794"/>
    <cellStyle name="20% - 强调文字颜色 6 4 21" xfId="3795"/>
    <cellStyle name="20% - 强调文字颜色 6 4 22" xfId="3796"/>
    <cellStyle name="20% - 强调文字颜色 6 4 23" xfId="3797"/>
    <cellStyle name="20% - 强调文字颜色 6 4 24" xfId="3798"/>
    <cellStyle name="20% - 强调文字颜色 6 4 25" xfId="3799"/>
    <cellStyle name="20% - 强调文字颜色 6 4 26" xfId="3800"/>
    <cellStyle name="20% - 强调文字颜色 6 4 27" xfId="3801"/>
    <cellStyle name="20% - 强调文字颜色 6 4 28" xfId="3802"/>
    <cellStyle name="20% - 强调文字颜色 6 4 3" xfId="3803"/>
    <cellStyle name="20% - 强调文字颜色 6 4 4" xfId="3804"/>
    <cellStyle name="20% - 强调文字颜色 6 4 5" xfId="3805"/>
    <cellStyle name="20% - 强调文字颜色 6 4 6" xfId="3806"/>
    <cellStyle name="20% - 强调文字颜色 6 4 7" xfId="3807"/>
    <cellStyle name="20% - 强调文字颜色 6 4 8" xfId="3808"/>
    <cellStyle name="20% - 强调文字颜色 6 4 9" xfId="3809"/>
    <cellStyle name="20% - 强调文字颜色 6 40" xfId="3810"/>
    <cellStyle name="20% - 强调文字颜色 6 5" xfId="3811"/>
    <cellStyle name="20% - 强调文字颜色 6 5 10" xfId="3812"/>
    <cellStyle name="20% - 强调文字颜色 6 5 11" xfId="3813"/>
    <cellStyle name="20% - 强调文字颜色 6 5 12" xfId="3814"/>
    <cellStyle name="20% - 强调文字颜色 6 5 13" xfId="3815"/>
    <cellStyle name="20% - 强调文字颜色 6 5 14" xfId="3816"/>
    <cellStyle name="20% - 强调文字颜色 6 5 15" xfId="3817"/>
    <cellStyle name="20% - 强调文字颜色 6 5 16" xfId="3818"/>
    <cellStyle name="20% - 强调文字颜色 6 5 17" xfId="3819"/>
    <cellStyle name="20% - 强调文字颜色 6 5 18" xfId="3820"/>
    <cellStyle name="20% - 强调文字颜色 6 5 19" xfId="3821"/>
    <cellStyle name="20% - 强调文字颜色 6 5 2" xfId="3822"/>
    <cellStyle name="20% - 强调文字颜色 6 5 2 10" xfId="3823"/>
    <cellStyle name="20% - 强调文字颜色 6 5 2 11" xfId="3824"/>
    <cellStyle name="20% - 强调文字颜色 6 5 2 12" xfId="3825"/>
    <cellStyle name="20% - 强调文字颜色 6 5 2 13" xfId="3826"/>
    <cellStyle name="20% - 强调文字颜色 6 5 2 14" xfId="3827"/>
    <cellStyle name="20% - 强调文字颜色 6 5 2 15" xfId="3828"/>
    <cellStyle name="20% - 强调文字颜色 6 5 2 16" xfId="3829"/>
    <cellStyle name="20% - 强调文字颜色 6 5 2 17" xfId="3830"/>
    <cellStyle name="20% - 强调文字颜色 6 5 2 18" xfId="3831"/>
    <cellStyle name="20% - 强调文字颜色 6 5 2 19" xfId="3832"/>
    <cellStyle name="20% - 强调文字颜色 6 5 2 2" xfId="3833"/>
    <cellStyle name="20% - 强调文字颜色 6 5 2 20" xfId="3834"/>
    <cellStyle name="20% - 强调文字颜色 6 5 2 21" xfId="3835"/>
    <cellStyle name="20% - 强调文字颜色 6 5 2 22" xfId="3836"/>
    <cellStyle name="20% - 强调文字颜色 6 5 2 23" xfId="3837"/>
    <cellStyle name="20% - 强调文字颜色 6 5 2 24" xfId="3838"/>
    <cellStyle name="20% - 强调文字颜色 6 5 2 25" xfId="3839"/>
    <cellStyle name="20% - 强调文字颜色 6 5 2 26" xfId="3840"/>
    <cellStyle name="20% - 强调文字颜色 6 5 2 27" xfId="3841"/>
    <cellStyle name="20% - 强调文字颜色 6 5 2 3" xfId="3842"/>
    <cellStyle name="20% - 强调文字颜色 6 5 2 4" xfId="3843"/>
    <cellStyle name="20% - 强调文字颜色 6 5 2 5" xfId="3844"/>
    <cellStyle name="20% - 强调文字颜色 6 5 2 6" xfId="3845"/>
    <cellStyle name="20% - 强调文字颜色 6 5 2 7" xfId="3846"/>
    <cellStyle name="20% - 强调文字颜色 6 5 2 8" xfId="3847"/>
    <cellStyle name="20% - 强调文字颜色 6 5 2 9" xfId="3848"/>
    <cellStyle name="20% - 强调文字颜色 6 5 20" xfId="3849"/>
    <cellStyle name="20% - 强调文字颜色 6 5 21" xfId="3850"/>
    <cellStyle name="20% - 强调文字颜色 6 5 22" xfId="3851"/>
    <cellStyle name="20% - 强调文字颜色 6 5 23" xfId="3852"/>
    <cellStyle name="20% - 强调文字颜色 6 5 24" xfId="3853"/>
    <cellStyle name="20% - 强调文字颜色 6 5 25" xfId="3854"/>
    <cellStyle name="20% - 强调文字颜色 6 5 26" xfId="3855"/>
    <cellStyle name="20% - 强调文字颜色 6 5 27" xfId="3856"/>
    <cellStyle name="20% - 强调文字颜色 6 5 28" xfId="3857"/>
    <cellStyle name="20% - 强调文字颜色 6 5 3" xfId="3858"/>
    <cellStyle name="20% - 强调文字颜色 6 5 4" xfId="3859"/>
    <cellStyle name="20% - 强调文字颜色 6 5 5" xfId="3860"/>
    <cellStyle name="20% - 强调文字颜色 6 5 6" xfId="3861"/>
    <cellStyle name="20% - 强调文字颜色 6 5 7" xfId="3862"/>
    <cellStyle name="20% - 强调文字颜色 6 5 8" xfId="3863"/>
    <cellStyle name="20% - 强调文字颜色 6 5 9" xfId="3864"/>
    <cellStyle name="20% - 强调文字颜色 6 6" xfId="3865"/>
    <cellStyle name="20% - 强调文字颜色 6 6 10" xfId="3866"/>
    <cellStyle name="20% - 强调文字颜色 6 6 11" xfId="3867"/>
    <cellStyle name="20% - 强调文字颜色 6 6 12" xfId="3868"/>
    <cellStyle name="20% - 强调文字颜色 6 6 13" xfId="3869"/>
    <cellStyle name="20% - 强调文字颜色 6 6 14" xfId="3870"/>
    <cellStyle name="20% - 强调文字颜色 6 6 15" xfId="3871"/>
    <cellStyle name="20% - 强调文字颜色 6 6 16" xfId="3872"/>
    <cellStyle name="20% - 强调文字颜色 6 6 17" xfId="3873"/>
    <cellStyle name="20% - 强调文字颜色 6 6 18" xfId="3874"/>
    <cellStyle name="20% - 强调文字颜色 6 6 19" xfId="3875"/>
    <cellStyle name="20% - 强调文字颜色 6 6 2" xfId="3876"/>
    <cellStyle name="20% - 强调文字颜色 6 6 2 10" xfId="3877"/>
    <cellStyle name="20% - 强调文字颜色 6 6 2 11" xfId="3878"/>
    <cellStyle name="20% - 强调文字颜色 6 6 2 12" xfId="3879"/>
    <cellStyle name="20% - 强调文字颜色 6 6 2 13" xfId="3880"/>
    <cellStyle name="20% - 强调文字颜色 6 6 2 14" xfId="3881"/>
    <cellStyle name="20% - 强调文字颜色 6 6 2 15" xfId="3882"/>
    <cellStyle name="20% - 强调文字颜色 6 6 2 16" xfId="3883"/>
    <cellStyle name="20% - 强调文字颜色 6 6 2 17" xfId="3884"/>
    <cellStyle name="20% - 强调文字颜色 6 6 2 18" xfId="3885"/>
    <cellStyle name="20% - 强调文字颜色 6 6 2 19" xfId="3886"/>
    <cellStyle name="20% - 强调文字颜色 6 6 2 2" xfId="3887"/>
    <cellStyle name="20% - 强调文字颜色 6 6 2 20" xfId="3888"/>
    <cellStyle name="20% - 强调文字颜色 6 6 2 21" xfId="3889"/>
    <cellStyle name="20% - 强调文字颜色 6 6 2 22" xfId="3890"/>
    <cellStyle name="20% - 强调文字颜色 6 6 2 23" xfId="3891"/>
    <cellStyle name="20% - 强调文字颜色 6 6 2 24" xfId="3892"/>
    <cellStyle name="20% - 强调文字颜色 6 6 2 25" xfId="3893"/>
    <cellStyle name="20% - 强调文字颜色 6 6 2 26" xfId="3894"/>
    <cellStyle name="20% - 强调文字颜色 6 6 2 27" xfId="3895"/>
    <cellStyle name="20% - 强调文字颜色 6 6 2 3" xfId="3896"/>
    <cellStyle name="20% - 强调文字颜色 6 6 2 4" xfId="3897"/>
    <cellStyle name="20% - 强调文字颜色 6 6 2 5" xfId="3898"/>
    <cellStyle name="20% - 强调文字颜色 6 6 2 6" xfId="3899"/>
    <cellStyle name="20% - 强调文字颜色 6 6 2 7" xfId="3900"/>
    <cellStyle name="20% - 强调文字颜色 6 6 2 8" xfId="3901"/>
    <cellStyle name="20% - 强调文字颜色 6 6 2 9" xfId="3902"/>
    <cellStyle name="20% - 强调文字颜色 6 6 20" xfId="3903"/>
    <cellStyle name="20% - 强调文字颜色 6 6 21" xfId="3904"/>
    <cellStyle name="20% - 强调文字颜色 6 6 22" xfId="3905"/>
    <cellStyle name="20% - 强调文字颜色 6 6 23" xfId="3906"/>
    <cellStyle name="20% - 强调文字颜色 6 6 24" xfId="3907"/>
    <cellStyle name="20% - 强调文字颜色 6 6 25" xfId="3908"/>
    <cellStyle name="20% - 强调文字颜色 6 6 26" xfId="3909"/>
    <cellStyle name="20% - 强调文字颜色 6 6 27" xfId="3910"/>
    <cellStyle name="20% - 强调文字颜色 6 6 28" xfId="3911"/>
    <cellStyle name="20% - 强调文字颜色 6 6 3" xfId="3912"/>
    <cellStyle name="20% - 强调文字颜色 6 6 4" xfId="3913"/>
    <cellStyle name="20% - 强调文字颜色 6 6 5" xfId="3914"/>
    <cellStyle name="20% - 强调文字颜色 6 6 6" xfId="3915"/>
    <cellStyle name="20% - 强调文字颜色 6 6 7" xfId="3916"/>
    <cellStyle name="20% - 强调文字颜色 6 6 8" xfId="3917"/>
    <cellStyle name="20% - 强调文字颜色 6 6 9" xfId="3918"/>
    <cellStyle name="20% - 强调文字颜色 6 7" xfId="3919"/>
    <cellStyle name="20% - 强调文字颜色 6 7 10" xfId="3920"/>
    <cellStyle name="20% - 强调文字颜色 6 7 11" xfId="3921"/>
    <cellStyle name="20% - 强调文字颜色 6 7 12" xfId="3922"/>
    <cellStyle name="20% - 强调文字颜色 6 7 13" xfId="3923"/>
    <cellStyle name="20% - 强调文字颜色 6 7 14" xfId="3924"/>
    <cellStyle name="20% - 强调文字颜色 6 7 15" xfId="3925"/>
    <cellStyle name="20% - 强调文字颜色 6 7 16" xfId="3926"/>
    <cellStyle name="20% - 强调文字颜色 6 7 17" xfId="3927"/>
    <cellStyle name="20% - 强调文字颜色 6 7 18" xfId="3928"/>
    <cellStyle name="20% - 强调文字颜色 6 7 19" xfId="3929"/>
    <cellStyle name="20% - 强调文字颜色 6 7 2" xfId="3930"/>
    <cellStyle name="20% - 强调文字颜色 6 7 2 10" xfId="3931"/>
    <cellStyle name="20% - 强调文字颜色 6 7 2 11" xfId="3932"/>
    <cellStyle name="20% - 强调文字颜色 6 7 2 12" xfId="3933"/>
    <cellStyle name="20% - 强调文字颜色 6 7 2 13" xfId="3934"/>
    <cellStyle name="20% - 强调文字颜色 6 7 2 14" xfId="3935"/>
    <cellStyle name="20% - 强调文字颜色 6 7 2 15" xfId="3936"/>
    <cellStyle name="20% - 强调文字颜色 6 7 2 16" xfId="3937"/>
    <cellStyle name="20% - 强调文字颜色 6 7 2 17" xfId="3938"/>
    <cellStyle name="20% - 强调文字颜色 6 7 2 18" xfId="3939"/>
    <cellStyle name="20% - 强调文字颜色 6 7 2 19" xfId="3940"/>
    <cellStyle name="20% - 强调文字颜色 6 7 2 2" xfId="3941"/>
    <cellStyle name="20% - 强调文字颜色 6 7 2 20" xfId="3942"/>
    <cellStyle name="20% - 强调文字颜色 6 7 2 21" xfId="3943"/>
    <cellStyle name="20% - 强调文字颜色 6 7 2 22" xfId="3944"/>
    <cellStyle name="20% - 强调文字颜色 6 7 2 23" xfId="3945"/>
    <cellStyle name="20% - 强调文字颜色 6 7 2 24" xfId="3946"/>
    <cellStyle name="20% - 强调文字颜色 6 7 2 25" xfId="3947"/>
    <cellStyle name="20% - 强调文字颜色 6 7 2 26" xfId="3948"/>
    <cellStyle name="20% - 强调文字颜色 6 7 2 27" xfId="3949"/>
    <cellStyle name="20% - 强调文字颜色 6 7 2 3" xfId="3950"/>
    <cellStyle name="20% - 强调文字颜色 6 7 2 4" xfId="3951"/>
    <cellStyle name="20% - 强调文字颜色 6 7 2 5" xfId="3952"/>
    <cellStyle name="20% - 强调文字颜色 6 7 2 6" xfId="3953"/>
    <cellStyle name="20% - 强调文字颜色 6 7 2 7" xfId="3954"/>
    <cellStyle name="20% - 强调文字颜色 6 7 2 8" xfId="3955"/>
    <cellStyle name="20% - 强调文字颜色 6 7 2 9" xfId="3956"/>
    <cellStyle name="20% - 强调文字颜色 6 7 20" xfId="3957"/>
    <cellStyle name="20% - 强调文字颜色 6 7 21" xfId="3958"/>
    <cellStyle name="20% - 强调文字颜色 6 7 22" xfId="3959"/>
    <cellStyle name="20% - 强调文字颜色 6 7 23" xfId="3960"/>
    <cellStyle name="20% - 强调文字颜色 6 7 24" xfId="3961"/>
    <cellStyle name="20% - 强调文字颜色 6 7 25" xfId="3962"/>
    <cellStyle name="20% - 强调文字颜色 6 7 26" xfId="3963"/>
    <cellStyle name="20% - 强调文字颜色 6 7 27" xfId="3964"/>
    <cellStyle name="20% - 强调文字颜色 6 7 28" xfId="3965"/>
    <cellStyle name="20% - 强调文字颜色 6 7 3" xfId="3966"/>
    <cellStyle name="20% - 强调文字颜色 6 7 4" xfId="3967"/>
    <cellStyle name="20% - 强调文字颜色 6 7 5" xfId="3968"/>
    <cellStyle name="20% - 强调文字颜色 6 7 6" xfId="3969"/>
    <cellStyle name="20% - 强调文字颜色 6 7 7" xfId="3970"/>
    <cellStyle name="20% - 强调文字颜色 6 7 8" xfId="3971"/>
    <cellStyle name="20% - 强调文字颜色 6 7 9" xfId="3972"/>
    <cellStyle name="20% - 强调文字颜色 6 8" xfId="3973"/>
    <cellStyle name="20% - 强调文字颜色 6 8 10" xfId="3974"/>
    <cellStyle name="20% - 强调文字颜色 6 8 11" xfId="3975"/>
    <cellStyle name="20% - 强调文字颜色 6 8 12" xfId="3976"/>
    <cellStyle name="20% - 强调文字颜色 6 8 13" xfId="3977"/>
    <cellStyle name="20% - 强调文字颜色 6 8 14" xfId="3978"/>
    <cellStyle name="20% - 强调文字颜色 6 8 15" xfId="3979"/>
    <cellStyle name="20% - 强调文字颜色 6 8 16" xfId="3980"/>
    <cellStyle name="20% - 强调文字颜色 6 8 17" xfId="3981"/>
    <cellStyle name="20% - 强调文字颜色 6 8 18" xfId="3982"/>
    <cellStyle name="20% - 强调文字颜色 6 8 19" xfId="3983"/>
    <cellStyle name="20% - 强调文字颜色 6 8 2" xfId="3984"/>
    <cellStyle name="20% - 强调文字颜色 6 8 2 10" xfId="3985"/>
    <cellStyle name="20% - 强调文字颜色 6 8 2 11" xfId="3986"/>
    <cellStyle name="20% - 强调文字颜色 6 8 2 12" xfId="3987"/>
    <cellStyle name="20% - 强调文字颜色 6 8 2 13" xfId="3988"/>
    <cellStyle name="20% - 强调文字颜色 6 8 2 14" xfId="3989"/>
    <cellStyle name="20% - 强调文字颜色 6 8 2 15" xfId="3990"/>
    <cellStyle name="20% - 强调文字颜色 6 8 2 16" xfId="3991"/>
    <cellStyle name="20% - 强调文字颜色 6 8 2 17" xfId="3992"/>
    <cellStyle name="20% - 强调文字颜色 6 8 2 18" xfId="3993"/>
    <cellStyle name="20% - 强调文字颜色 6 8 2 19" xfId="3994"/>
    <cellStyle name="20% - 强调文字颜色 6 8 2 2" xfId="3995"/>
    <cellStyle name="20% - 强调文字颜色 6 8 2 20" xfId="3996"/>
    <cellStyle name="20% - 强调文字颜色 6 8 2 21" xfId="3997"/>
    <cellStyle name="20% - 强调文字颜色 6 8 2 22" xfId="3998"/>
    <cellStyle name="20% - 强调文字颜色 6 8 2 23" xfId="3999"/>
    <cellStyle name="20% - 强调文字颜色 6 8 2 24" xfId="4000"/>
    <cellStyle name="20% - 强调文字颜色 6 8 2 25" xfId="4001"/>
    <cellStyle name="20% - 强调文字颜色 6 8 2 26" xfId="4002"/>
    <cellStyle name="20% - 强调文字颜色 6 8 2 27" xfId="4003"/>
    <cellStyle name="20% - 强调文字颜色 6 8 2 3" xfId="4004"/>
    <cellStyle name="20% - 强调文字颜色 6 8 2 4" xfId="4005"/>
    <cellStyle name="20% - 强调文字颜色 6 8 2 5" xfId="4006"/>
    <cellStyle name="20% - 强调文字颜色 6 8 2 6" xfId="4007"/>
    <cellStyle name="20% - 强调文字颜色 6 8 2 7" xfId="4008"/>
    <cellStyle name="20% - 强调文字颜色 6 8 2 8" xfId="4009"/>
    <cellStyle name="20% - 强调文字颜色 6 8 2 9" xfId="4010"/>
    <cellStyle name="20% - 强调文字颜色 6 8 20" xfId="4011"/>
    <cellStyle name="20% - 强调文字颜色 6 8 21" xfId="4012"/>
    <cellStyle name="20% - 强调文字颜色 6 8 22" xfId="4013"/>
    <cellStyle name="20% - 强调文字颜色 6 8 23" xfId="4014"/>
    <cellStyle name="20% - 强调文字颜色 6 8 24" xfId="4015"/>
    <cellStyle name="20% - 强调文字颜色 6 8 25" xfId="4016"/>
    <cellStyle name="20% - 强调文字颜色 6 8 26" xfId="4017"/>
    <cellStyle name="20% - 强调文字颜色 6 8 27" xfId="4018"/>
    <cellStyle name="20% - 强调文字颜色 6 8 28" xfId="4019"/>
    <cellStyle name="20% - 强调文字颜色 6 8 3" xfId="4020"/>
    <cellStyle name="20% - 强调文字颜色 6 8 4" xfId="4021"/>
    <cellStyle name="20% - 强调文字颜色 6 8 5" xfId="4022"/>
    <cellStyle name="20% - 强调文字颜色 6 8 6" xfId="4023"/>
    <cellStyle name="20% - 强调文字颜色 6 8 7" xfId="4024"/>
    <cellStyle name="20% - 强调文字颜色 6 8 8" xfId="4025"/>
    <cellStyle name="20% - 强调文字颜色 6 8 9" xfId="4026"/>
    <cellStyle name="20% - 强调文字颜色 6 9" xfId="4027"/>
    <cellStyle name="20% - 强调文字颜色 6 9 10" xfId="4028"/>
    <cellStyle name="20% - 强调文字颜色 6 9 11" xfId="4029"/>
    <cellStyle name="20% - 强调文字颜色 6 9 12" xfId="4030"/>
    <cellStyle name="20% - 强调文字颜色 6 9 13" xfId="4031"/>
    <cellStyle name="20% - 强调文字颜色 6 9 14" xfId="4032"/>
    <cellStyle name="20% - 强调文字颜色 6 9 15" xfId="4033"/>
    <cellStyle name="20% - 强调文字颜色 6 9 16" xfId="4034"/>
    <cellStyle name="20% - 强调文字颜色 6 9 17" xfId="4035"/>
    <cellStyle name="20% - 强调文字颜色 6 9 18" xfId="4036"/>
    <cellStyle name="20% - 强调文字颜色 6 9 19" xfId="4037"/>
    <cellStyle name="20% - 强调文字颜色 6 9 2" xfId="4038"/>
    <cellStyle name="20% - 强调文字颜色 6 9 2 10" xfId="4039"/>
    <cellStyle name="20% - 强调文字颜色 6 9 2 11" xfId="4040"/>
    <cellStyle name="20% - 强调文字颜色 6 9 2 12" xfId="4041"/>
    <cellStyle name="20% - 强调文字颜色 6 9 2 13" xfId="4042"/>
    <cellStyle name="20% - 强调文字颜色 6 9 2 14" xfId="4043"/>
    <cellStyle name="20% - 强调文字颜色 6 9 2 15" xfId="4044"/>
    <cellStyle name="20% - 强调文字颜色 6 9 2 16" xfId="4045"/>
    <cellStyle name="20% - 强调文字颜色 6 9 2 17" xfId="4046"/>
    <cellStyle name="20% - 强调文字颜色 6 9 2 18" xfId="4047"/>
    <cellStyle name="20% - 强调文字颜色 6 9 2 19" xfId="4048"/>
    <cellStyle name="20% - 强调文字颜色 6 9 2 2" xfId="4049"/>
    <cellStyle name="20% - 强调文字颜色 6 9 2 20" xfId="4050"/>
    <cellStyle name="20% - 强调文字颜色 6 9 2 21" xfId="4051"/>
    <cellStyle name="20% - 强调文字颜色 6 9 2 22" xfId="4052"/>
    <cellStyle name="20% - 强调文字颜色 6 9 2 23" xfId="4053"/>
    <cellStyle name="20% - 强调文字颜色 6 9 2 24" xfId="4054"/>
    <cellStyle name="20% - 强调文字颜色 6 9 2 25" xfId="4055"/>
    <cellStyle name="20% - 强调文字颜色 6 9 2 26" xfId="4056"/>
    <cellStyle name="20% - 强调文字颜色 6 9 2 27" xfId="4057"/>
    <cellStyle name="20% - 强调文字颜色 6 9 2 3" xfId="4058"/>
    <cellStyle name="20% - 强调文字颜色 6 9 2 4" xfId="4059"/>
    <cellStyle name="20% - 强调文字颜色 6 9 2 5" xfId="4060"/>
    <cellStyle name="20% - 强调文字颜色 6 9 2 6" xfId="4061"/>
    <cellStyle name="20% - 强调文字颜色 6 9 2 7" xfId="4062"/>
    <cellStyle name="20% - 强调文字颜色 6 9 2 8" xfId="4063"/>
    <cellStyle name="20% - 强调文字颜色 6 9 2 9" xfId="4064"/>
    <cellStyle name="20% - 强调文字颜色 6 9 20" xfId="4065"/>
    <cellStyle name="20% - 强调文字颜色 6 9 21" xfId="4066"/>
    <cellStyle name="20% - 强调文字颜色 6 9 22" xfId="4067"/>
    <cellStyle name="20% - 强调文字颜色 6 9 23" xfId="4068"/>
    <cellStyle name="20% - 强调文字颜色 6 9 24" xfId="4069"/>
    <cellStyle name="20% - 强调文字颜色 6 9 25" xfId="4070"/>
    <cellStyle name="20% - 强调文字颜色 6 9 26" xfId="4071"/>
    <cellStyle name="20% - 强调文字颜色 6 9 27" xfId="4072"/>
    <cellStyle name="20% - 强调文字颜色 6 9 28" xfId="4073"/>
    <cellStyle name="20% - 强调文字颜色 6 9 3" xfId="4074"/>
    <cellStyle name="20% - 强调文字颜色 6 9 4" xfId="4075"/>
    <cellStyle name="20% - 强调文字颜色 6 9 5" xfId="4076"/>
    <cellStyle name="20% - 强调文字颜色 6 9 6" xfId="4077"/>
    <cellStyle name="20% - 强调文字颜色 6 9 7" xfId="4078"/>
    <cellStyle name="20% - 强调文字颜色 6 9 8" xfId="4079"/>
    <cellStyle name="20% - 强调文字颜色 6 9 9" xfId="4080"/>
    <cellStyle name="40% - 强调文字颜色 1 10" xfId="4081"/>
    <cellStyle name="40% - 强调文字颜色 1 10 10" xfId="4082"/>
    <cellStyle name="40% - 强调文字颜色 1 10 11" xfId="4083"/>
    <cellStyle name="40% - 强调文字颜色 1 10 12" xfId="4084"/>
    <cellStyle name="40% - 强调文字颜色 1 10 13" xfId="4085"/>
    <cellStyle name="40% - 强调文字颜色 1 10 14" xfId="4086"/>
    <cellStyle name="40% - 强调文字颜色 1 10 15" xfId="4087"/>
    <cellStyle name="40% - 强调文字颜色 1 10 16" xfId="4088"/>
    <cellStyle name="40% - 强调文字颜色 1 10 17" xfId="4089"/>
    <cellStyle name="40% - 强调文字颜色 1 10 18" xfId="4090"/>
    <cellStyle name="40% - 强调文字颜色 1 10 19" xfId="4091"/>
    <cellStyle name="40% - 强调文字颜色 1 10 2" xfId="4092"/>
    <cellStyle name="40% - 强调文字颜色 1 10 2 10" xfId="4093"/>
    <cellStyle name="40% - 强调文字颜色 1 10 2 11" xfId="4094"/>
    <cellStyle name="40% - 强调文字颜色 1 10 2 12" xfId="4095"/>
    <cellStyle name="40% - 强调文字颜色 1 10 2 13" xfId="4096"/>
    <cellStyle name="40% - 强调文字颜色 1 10 2 14" xfId="4097"/>
    <cellStyle name="40% - 强调文字颜色 1 10 2 15" xfId="4098"/>
    <cellStyle name="40% - 强调文字颜色 1 10 2 16" xfId="4099"/>
    <cellStyle name="40% - 强调文字颜色 1 10 2 17" xfId="4100"/>
    <cellStyle name="40% - 强调文字颜色 1 10 2 18" xfId="4101"/>
    <cellStyle name="40% - 强调文字颜色 1 10 2 19" xfId="4102"/>
    <cellStyle name="40% - 强调文字颜色 1 10 2 2" xfId="4103"/>
    <cellStyle name="40% - 强调文字颜色 1 10 2 20" xfId="4104"/>
    <cellStyle name="40% - 强调文字颜色 1 10 2 21" xfId="4105"/>
    <cellStyle name="40% - 强调文字颜色 1 10 2 22" xfId="4106"/>
    <cellStyle name="40% - 强调文字颜色 1 10 2 23" xfId="4107"/>
    <cellStyle name="40% - 强调文字颜色 1 10 2 24" xfId="4108"/>
    <cellStyle name="40% - 强调文字颜色 1 10 2 25" xfId="4109"/>
    <cellStyle name="40% - 强调文字颜色 1 10 2 26" xfId="4110"/>
    <cellStyle name="40% - 强调文字颜色 1 10 2 27" xfId="4111"/>
    <cellStyle name="40% - 强调文字颜色 1 10 2 3" xfId="4112"/>
    <cellStyle name="40% - 强调文字颜色 1 10 2 4" xfId="4113"/>
    <cellStyle name="40% - 强调文字颜色 1 10 2 5" xfId="4114"/>
    <cellStyle name="40% - 强调文字颜色 1 10 2 6" xfId="4115"/>
    <cellStyle name="40% - 强调文字颜色 1 10 2 7" xfId="4116"/>
    <cellStyle name="40% - 强调文字颜色 1 10 2 8" xfId="4117"/>
    <cellStyle name="40% - 强调文字颜色 1 10 2 9" xfId="4118"/>
    <cellStyle name="40% - 强调文字颜色 1 10 20" xfId="4119"/>
    <cellStyle name="40% - 强调文字颜色 1 10 21" xfId="4120"/>
    <cellStyle name="40% - 强调文字颜色 1 10 22" xfId="4121"/>
    <cellStyle name="40% - 强调文字颜色 1 10 23" xfId="4122"/>
    <cellStyle name="40% - 强调文字颜色 1 10 24" xfId="4123"/>
    <cellStyle name="40% - 强调文字颜色 1 10 25" xfId="4124"/>
    <cellStyle name="40% - 强调文字颜色 1 10 26" xfId="4125"/>
    <cellStyle name="40% - 强调文字颜色 1 10 27" xfId="4126"/>
    <cellStyle name="40% - 强调文字颜色 1 10 28" xfId="4127"/>
    <cellStyle name="40% - 强调文字颜色 1 10 3" xfId="4128"/>
    <cellStyle name="40% - 强调文字颜色 1 10 4" xfId="4129"/>
    <cellStyle name="40% - 强调文字颜色 1 10 5" xfId="4130"/>
    <cellStyle name="40% - 强调文字颜色 1 10 6" xfId="4131"/>
    <cellStyle name="40% - 强调文字颜色 1 10 7" xfId="4132"/>
    <cellStyle name="40% - 强调文字颜色 1 10 8" xfId="4133"/>
    <cellStyle name="40% - 强调文字颜色 1 10 9" xfId="4134"/>
    <cellStyle name="40% - 强调文字颜色 1 11" xfId="4135"/>
    <cellStyle name="40% - 强调文字颜色 1 11 10" xfId="4136"/>
    <cellStyle name="40% - 强调文字颜色 1 11 11" xfId="4137"/>
    <cellStyle name="40% - 强调文字颜色 1 11 12" xfId="4138"/>
    <cellStyle name="40% - 强调文字颜色 1 11 13" xfId="4139"/>
    <cellStyle name="40% - 强调文字颜色 1 11 14" xfId="4140"/>
    <cellStyle name="40% - 强调文字颜色 1 11 15" xfId="4141"/>
    <cellStyle name="40% - 强调文字颜色 1 11 16" xfId="4142"/>
    <cellStyle name="40% - 强调文字颜色 1 11 17" xfId="4143"/>
    <cellStyle name="40% - 强调文字颜色 1 11 18" xfId="4144"/>
    <cellStyle name="40% - 强调文字颜色 1 11 19" xfId="4145"/>
    <cellStyle name="40% - 强调文字颜色 1 11 2" xfId="4146"/>
    <cellStyle name="40% - 强调文字颜色 1 11 2 10" xfId="4147"/>
    <cellStyle name="40% - 强调文字颜色 1 11 2 11" xfId="4148"/>
    <cellStyle name="40% - 强调文字颜色 1 11 2 12" xfId="4149"/>
    <cellStyle name="40% - 强调文字颜色 1 11 2 13" xfId="4150"/>
    <cellStyle name="40% - 强调文字颜色 1 11 2 14" xfId="4151"/>
    <cellStyle name="40% - 强调文字颜色 1 11 2 15" xfId="4152"/>
    <cellStyle name="40% - 强调文字颜色 1 11 2 16" xfId="4153"/>
    <cellStyle name="40% - 强调文字颜色 1 11 2 17" xfId="4154"/>
    <cellStyle name="40% - 强调文字颜色 1 11 2 18" xfId="4155"/>
    <cellStyle name="40% - 强调文字颜色 1 11 2 19" xfId="4156"/>
    <cellStyle name="40% - 强调文字颜色 1 11 2 2" xfId="4157"/>
    <cellStyle name="40% - 强调文字颜色 1 11 2 20" xfId="4158"/>
    <cellStyle name="40% - 强调文字颜色 1 11 2 21" xfId="4159"/>
    <cellStyle name="40% - 强调文字颜色 1 11 2 22" xfId="4160"/>
    <cellStyle name="40% - 强调文字颜色 1 11 2 23" xfId="4161"/>
    <cellStyle name="40% - 强调文字颜色 1 11 2 24" xfId="4162"/>
    <cellStyle name="40% - 强调文字颜色 1 11 2 25" xfId="4163"/>
    <cellStyle name="40% - 强调文字颜色 1 11 2 26" xfId="4164"/>
    <cellStyle name="40% - 强调文字颜色 1 11 2 27" xfId="4165"/>
    <cellStyle name="40% - 强调文字颜色 1 11 2 3" xfId="4166"/>
    <cellStyle name="40% - 强调文字颜色 1 11 2 4" xfId="4167"/>
    <cellStyle name="40% - 强调文字颜色 1 11 2 5" xfId="4168"/>
    <cellStyle name="40% - 强调文字颜色 1 11 2 6" xfId="4169"/>
    <cellStyle name="40% - 强调文字颜色 1 11 2 7" xfId="4170"/>
    <cellStyle name="40% - 强调文字颜色 1 11 2 8" xfId="4171"/>
    <cellStyle name="40% - 强调文字颜色 1 11 2 9" xfId="4172"/>
    <cellStyle name="40% - 强调文字颜色 1 11 20" xfId="4173"/>
    <cellStyle name="40% - 强调文字颜色 1 11 21" xfId="4174"/>
    <cellStyle name="40% - 强调文字颜色 1 11 22" xfId="4175"/>
    <cellStyle name="40% - 强调文字颜色 1 11 23" xfId="4176"/>
    <cellStyle name="40% - 强调文字颜色 1 11 24" xfId="4177"/>
    <cellStyle name="40% - 强调文字颜色 1 11 25" xfId="4178"/>
    <cellStyle name="40% - 强调文字颜色 1 11 26" xfId="4179"/>
    <cellStyle name="40% - 强调文字颜色 1 11 27" xfId="4180"/>
    <cellStyle name="40% - 强调文字颜色 1 11 28" xfId="4181"/>
    <cellStyle name="40% - 强调文字颜色 1 11 3" xfId="4182"/>
    <cellStyle name="40% - 强调文字颜色 1 11 4" xfId="4183"/>
    <cellStyle name="40% - 强调文字颜色 1 11 5" xfId="4184"/>
    <cellStyle name="40% - 强调文字颜色 1 11 6" xfId="4185"/>
    <cellStyle name="40% - 强调文字颜色 1 11 7" xfId="4186"/>
    <cellStyle name="40% - 强调文字颜色 1 11 8" xfId="4187"/>
    <cellStyle name="40% - 强调文字颜色 1 11 9" xfId="4188"/>
    <cellStyle name="40% - 强调文字颜色 1 12" xfId="4189"/>
    <cellStyle name="40% - 强调文字颜色 1 13" xfId="4190"/>
    <cellStyle name="40% - 强调文字颜色 1 14" xfId="4191"/>
    <cellStyle name="40% - 强调文字颜色 1 15" xfId="4192"/>
    <cellStyle name="40% - 强调文字颜色 1 16" xfId="4193"/>
    <cellStyle name="40% - 强调文字颜色 1 17" xfId="4194"/>
    <cellStyle name="40% - 强调文字颜色 1 18" xfId="4195"/>
    <cellStyle name="40% - 强调文字颜色 1 19" xfId="4196"/>
    <cellStyle name="40% - 强调文字颜色 1 2" xfId="4197"/>
    <cellStyle name="40% - 强调文字颜色 1 2 10" xfId="4198"/>
    <cellStyle name="40% - 强调文字颜色 1 2 11" xfId="4199"/>
    <cellStyle name="40% - 强调文字颜色 1 2 12" xfId="4200"/>
    <cellStyle name="40% - 强调文字颜色 1 2 13" xfId="4201"/>
    <cellStyle name="40% - 强调文字颜色 1 2 14" xfId="4202"/>
    <cellStyle name="40% - 强调文字颜色 1 2 15" xfId="4203"/>
    <cellStyle name="40% - 强调文字颜色 1 2 16" xfId="4204"/>
    <cellStyle name="40% - 强调文字颜色 1 2 17" xfId="4205"/>
    <cellStyle name="40% - 强调文字颜色 1 2 18" xfId="4206"/>
    <cellStyle name="40% - 强调文字颜色 1 2 19" xfId="4207"/>
    <cellStyle name="40% - 强调文字颜色 1 2 2" xfId="4208"/>
    <cellStyle name="40% - 强调文字颜色 1 2 2 10" xfId="4209"/>
    <cellStyle name="40% - 强调文字颜色 1 2 2 11" xfId="4210"/>
    <cellStyle name="40% - 强调文字颜色 1 2 2 12" xfId="4211"/>
    <cellStyle name="40% - 强调文字颜色 1 2 2 13" xfId="4212"/>
    <cellStyle name="40% - 强调文字颜色 1 2 2 14" xfId="4213"/>
    <cellStyle name="40% - 强调文字颜色 1 2 2 15" xfId="4214"/>
    <cellStyle name="40% - 强调文字颜色 1 2 2 16" xfId="4215"/>
    <cellStyle name="40% - 强调文字颜色 1 2 2 17" xfId="4216"/>
    <cellStyle name="40% - 强调文字颜色 1 2 2 18" xfId="4217"/>
    <cellStyle name="40% - 强调文字颜色 1 2 2 19" xfId="4218"/>
    <cellStyle name="40% - 强调文字颜色 1 2 2 2" xfId="4219"/>
    <cellStyle name="40% - 强调文字颜色 1 2 2 2 10" xfId="4220"/>
    <cellStyle name="40% - 强调文字颜色 1 2 2 2 11" xfId="4221"/>
    <cellStyle name="40% - 强调文字颜色 1 2 2 2 12" xfId="4222"/>
    <cellStyle name="40% - 强调文字颜色 1 2 2 2 13" xfId="4223"/>
    <cellStyle name="40% - 强调文字颜色 1 2 2 2 14" xfId="4224"/>
    <cellStyle name="40% - 强调文字颜色 1 2 2 2 15" xfId="4225"/>
    <cellStyle name="40% - 强调文字颜色 1 2 2 2 16" xfId="4226"/>
    <cellStyle name="40% - 强调文字颜色 1 2 2 2 17" xfId="4227"/>
    <cellStyle name="40% - 强调文字颜色 1 2 2 2 18" xfId="4228"/>
    <cellStyle name="40% - 强调文字颜色 1 2 2 2 19" xfId="4229"/>
    <cellStyle name="40% - 强调文字颜色 1 2 2 2 2" xfId="4230"/>
    <cellStyle name="40% - 强调文字颜色 1 2 2 2 20" xfId="4231"/>
    <cellStyle name="40% - 强调文字颜色 1 2 2 2 21" xfId="4232"/>
    <cellStyle name="40% - 强调文字颜色 1 2 2 2 22" xfId="4233"/>
    <cellStyle name="40% - 强调文字颜色 1 2 2 2 23" xfId="4234"/>
    <cellStyle name="40% - 强调文字颜色 1 2 2 2 24" xfId="4235"/>
    <cellStyle name="40% - 强调文字颜色 1 2 2 2 25" xfId="4236"/>
    <cellStyle name="40% - 强调文字颜色 1 2 2 2 26" xfId="4237"/>
    <cellStyle name="40% - 强调文字颜色 1 2 2 2 27" xfId="4238"/>
    <cellStyle name="40% - 强调文字颜色 1 2 2 2 3" xfId="4239"/>
    <cellStyle name="40% - 强调文字颜色 1 2 2 2 4" xfId="4240"/>
    <cellStyle name="40% - 强调文字颜色 1 2 2 2 5" xfId="4241"/>
    <cellStyle name="40% - 强调文字颜色 1 2 2 2 6" xfId="4242"/>
    <cellStyle name="40% - 强调文字颜色 1 2 2 2 7" xfId="4243"/>
    <cellStyle name="40% - 强调文字颜色 1 2 2 2 8" xfId="4244"/>
    <cellStyle name="40% - 强调文字颜色 1 2 2 2 9" xfId="4245"/>
    <cellStyle name="40% - 强调文字颜色 1 2 2 20" xfId="4246"/>
    <cellStyle name="40% - 强调文字颜色 1 2 2 21" xfId="4247"/>
    <cellStyle name="40% - 强调文字颜色 1 2 2 22" xfId="4248"/>
    <cellStyle name="40% - 强调文字颜色 1 2 2 23" xfId="4249"/>
    <cellStyle name="40% - 强调文字颜色 1 2 2 24" xfId="4250"/>
    <cellStyle name="40% - 强调文字颜色 1 2 2 25" xfId="4251"/>
    <cellStyle name="40% - 强调文字颜色 1 2 2 26" xfId="4252"/>
    <cellStyle name="40% - 强调文字颜色 1 2 2 27" xfId="4253"/>
    <cellStyle name="40% - 强调文字颜色 1 2 2 28" xfId="4254"/>
    <cellStyle name="40% - 强调文字颜色 1 2 2 3" xfId="4255"/>
    <cellStyle name="40% - 强调文字颜色 1 2 2 4" xfId="4256"/>
    <cellStyle name="40% - 强调文字颜色 1 2 2 5" xfId="4257"/>
    <cellStyle name="40% - 强调文字颜色 1 2 2 6" xfId="4258"/>
    <cellStyle name="40% - 强调文字颜色 1 2 2 7" xfId="4259"/>
    <cellStyle name="40% - 强调文字颜色 1 2 2 8" xfId="4260"/>
    <cellStyle name="40% - 强调文字颜色 1 2 2 9" xfId="4261"/>
    <cellStyle name="40% - 强调文字颜色 1 2 20" xfId="4262"/>
    <cellStyle name="40% - 强调文字颜色 1 2 21" xfId="4263"/>
    <cellStyle name="40% - 强调文字颜色 1 2 22" xfId="4264"/>
    <cellStyle name="40% - 强调文字颜色 1 2 23" xfId="4265"/>
    <cellStyle name="40% - 强调文字颜色 1 2 24" xfId="4266"/>
    <cellStyle name="40% - 强调文字颜色 1 2 25" xfId="4267"/>
    <cellStyle name="40% - 强调文字颜色 1 2 26" xfId="4268"/>
    <cellStyle name="40% - 强调文字颜色 1 2 27" xfId="4269"/>
    <cellStyle name="40% - 强调文字颜色 1 2 28" xfId="4270"/>
    <cellStyle name="40% - 强调文字颜色 1 2 29" xfId="4271"/>
    <cellStyle name="40% - 强调文字颜色 1 2 3" xfId="4272"/>
    <cellStyle name="40% - 强调文字颜色 1 2 3 10" xfId="4273"/>
    <cellStyle name="40% - 强调文字颜色 1 2 3 11" xfId="4274"/>
    <cellStyle name="40% - 强调文字颜色 1 2 3 12" xfId="4275"/>
    <cellStyle name="40% - 强调文字颜色 1 2 3 13" xfId="4276"/>
    <cellStyle name="40% - 强调文字颜色 1 2 3 14" xfId="4277"/>
    <cellStyle name="40% - 强调文字颜色 1 2 3 15" xfId="4278"/>
    <cellStyle name="40% - 强调文字颜色 1 2 3 16" xfId="4279"/>
    <cellStyle name="40% - 强调文字颜色 1 2 3 17" xfId="4280"/>
    <cellStyle name="40% - 强调文字颜色 1 2 3 18" xfId="4281"/>
    <cellStyle name="40% - 强调文字颜色 1 2 3 19" xfId="4282"/>
    <cellStyle name="40% - 强调文字颜色 1 2 3 2" xfId="4283"/>
    <cellStyle name="40% - 强调文字颜色 1 2 3 2 10" xfId="4284"/>
    <cellStyle name="40% - 强调文字颜色 1 2 3 2 11" xfId="4285"/>
    <cellStyle name="40% - 强调文字颜色 1 2 3 2 12" xfId="4286"/>
    <cellStyle name="40% - 强调文字颜色 1 2 3 2 13" xfId="4287"/>
    <cellStyle name="40% - 强调文字颜色 1 2 3 2 14" xfId="4288"/>
    <cellStyle name="40% - 强调文字颜色 1 2 3 2 15" xfId="4289"/>
    <cellStyle name="40% - 强调文字颜色 1 2 3 2 16" xfId="4290"/>
    <cellStyle name="40% - 强调文字颜色 1 2 3 2 17" xfId="4291"/>
    <cellStyle name="40% - 强调文字颜色 1 2 3 2 18" xfId="4292"/>
    <cellStyle name="40% - 强调文字颜色 1 2 3 2 19" xfId="4293"/>
    <cellStyle name="40% - 强调文字颜色 1 2 3 2 2" xfId="4294"/>
    <cellStyle name="40% - 强调文字颜色 1 2 3 2 20" xfId="4295"/>
    <cellStyle name="40% - 强调文字颜色 1 2 3 2 21" xfId="4296"/>
    <cellStyle name="40% - 强调文字颜色 1 2 3 2 22" xfId="4297"/>
    <cellStyle name="40% - 强调文字颜色 1 2 3 2 23" xfId="4298"/>
    <cellStyle name="40% - 强调文字颜色 1 2 3 2 24" xfId="4299"/>
    <cellStyle name="40% - 强调文字颜色 1 2 3 2 25" xfId="4300"/>
    <cellStyle name="40% - 强调文字颜色 1 2 3 2 26" xfId="4301"/>
    <cellStyle name="40% - 强调文字颜色 1 2 3 2 27" xfId="4302"/>
    <cellStyle name="40% - 强调文字颜色 1 2 3 2 3" xfId="4303"/>
    <cellStyle name="40% - 强调文字颜色 1 2 3 2 4" xfId="4304"/>
    <cellStyle name="40% - 强调文字颜色 1 2 3 2 5" xfId="4305"/>
    <cellStyle name="40% - 强调文字颜色 1 2 3 2 6" xfId="4306"/>
    <cellStyle name="40% - 强调文字颜色 1 2 3 2 7" xfId="4307"/>
    <cellStyle name="40% - 强调文字颜色 1 2 3 2 8" xfId="4308"/>
    <cellStyle name="40% - 强调文字颜色 1 2 3 2 9" xfId="4309"/>
    <cellStyle name="40% - 强调文字颜色 1 2 3 20" xfId="4310"/>
    <cellStyle name="40% - 强调文字颜色 1 2 3 21" xfId="4311"/>
    <cellStyle name="40% - 强调文字颜色 1 2 3 22" xfId="4312"/>
    <cellStyle name="40% - 强调文字颜色 1 2 3 23" xfId="4313"/>
    <cellStyle name="40% - 强调文字颜色 1 2 3 24" xfId="4314"/>
    <cellStyle name="40% - 强调文字颜色 1 2 3 25" xfId="4315"/>
    <cellStyle name="40% - 强调文字颜色 1 2 3 26" xfId="4316"/>
    <cellStyle name="40% - 强调文字颜色 1 2 3 27" xfId="4317"/>
    <cellStyle name="40% - 强调文字颜色 1 2 3 28" xfId="4318"/>
    <cellStyle name="40% - 强调文字颜色 1 2 3 3" xfId="4319"/>
    <cellStyle name="40% - 强调文字颜色 1 2 3 4" xfId="4320"/>
    <cellStyle name="40% - 强调文字颜色 1 2 3 5" xfId="4321"/>
    <cellStyle name="40% - 强调文字颜色 1 2 3 6" xfId="4322"/>
    <cellStyle name="40% - 强调文字颜色 1 2 3 7" xfId="4323"/>
    <cellStyle name="40% - 强调文字颜色 1 2 3 8" xfId="4324"/>
    <cellStyle name="40% - 强调文字颜色 1 2 3 9" xfId="4325"/>
    <cellStyle name="40% - 强调文字颜色 1 2 30" xfId="4326"/>
    <cellStyle name="40% - 强调文字颜色 1 2 31" xfId="4327"/>
    <cellStyle name="40% - 强调文字颜色 1 2 32" xfId="4328"/>
    <cellStyle name="40% - 强调文字颜色 1 2 33" xfId="4329"/>
    <cellStyle name="40% - 强调文字颜色 1 2 4" xfId="4330"/>
    <cellStyle name="40% - 强调文字颜色 1 2 4 10" xfId="4331"/>
    <cellStyle name="40% - 强调文字颜色 1 2 4 11" xfId="4332"/>
    <cellStyle name="40% - 强调文字颜色 1 2 4 12" xfId="4333"/>
    <cellStyle name="40% - 强调文字颜色 1 2 4 13" xfId="4334"/>
    <cellStyle name="40% - 强调文字颜色 1 2 4 14" xfId="4335"/>
    <cellStyle name="40% - 强调文字颜色 1 2 4 15" xfId="4336"/>
    <cellStyle name="40% - 强调文字颜色 1 2 4 16" xfId="4337"/>
    <cellStyle name="40% - 强调文字颜色 1 2 4 17" xfId="4338"/>
    <cellStyle name="40% - 强调文字颜色 1 2 4 18" xfId="4339"/>
    <cellStyle name="40% - 强调文字颜色 1 2 4 19" xfId="4340"/>
    <cellStyle name="40% - 强调文字颜色 1 2 4 2" xfId="4341"/>
    <cellStyle name="40% - 强调文字颜色 1 2 4 20" xfId="4342"/>
    <cellStyle name="40% - 强调文字颜色 1 2 4 21" xfId="4343"/>
    <cellStyle name="40% - 强调文字颜色 1 2 4 22" xfId="4344"/>
    <cellStyle name="40% - 强调文字颜色 1 2 4 23" xfId="4345"/>
    <cellStyle name="40% - 强调文字颜色 1 2 4 24" xfId="4346"/>
    <cellStyle name="40% - 强调文字颜色 1 2 4 25" xfId="4347"/>
    <cellStyle name="40% - 强调文字颜色 1 2 4 26" xfId="4348"/>
    <cellStyle name="40% - 强调文字颜色 1 2 4 27" xfId="4349"/>
    <cellStyle name="40% - 强调文字颜色 1 2 4 3" xfId="4350"/>
    <cellStyle name="40% - 强调文字颜色 1 2 4 4" xfId="4351"/>
    <cellStyle name="40% - 强调文字颜色 1 2 4 5" xfId="4352"/>
    <cellStyle name="40% - 强调文字颜色 1 2 4 6" xfId="4353"/>
    <cellStyle name="40% - 强调文字颜色 1 2 4 7" xfId="4354"/>
    <cellStyle name="40% - 强调文字颜色 1 2 4 8" xfId="4355"/>
    <cellStyle name="40% - 强调文字颜色 1 2 4 9" xfId="4356"/>
    <cellStyle name="40% - 强调文字颜色 1 2 5" xfId="4357"/>
    <cellStyle name="40% - 强调文字颜色 1 2 6" xfId="4358"/>
    <cellStyle name="40% - 强调文字颜色 1 2 7" xfId="4359"/>
    <cellStyle name="40% - 强调文字颜色 1 2 8" xfId="4360"/>
    <cellStyle name="40% - 强调文字颜色 1 2 9" xfId="4361"/>
    <cellStyle name="40% - 强调文字颜色 1 20" xfId="4362"/>
    <cellStyle name="40% - 强调文字颜色 1 21" xfId="4363"/>
    <cellStyle name="40% - 强调文字颜色 1 22" xfId="4364"/>
    <cellStyle name="40% - 强调文字颜色 1 23" xfId="4365"/>
    <cellStyle name="40% - 强调文字颜色 1 24" xfId="4366"/>
    <cellStyle name="40% - 强调文字颜色 1 25" xfId="4367"/>
    <cellStyle name="40% - 强调文字颜色 1 26" xfId="4368"/>
    <cellStyle name="40% - 强调文字颜色 1 27" xfId="4369"/>
    <cellStyle name="40% - 强调文字颜色 1 28" xfId="4370"/>
    <cellStyle name="40% - 强调文字颜色 1 29" xfId="4371"/>
    <cellStyle name="40% - 强调文字颜色 1 3" xfId="4372"/>
    <cellStyle name="40% - 强调文字颜色 1 3 10" xfId="4373"/>
    <cellStyle name="40% - 强调文字颜色 1 3 11" xfId="4374"/>
    <cellStyle name="40% - 强调文字颜色 1 3 12" xfId="4375"/>
    <cellStyle name="40% - 强调文字颜色 1 3 13" xfId="4376"/>
    <cellStyle name="40% - 强调文字颜色 1 3 14" xfId="4377"/>
    <cellStyle name="40% - 强调文字颜色 1 3 15" xfId="4378"/>
    <cellStyle name="40% - 强调文字颜色 1 3 16" xfId="4379"/>
    <cellStyle name="40% - 强调文字颜色 1 3 17" xfId="4380"/>
    <cellStyle name="40% - 强调文字颜色 1 3 18" xfId="4381"/>
    <cellStyle name="40% - 强调文字颜色 1 3 19" xfId="4382"/>
    <cellStyle name="40% - 强调文字颜色 1 3 2" xfId="4383"/>
    <cellStyle name="40% - 强调文字颜色 1 3 2 10" xfId="4384"/>
    <cellStyle name="40% - 强调文字颜色 1 3 2 11" xfId="4385"/>
    <cellStyle name="40% - 强调文字颜色 1 3 2 12" xfId="4386"/>
    <cellStyle name="40% - 强调文字颜色 1 3 2 13" xfId="4387"/>
    <cellStyle name="40% - 强调文字颜色 1 3 2 14" xfId="4388"/>
    <cellStyle name="40% - 强调文字颜色 1 3 2 15" xfId="4389"/>
    <cellStyle name="40% - 强调文字颜色 1 3 2 16" xfId="4390"/>
    <cellStyle name="40% - 强调文字颜色 1 3 2 17" xfId="4391"/>
    <cellStyle name="40% - 强调文字颜色 1 3 2 18" xfId="4392"/>
    <cellStyle name="40% - 强调文字颜色 1 3 2 19" xfId="4393"/>
    <cellStyle name="40% - 强调文字颜色 1 3 2 2" xfId="4394"/>
    <cellStyle name="40% - 强调文字颜色 1 3 2 20" xfId="4395"/>
    <cellStyle name="40% - 强调文字颜色 1 3 2 21" xfId="4396"/>
    <cellStyle name="40% - 强调文字颜色 1 3 2 22" xfId="4397"/>
    <cellStyle name="40% - 强调文字颜色 1 3 2 23" xfId="4398"/>
    <cellStyle name="40% - 强调文字颜色 1 3 2 24" xfId="4399"/>
    <cellStyle name="40% - 强调文字颜色 1 3 2 25" xfId="4400"/>
    <cellStyle name="40% - 强调文字颜色 1 3 2 26" xfId="4401"/>
    <cellStyle name="40% - 强调文字颜色 1 3 2 27" xfId="4402"/>
    <cellStyle name="40% - 强调文字颜色 1 3 2 3" xfId="4403"/>
    <cellStyle name="40% - 强调文字颜色 1 3 2 4" xfId="4404"/>
    <cellStyle name="40% - 强调文字颜色 1 3 2 5" xfId="4405"/>
    <cellStyle name="40% - 强调文字颜色 1 3 2 6" xfId="4406"/>
    <cellStyle name="40% - 强调文字颜色 1 3 2 7" xfId="4407"/>
    <cellStyle name="40% - 强调文字颜色 1 3 2 8" xfId="4408"/>
    <cellStyle name="40% - 强调文字颜色 1 3 2 9" xfId="4409"/>
    <cellStyle name="40% - 强调文字颜色 1 3 20" xfId="4410"/>
    <cellStyle name="40% - 强调文字颜色 1 3 21" xfId="4411"/>
    <cellStyle name="40% - 强调文字颜色 1 3 22" xfId="4412"/>
    <cellStyle name="40% - 强调文字颜色 1 3 23" xfId="4413"/>
    <cellStyle name="40% - 强调文字颜色 1 3 24" xfId="4414"/>
    <cellStyle name="40% - 强调文字颜色 1 3 25" xfId="4415"/>
    <cellStyle name="40% - 强调文字颜色 1 3 26" xfId="4416"/>
    <cellStyle name="40% - 强调文字颜色 1 3 27" xfId="4417"/>
    <cellStyle name="40% - 强调文字颜色 1 3 28" xfId="4418"/>
    <cellStyle name="40% - 强调文字颜色 1 3 3" xfId="4419"/>
    <cellStyle name="40% - 强调文字颜色 1 3 4" xfId="4420"/>
    <cellStyle name="40% - 强调文字颜色 1 3 5" xfId="4421"/>
    <cellStyle name="40% - 强调文字颜色 1 3 6" xfId="4422"/>
    <cellStyle name="40% - 强调文字颜色 1 3 7" xfId="4423"/>
    <cellStyle name="40% - 强调文字颜色 1 3 8" xfId="4424"/>
    <cellStyle name="40% - 强调文字颜色 1 3 9" xfId="4425"/>
    <cellStyle name="40% - 强调文字颜色 1 30" xfId="4426"/>
    <cellStyle name="40% - 强调文字颜色 1 31" xfId="4427"/>
    <cellStyle name="40% - 强调文字颜色 1 32" xfId="4428"/>
    <cellStyle name="40% - 强调文字颜色 1 33" xfId="4429"/>
    <cellStyle name="40% - 强调文字颜色 1 34" xfId="4430"/>
    <cellStyle name="40% - 强调文字颜色 1 35" xfId="4431"/>
    <cellStyle name="40% - 强调文字颜色 1 36" xfId="4432"/>
    <cellStyle name="40% - 强调文字颜色 1 37" xfId="4433"/>
    <cellStyle name="40% - 强调文字颜色 1 38" xfId="4434"/>
    <cellStyle name="40% - 强调文字颜色 1 39" xfId="4435"/>
    <cellStyle name="40% - 强调文字颜色 1 4" xfId="4436"/>
    <cellStyle name="40% - 强调文字颜色 1 4 10" xfId="4437"/>
    <cellStyle name="40% - 强调文字颜色 1 4 11" xfId="4438"/>
    <cellStyle name="40% - 强调文字颜色 1 4 12" xfId="4439"/>
    <cellStyle name="40% - 强调文字颜色 1 4 13" xfId="4440"/>
    <cellStyle name="40% - 强调文字颜色 1 4 14" xfId="4441"/>
    <cellStyle name="40% - 强调文字颜色 1 4 15" xfId="4442"/>
    <cellStyle name="40% - 强调文字颜色 1 4 16" xfId="4443"/>
    <cellStyle name="40% - 强调文字颜色 1 4 17" xfId="4444"/>
    <cellStyle name="40% - 强调文字颜色 1 4 18" xfId="4445"/>
    <cellStyle name="40% - 强调文字颜色 1 4 19" xfId="4446"/>
    <cellStyle name="40% - 强调文字颜色 1 4 2" xfId="4447"/>
    <cellStyle name="40% - 强调文字颜色 1 4 2 10" xfId="4448"/>
    <cellStyle name="40% - 强调文字颜色 1 4 2 11" xfId="4449"/>
    <cellStyle name="40% - 强调文字颜色 1 4 2 12" xfId="4450"/>
    <cellStyle name="40% - 强调文字颜色 1 4 2 13" xfId="4451"/>
    <cellStyle name="40% - 强调文字颜色 1 4 2 14" xfId="4452"/>
    <cellStyle name="40% - 强调文字颜色 1 4 2 15" xfId="4453"/>
    <cellStyle name="40% - 强调文字颜色 1 4 2 16" xfId="4454"/>
    <cellStyle name="40% - 强调文字颜色 1 4 2 17" xfId="4455"/>
    <cellStyle name="40% - 强调文字颜色 1 4 2 18" xfId="4456"/>
    <cellStyle name="40% - 强调文字颜色 1 4 2 19" xfId="4457"/>
    <cellStyle name="40% - 强调文字颜色 1 4 2 2" xfId="4458"/>
    <cellStyle name="40% - 强调文字颜色 1 4 2 20" xfId="4459"/>
    <cellStyle name="40% - 强调文字颜色 1 4 2 21" xfId="4460"/>
    <cellStyle name="40% - 强调文字颜色 1 4 2 22" xfId="4461"/>
    <cellStyle name="40% - 强调文字颜色 1 4 2 23" xfId="4462"/>
    <cellStyle name="40% - 强调文字颜色 1 4 2 24" xfId="4463"/>
    <cellStyle name="40% - 强调文字颜色 1 4 2 25" xfId="4464"/>
    <cellStyle name="40% - 强调文字颜色 1 4 2 26" xfId="4465"/>
    <cellStyle name="40% - 强调文字颜色 1 4 2 27" xfId="4466"/>
    <cellStyle name="40% - 强调文字颜色 1 4 2 3" xfId="4467"/>
    <cellStyle name="40% - 强调文字颜色 1 4 2 4" xfId="4468"/>
    <cellStyle name="40% - 强调文字颜色 1 4 2 5" xfId="4469"/>
    <cellStyle name="40% - 强调文字颜色 1 4 2 6" xfId="4470"/>
    <cellStyle name="40% - 强调文字颜色 1 4 2 7" xfId="4471"/>
    <cellStyle name="40% - 强调文字颜色 1 4 2 8" xfId="4472"/>
    <cellStyle name="40% - 强调文字颜色 1 4 2 9" xfId="4473"/>
    <cellStyle name="40% - 强调文字颜色 1 4 20" xfId="4474"/>
    <cellStyle name="40% - 强调文字颜色 1 4 21" xfId="4475"/>
    <cellStyle name="40% - 强调文字颜色 1 4 22" xfId="4476"/>
    <cellStyle name="40% - 强调文字颜色 1 4 23" xfId="4477"/>
    <cellStyle name="40% - 强调文字颜色 1 4 24" xfId="4478"/>
    <cellStyle name="40% - 强调文字颜色 1 4 25" xfId="4479"/>
    <cellStyle name="40% - 强调文字颜色 1 4 26" xfId="4480"/>
    <cellStyle name="40% - 强调文字颜色 1 4 27" xfId="4481"/>
    <cellStyle name="40% - 强调文字颜色 1 4 28" xfId="4482"/>
    <cellStyle name="40% - 强调文字颜色 1 4 3" xfId="4483"/>
    <cellStyle name="40% - 强调文字颜色 1 4 4" xfId="4484"/>
    <cellStyle name="40% - 强调文字颜色 1 4 5" xfId="4485"/>
    <cellStyle name="40% - 强调文字颜色 1 4 6" xfId="4486"/>
    <cellStyle name="40% - 强调文字颜色 1 4 7" xfId="4487"/>
    <cellStyle name="40% - 强调文字颜色 1 4 8" xfId="4488"/>
    <cellStyle name="40% - 强调文字颜色 1 4 9" xfId="4489"/>
    <cellStyle name="40% - 强调文字颜色 1 40" xfId="4490"/>
    <cellStyle name="40% - 强调文字颜色 1 5" xfId="4491"/>
    <cellStyle name="40% - 强调文字颜色 1 5 10" xfId="4492"/>
    <cellStyle name="40% - 强调文字颜色 1 5 11" xfId="4493"/>
    <cellStyle name="40% - 强调文字颜色 1 5 12" xfId="4494"/>
    <cellStyle name="40% - 强调文字颜色 1 5 13" xfId="4495"/>
    <cellStyle name="40% - 强调文字颜色 1 5 14" xfId="4496"/>
    <cellStyle name="40% - 强调文字颜色 1 5 15" xfId="4497"/>
    <cellStyle name="40% - 强调文字颜色 1 5 16" xfId="4498"/>
    <cellStyle name="40% - 强调文字颜色 1 5 17" xfId="4499"/>
    <cellStyle name="40% - 强调文字颜色 1 5 18" xfId="4500"/>
    <cellStyle name="40% - 强调文字颜色 1 5 19" xfId="4501"/>
    <cellStyle name="40% - 强调文字颜色 1 5 2" xfId="4502"/>
    <cellStyle name="40% - 强调文字颜色 1 5 2 10" xfId="4503"/>
    <cellStyle name="40% - 强调文字颜色 1 5 2 11" xfId="4504"/>
    <cellStyle name="40% - 强调文字颜色 1 5 2 12" xfId="4505"/>
    <cellStyle name="40% - 强调文字颜色 1 5 2 13" xfId="4506"/>
    <cellStyle name="40% - 强调文字颜色 1 5 2 14" xfId="4507"/>
    <cellStyle name="40% - 强调文字颜色 1 5 2 15" xfId="4508"/>
    <cellStyle name="40% - 强调文字颜色 1 5 2 16" xfId="4509"/>
    <cellStyle name="40% - 强调文字颜色 1 5 2 17" xfId="4510"/>
    <cellStyle name="40% - 强调文字颜色 1 5 2 18" xfId="4511"/>
    <cellStyle name="40% - 强调文字颜色 1 5 2 19" xfId="4512"/>
    <cellStyle name="40% - 强调文字颜色 1 5 2 2" xfId="4513"/>
    <cellStyle name="40% - 强调文字颜色 1 5 2 20" xfId="4514"/>
    <cellStyle name="40% - 强调文字颜色 1 5 2 21" xfId="4515"/>
    <cellStyle name="40% - 强调文字颜色 1 5 2 22" xfId="4516"/>
    <cellStyle name="40% - 强调文字颜色 1 5 2 23" xfId="4517"/>
    <cellStyle name="40% - 强调文字颜色 1 5 2 24" xfId="4518"/>
    <cellStyle name="40% - 强调文字颜色 1 5 2 25" xfId="4519"/>
    <cellStyle name="40% - 强调文字颜色 1 5 2 26" xfId="4520"/>
    <cellStyle name="40% - 强调文字颜色 1 5 2 27" xfId="4521"/>
    <cellStyle name="40% - 强调文字颜色 1 5 2 3" xfId="4522"/>
    <cellStyle name="40% - 强调文字颜色 1 5 2 4" xfId="4523"/>
    <cellStyle name="40% - 强调文字颜色 1 5 2 5" xfId="4524"/>
    <cellStyle name="40% - 强调文字颜色 1 5 2 6" xfId="4525"/>
    <cellStyle name="40% - 强调文字颜色 1 5 2 7" xfId="4526"/>
    <cellStyle name="40% - 强调文字颜色 1 5 2 8" xfId="4527"/>
    <cellStyle name="40% - 强调文字颜色 1 5 2 9" xfId="4528"/>
    <cellStyle name="40% - 强调文字颜色 1 5 20" xfId="4529"/>
    <cellStyle name="40% - 强调文字颜色 1 5 21" xfId="4530"/>
    <cellStyle name="40% - 强调文字颜色 1 5 22" xfId="4531"/>
    <cellStyle name="40% - 强调文字颜色 1 5 23" xfId="4532"/>
    <cellStyle name="40% - 强调文字颜色 1 5 24" xfId="4533"/>
    <cellStyle name="40% - 强调文字颜色 1 5 25" xfId="4534"/>
    <cellStyle name="40% - 强调文字颜色 1 5 26" xfId="4535"/>
    <cellStyle name="40% - 强调文字颜色 1 5 27" xfId="4536"/>
    <cellStyle name="40% - 强调文字颜色 1 5 28" xfId="4537"/>
    <cellStyle name="40% - 强调文字颜色 1 5 3" xfId="4538"/>
    <cellStyle name="40% - 强调文字颜色 1 5 4" xfId="4539"/>
    <cellStyle name="40% - 强调文字颜色 1 5 5" xfId="4540"/>
    <cellStyle name="40% - 强调文字颜色 1 5 6" xfId="4541"/>
    <cellStyle name="40% - 强调文字颜色 1 5 7" xfId="4542"/>
    <cellStyle name="40% - 强调文字颜色 1 5 8" xfId="4543"/>
    <cellStyle name="40% - 强调文字颜色 1 5 9" xfId="4544"/>
    <cellStyle name="40% - 强调文字颜色 1 6" xfId="4545"/>
    <cellStyle name="40% - 强调文字颜色 1 6 10" xfId="4546"/>
    <cellStyle name="40% - 强调文字颜色 1 6 11" xfId="4547"/>
    <cellStyle name="40% - 强调文字颜色 1 6 12" xfId="4548"/>
    <cellStyle name="40% - 强调文字颜色 1 6 13" xfId="4549"/>
    <cellStyle name="40% - 强调文字颜色 1 6 14" xfId="4550"/>
    <cellStyle name="40% - 强调文字颜色 1 6 15" xfId="4551"/>
    <cellStyle name="40% - 强调文字颜色 1 6 16" xfId="4552"/>
    <cellStyle name="40% - 强调文字颜色 1 6 17" xfId="4553"/>
    <cellStyle name="40% - 强调文字颜色 1 6 18" xfId="4554"/>
    <cellStyle name="40% - 强调文字颜色 1 6 19" xfId="4555"/>
    <cellStyle name="40% - 强调文字颜色 1 6 2" xfId="4556"/>
    <cellStyle name="40% - 强调文字颜色 1 6 2 10" xfId="4557"/>
    <cellStyle name="40% - 强调文字颜色 1 6 2 11" xfId="4558"/>
    <cellStyle name="40% - 强调文字颜色 1 6 2 12" xfId="4559"/>
    <cellStyle name="40% - 强调文字颜色 1 6 2 13" xfId="4560"/>
    <cellStyle name="40% - 强调文字颜色 1 6 2 14" xfId="4561"/>
    <cellStyle name="40% - 强调文字颜色 1 6 2 15" xfId="4562"/>
    <cellStyle name="40% - 强调文字颜色 1 6 2 16" xfId="4563"/>
    <cellStyle name="40% - 强调文字颜色 1 6 2 17" xfId="4564"/>
    <cellStyle name="40% - 强调文字颜色 1 6 2 18" xfId="4565"/>
    <cellStyle name="40% - 强调文字颜色 1 6 2 19" xfId="4566"/>
    <cellStyle name="40% - 强调文字颜色 1 6 2 2" xfId="4567"/>
    <cellStyle name="40% - 强调文字颜色 1 6 2 20" xfId="4568"/>
    <cellStyle name="40% - 强调文字颜色 1 6 2 21" xfId="4569"/>
    <cellStyle name="40% - 强调文字颜色 1 6 2 22" xfId="4570"/>
    <cellStyle name="40% - 强调文字颜色 1 6 2 23" xfId="4571"/>
    <cellStyle name="40% - 强调文字颜色 1 6 2 24" xfId="4572"/>
    <cellStyle name="40% - 强调文字颜色 1 6 2 25" xfId="4573"/>
    <cellStyle name="40% - 强调文字颜色 1 6 2 26" xfId="4574"/>
    <cellStyle name="40% - 强调文字颜色 1 6 2 27" xfId="4575"/>
    <cellStyle name="40% - 强调文字颜色 1 6 2 3" xfId="4576"/>
    <cellStyle name="40% - 强调文字颜色 1 6 2 4" xfId="4577"/>
    <cellStyle name="40% - 强调文字颜色 1 6 2 5" xfId="4578"/>
    <cellStyle name="40% - 强调文字颜色 1 6 2 6" xfId="4579"/>
    <cellStyle name="40% - 强调文字颜色 1 6 2 7" xfId="4580"/>
    <cellStyle name="40% - 强调文字颜色 1 6 2 8" xfId="4581"/>
    <cellStyle name="40% - 强调文字颜色 1 6 2 9" xfId="4582"/>
    <cellStyle name="40% - 强调文字颜色 1 6 20" xfId="4583"/>
    <cellStyle name="40% - 强调文字颜色 1 6 21" xfId="4584"/>
    <cellStyle name="40% - 强调文字颜色 1 6 22" xfId="4585"/>
    <cellStyle name="40% - 强调文字颜色 1 6 23" xfId="4586"/>
    <cellStyle name="40% - 强调文字颜色 1 6 24" xfId="4587"/>
    <cellStyle name="40% - 强调文字颜色 1 6 25" xfId="4588"/>
    <cellStyle name="40% - 强调文字颜色 1 6 26" xfId="4589"/>
    <cellStyle name="40% - 强调文字颜色 1 6 27" xfId="4590"/>
    <cellStyle name="40% - 强调文字颜色 1 6 28" xfId="4591"/>
    <cellStyle name="40% - 强调文字颜色 1 6 3" xfId="4592"/>
    <cellStyle name="40% - 强调文字颜色 1 6 4" xfId="4593"/>
    <cellStyle name="40% - 强调文字颜色 1 6 5" xfId="4594"/>
    <cellStyle name="40% - 强调文字颜色 1 6 6" xfId="4595"/>
    <cellStyle name="40% - 强调文字颜色 1 6 7" xfId="4596"/>
    <cellStyle name="40% - 强调文字颜色 1 6 8" xfId="4597"/>
    <cellStyle name="40% - 强调文字颜色 1 6 9" xfId="4598"/>
    <cellStyle name="40% - 强调文字颜色 1 7" xfId="4599"/>
    <cellStyle name="40% - 强调文字颜色 1 7 10" xfId="4600"/>
    <cellStyle name="40% - 强调文字颜色 1 7 11" xfId="4601"/>
    <cellStyle name="40% - 强调文字颜色 1 7 12" xfId="4602"/>
    <cellStyle name="40% - 强调文字颜色 1 7 13" xfId="4603"/>
    <cellStyle name="40% - 强调文字颜色 1 7 14" xfId="4604"/>
    <cellStyle name="40% - 强调文字颜色 1 7 15" xfId="4605"/>
    <cellStyle name="40% - 强调文字颜色 1 7 16" xfId="4606"/>
    <cellStyle name="40% - 强调文字颜色 1 7 17" xfId="4607"/>
    <cellStyle name="40% - 强调文字颜色 1 7 18" xfId="4608"/>
    <cellStyle name="40% - 强调文字颜色 1 7 19" xfId="4609"/>
    <cellStyle name="40% - 强调文字颜色 1 7 2" xfId="4610"/>
    <cellStyle name="40% - 强调文字颜色 1 7 2 10" xfId="4611"/>
    <cellStyle name="40% - 强调文字颜色 1 7 2 11" xfId="4612"/>
    <cellStyle name="40% - 强调文字颜色 1 7 2 12" xfId="4613"/>
    <cellStyle name="40% - 强调文字颜色 1 7 2 13" xfId="4614"/>
    <cellStyle name="40% - 强调文字颜色 1 7 2 14" xfId="4615"/>
    <cellStyle name="40% - 强调文字颜色 1 7 2 15" xfId="4616"/>
    <cellStyle name="40% - 强调文字颜色 1 7 2 16" xfId="4617"/>
    <cellStyle name="40% - 强调文字颜色 1 7 2 17" xfId="4618"/>
    <cellStyle name="40% - 强调文字颜色 1 7 2 18" xfId="4619"/>
    <cellStyle name="40% - 强调文字颜色 1 7 2 19" xfId="4620"/>
    <cellStyle name="40% - 强调文字颜色 1 7 2 2" xfId="4621"/>
    <cellStyle name="40% - 强调文字颜色 1 7 2 20" xfId="4622"/>
    <cellStyle name="40% - 强调文字颜色 1 7 2 21" xfId="4623"/>
    <cellStyle name="40% - 强调文字颜色 1 7 2 22" xfId="4624"/>
    <cellStyle name="40% - 强调文字颜色 1 7 2 23" xfId="4625"/>
    <cellStyle name="40% - 强调文字颜色 1 7 2 24" xfId="4626"/>
    <cellStyle name="40% - 强调文字颜色 1 7 2 25" xfId="4627"/>
    <cellStyle name="40% - 强调文字颜色 1 7 2 26" xfId="4628"/>
    <cellStyle name="40% - 强调文字颜色 1 7 2 27" xfId="4629"/>
    <cellStyle name="40% - 强调文字颜色 1 7 2 3" xfId="4630"/>
    <cellStyle name="40% - 强调文字颜色 1 7 2 4" xfId="4631"/>
    <cellStyle name="40% - 强调文字颜色 1 7 2 5" xfId="4632"/>
    <cellStyle name="40% - 强调文字颜色 1 7 2 6" xfId="4633"/>
    <cellStyle name="40% - 强调文字颜色 1 7 2 7" xfId="4634"/>
    <cellStyle name="40% - 强调文字颜色 1 7 2 8" xfId="4635"/>
    <cellStyle name="40% - 强调文字颜色 1 7 2 9" xfId="4636"/>
    <cellStyle name="40% - 强调文字颜色 1 7 20" xfId="4637"/>
    <cellStyle name="40% - 强调文字颜色 1 7 21" xfId="4638"/>
    <cellStyle name="40% - 强调文字颜色 1 7 22" xfId="4639"/>
    <cellStyle name="40% - 强调文字颜色 1 7 23" xfId="4640"/>
    <cellStyle name="40% - 强调文字颜色 1 7 24" xfId="4641"/>
    <cellStyle name="40% - 强调文字颜色 1 7 25" xfId="4642"/>
    <cellStyle name="40% - 强调文字颜色 1 7 26" xfId="4643"/>
    <cellStyle name="40% - 强调文字颜色 1 7 27" xfId="4644"/>
    <cellStyle name="40% - 强调文字颜色 1 7 28" xfId="4645"/>
    <cellStyle name="40% - 强调文字颜色 1 7 3" xfId="4646"/>
    <cellStyle name="40% - 强调文字颜色 1 7 4" xfId="4647"/>
    <cellStyle name="40% - 强调文字颜色 1 7 5" xfId="4648"/>
    <cellStyle name="40% - 强调文字颜色 1 7 6" xfId="4649"/>
    <cellStyle name="40% - 强调文字颜色 1 7 7" xfId="4650"/>
    <cellStyle name="40% - 强调文字颜色 1 7 8" xfId="4651"/>
    <cellStyle name="40% - 强调文字颜色 1 7 9" xfId="4652"/>
    <cellStyle name="40% - 强调文字颜色 1 8" xfId="4653"/>
    <cellStyle name="40% - 强调文字颜色 1 8 10" xfId="4654"/>
    <cellStyle name="40% - 强调文字颜色 1 8 11" xfId="4655"/>
    <cellStyle name="40% - 强调文字颜色 1 8 12" xfId="4656"/>
    <cellStyle name="40% - 强调文字颜色 1 8 13" xfId="4657"/>
    <cellStyle name="40% - 强调文字颜色 1 8 14" xfId="4658"/>
    <cellStyle name="40% - 强调文字颜色 1 8 15" xfId="4659"/>
    <cellStyle name="40% - 强调文字颜色 1 8 16" xfId="4660"/>
    <cellStyle name="40% - 强调文字颜色 1 8 17" xfId="4661"/>
    <cellStyle name="40% - 强调文字颜色 1 8 18" xfId="4662"/>
    <cellStyle name="40% - 强调文字颜色 1 8 19" xfId="4663"/>
    <cellStyle name="40% - 强调文字颜色 1 8 2" xfId="4664"/>
    <cellStyle name="40% - 强调文字颜色 1 8 2 10" xfId="4665"/>
    <cellStyle name="40% - 强调文字颜色 1 8 2 11" xfId="4666"/>
    <cellStyle name="40% - 强调文字颜色 1 8 2 12" xfId="4667"/>
    <cellStyle name="40% - 强调文字颜色 1 8 2 13" xfId="4668"/>
    <cellStyle name="40% - 强调文字颜色 1 8 2 14" xfId="4669"/>
    <cellStyle name="40% - 强调文字颜色 1 8 2 15" xfId="4670"/>
    <cellStyle name="40% - 强调文字颜色 1 8 2 16" xfId="4671"/>
    <cellStyle name="40% - 强调文字颜色 1 8 2 17" xfId="4672"/>
    <cellStyle name="40% - 强调文字颜色 1 8 2 18" xfId="4673"/>
    <cellStyle name="40% - 强调文字颜色 1 8 2 19" xfId="4674"/>
    <cellStyle name="40% - 强调文字颜色 1 8 2 2" xfId="4675"/>
    <cellStyle name="40% - 强调文字颜色 1 8 2 20" xfId="4676"/>
    <cellStyle name="40% - 强调文字颜色 1 8 2 21" xfId="4677"/>
    <cellStyle name="40% - 强调文字颜色 1 8 2 22" xfId="4678"/>
    <cellStyle name="40% - 强调文字颜色 1 8 2 23" xfId="4679"/>
    <cellStyle name="40% - 强调文字颜色 1 8 2 24" xfId="4680"/>
    <cellStyle name="40% - 强调文字颜色 1 8 2 25" xfId="4681"/>
    <cellStyle name="40% - 强调文字颜色 1 8 2 26" xfId="4682"/>
    <cellStyle name="40% - 强调文字颜色 1 8 2 27" xfId="4683"/>
    <cellStyle name="40% - 强调文字颜色 1 8 2 3" xfId="4684"/>
    <cellStyle name="40% - 强调文字颜色 1 8 2 4" xfId="4685"/>
    <cellStyle name="40% - 强调文字颜色 1 8 2 5" xfId="4686"/>
    <cellStyle name="40% - 强调文字颜色 1 8 2 6" xfId="4687"/>
    <cellStyle name="40% - 强调文字颜色 1 8 2 7" xfId="4688"/>
    <cellStyle name="40% - 强调文字颜色 1 8 2 8" xfId="4689"/>
    <cellStyle name="40% - 强调文字颜色 1 8 2 9" xfId="4690"/>
    <cellStyle name="40% - 强调文字颜色 1 8 20" xfId="4691"/>
    <cellStyle name="40% - 强调文字颜色 1 8 21" xfId="4692"/>
    <cellStyle name="40% - 强调文字颜色 1 8 22" xfId="4693"/>
    <cellStyle name="40% - 强调文字颜色 1 8 23" xfId="4694"/>
    <cellStyle name="40% - 强调文字颜色 1 8 24" xfId="4695"/>
    <cellStyle name="40% - 强调文字颜色 1 8 25" xfId="4696"/>
    <cellStyle name="40% - 强调文字颜色 1 8 26" xfId="4697"/>
    <cellStyle name="40% - 强调文字颜色 1 8 27" xfId="4698"/>
    <cellStyle name="40% - 强调文字颜色 1 8 28" xfId="4699"/>
    <cellStyle name="40% - 强调文字颜色 1 8 3" xfId="4700"/>
    <cellStyle name="40% - 强调文字颜色 1 8 4" xfId="4701"/>
    <cellStyle name="40% - 强调文字颜色 1 8 5" xfId="4702"/>
    <cellStyle name="40% - 强调文字颜色 1 8 6" xfId="4703"/>
    <cellStyle name="40% - 强调文字颜色 1 8 7" xfId="4704"/>
    <cellStyle name="40% - 强调文字颜色 1 8 8" xfId="4705"/>
    <cellStyle name="40% - 强调文字颜色 1 8 9" xfId="4706"/>
    <cellStyle name="40% - 强调文字颜色 1 9" xfId="4707"/>
    <cellStyle name="40% - 强调文字颜色 1 9 10" xfId="4708"/>
    <cellStyle name="40% - 强调文字颜色 1 9 11" xfId="4709"/>
    <cellStyle name="40% - 强调文字颜色 1 9 12" xfId="4710"/>
    <cellStyle name="40% - 强调文字颜色 1 9 13" xfId="4711"/>
    <cellStyle name="40% - 强调文字颜色 1 9 14" xfId="4712"/>
    <cellStyle name="40% - 强调文字颜色 1 9 15" xfId="4713"/>
    <cellStyle name="40% - 强调文字颜色 1 9 16" xfId="4714"/>
    <cellStyle name="40% - 强调文字颜色 1 9 17" xfId="4715"/>
    <cellStyle name="40% - 强调文字颜色 1 9 18" xfId="4716"/>
    <cellStyle name="40% - 强调文字颜色 1 9 19" xfId="4717"/>
    <cellStyle name="40% - 强调文字颜色 1 9 2" xfId="4718"/>
    <cellStyle name="40% - 强调文字颜色 1 9 2 10" xfId="4719"/>
    <cellStyle name="40% - 强调文字颜色 1 9 2 11" xfId="4720"/>
    <cellStyle name="40% - 强调文字颜色 1 9 2 12" xfId="4721"/>
    <cellStyle name="40% - 强调文字颜色 1 9 2 13" xfId="4722"/>
    <cellStyle name="40% - 强调文字颜色 1 9 2 14" xfId="4723"/>
    <cellStyle name="40% - 强调文字颜色 1 9 2 15" xfId="4724"/>
    <cellStyle name="40% - 强调文字颜色 1 9 2 16" xfId="4725"/>
    <cellStyle name="40% - 强调文字颜色 1 9 2 17" xfId="4726"/>
    <cellStyle name="40% - 强调文字颜色 1 9 2 18" xfId="4727"/>
    <cellStyle name="40% - 强调文字颜色 1 9 2 19" xfId="4728"/>
    <cellStyle name="40% - 强调文字颜色 1 9 2 2" xfId="4729"/>
    <cellStyle name="40% - 强调文字颜色 1 9 2 20" xfId="4730"/>
    <cellStyle name="40% - 强调文字颜色 1 9 2 21" xfId="4731"/>
    <cellStyle name="40% - 强调文字颜色 1 9 2 22" xfId="4732"/>
    <cellStyle name="40% - 强调文字颜色 1 9 2 23" xfId="4733"/>
    <cellStyle name="40% - 强调文字颜色 1 9 2 24" xfId="4734"/>
    <cellStyle name="40% - 强调文字颜色 1 9 2 25" xfId="4735"/>
    <cellStyle name="40% - 强调文字颜色 1 9 2 26" xfId="4736"/>
    <cellStyle name="40% - 强调文字颜色 1 9 2 27" xfId="4737"/>
    <cellStyle name="40% - 强调文字颜色 1 9 2 3" xfId="4738"/>
    <cellStyle name="40% - 强调文字颜色 1 9 2 4" xfId="4739"/>
    <cellStyle name="40% - 强调文字颜色 1 9 2 5" xfId="4740"/>
    <cellStyle name="40% - 强调文字颜色 1 9 2 6" xfId="4741"/>
    <cellStyle name="40% - 强调文字颜色 1 9 2 7" xfId="4742"/>
    <cellStyle name="40% - 强调文字颜色 1 9 2 8" xfId="4743"/>
    <cellStyle name="40% - 强调文字颜色 1 9 2 9" xfId="4744"/>
    <cellStyle name="40% - 强调文字颜色 1 9 20" xfId="4745"/>
    <cellStyle name="40% - 强调文字颜色 1 9 21" xfId="4746"/>
    <cellStyle name="40% - 强调文字颜色 1 9 22" xfId="4747"/>
    <cellStyle name="40% - 强调文字颜色 1 9 23" xfId="4748"/>
    <cellStyle name="40% - 强调文字颜色 1 9 24" xfId="4749"/>
    <cellStyle name="40% - 强调文字颜色 1 9 25" xfId="4750"/>
    <cellStyle name="40% - 强调文字颜色 1 9 26" xfId="4751"/>
    <cellStyle name="40% - 强调文字颜色 1 9 27" xfId="4752"/>
    <cellStyle name="40% - 强调文字颜色 1 9 28" xfId="4753"/>
    <cellStyle name="40% - 强调文字颜色 1 9 3" xfId="4754"/>
    <cellStyle name="40% - 强调文字颜色 1 9 4" xfId="4755"/>
    <cellStyle name="40% - 强调文字颜色 1 9 5" xfId="4756"/>
    <cellStyle name="40% - 强调文字颜色 1 9 6" xfId="4757"/>
    <cellStyle name="40% - 强调文字颜色 1 9 7" xfId="4758"/>
    <cellStyle name="40% - 强调文字颜色 1 9 8" xfId="4759"/>
    <cellStyle name="40% - 强调文字颜色 1 9 9" xfId="4760"/>
    <cellStyle name="40% - 强调文字颜色 2 10" xfId="4761"/>
    <cellStyle name="40% - 强调文字颜色 2 10 10" xfId="4762"/>
    <cellStyle name="40% - 强调文字颜色 2 10 11" xfId="4763"/>
    <cellStyle name="40% - 强调文字颜色 2 10 12" xfId="4764"/>
    <cellStyle name="40% - 强调文字颜色 2 10 13" xfId="4765"/>
    <cellStyle name="40% - 强调文字颜色 2 10 14" xfId="4766"/>
    <cellStyle name="40% - 强调文字颜色 2 10 15" xfId="4767"/>
    <cellStyle name="40% - 强调文字颜色 2 10 16" xfId="4768"/>
    <cellStyle name="40% - 强调文字颜色 2 10 17" xfId="4769"/>
    <cellStyle name="40% - 强调文字颜色 2 10 18" xfId="4770"/>
    <cellStyle name="40% - 强调文字颜色 2 10 19" xfId="4771"/>
    <cellStyle name="40% - 强调文字颜色 2 10 2" xfId="4772"/>
    <cellStyle name="40% - 强调文字颜色 2 10 2 10" xfId="4773"/>
    <cellStyle name="40% - 强调文字颜色 2 10 2 11" xfId="4774"/>
    <cellStyle name="40% - 强调文字颜色 2 10 2 12" xfId="4775"/>
    <cellStyle name="40% - 强调文字颜色 2 10 2 13" xfId="4776"/>
    <cellStyle name="40% - 强调文字颜色 2 10 2 14" xfId="4777"/>
    <cellStyle name="40% - 强调文字颜色 2 10 2 15" xfId="4778"/>
    <cellStyle name="40% - 强调文字颜色 2 10 2 16" xfId="4779"/>
    <cellStyle name="40% - 强调文字颜色 2 10 2 17" xfId="4780"/>
    <cellStyle name="40% - 强调文字颜色 2 10 2 18" xfId="4781"/>
    <cellStyle name="40% - 强调文字颜色 2 10 2 19" xfId="4782"/>
    <cellStyle name="40% - 强调文字颜色 2 10 2 2" xfId="4783"/>
    <cellStyle name="40% - 强调文字颜色 2 10 2 20" xfId="4784"/>
    <cellStyle name="40% - 强调文字颜色 2 10 2 21" xfId="4785"/>
    <cellStyle name="40% - 强调文字颜色 2 10 2 22" xfId="4786"/>
    <cellStyle name="40% - 强调文字颜色 2 10 2 23" xfId="4787"/>
    <cellStyle name="40% - 强调文字颜色 2 10 2 24" xfId="4788"/>
    <cellStyle name="40% - 强调文字颜色 2 10 2 25" xfId="4789"/>
    <cellStyle name="40% - 强调文字颜色 2 10 2 26" xfId="4790"/>
    <cellStyle name="40% - 强调文字颜色 2 10 2 27" xfId="4791"/>
    <cellStyle name="40% - 强调文字颜色 2 10 2 3" xfId="4792"/>
    <cellStyle name="40% - 强调文字颜色 2 10 2 4" xfId="4793"/>
    <cellStyle name="40% - 强调文字颜色 2 10 2 5" xfId="4794"/>
    <cellStyle name="40% - 强调文字颜色 2 10 2 6" xfId="4795"/>
    <cellStyle name="40% - 强调文字颜色 2 10 2 7" xfId="4796"/>
    <cellStyle name="40% - 强调文字颜色 2 10 2 8" xfId="4797"/>
    <cellStyle name="40% - 强调文字颜色 2 10 2 9" xfId="4798"/>
    <cellStyle name="40% - 强调文字颜色 2 10 20" xfId="4799"/>
    <cellStyle name="40% - 强调文字颜色 2 10 21" xfId="4800"/>
    <cellStyle name="40% - 强调文字颜色 2 10 22" xfId="4801"/>
    <cellStyle name="40% - 强调文字颜色 2 10 23" xfId="4802"/>
    <cellStyle name="40% - 强调文字颜色 2 10 24" xfId="4803"/>
    <cellStyle name="40% - 强调文字颜色 2 10 25" xfId="4804"/>
    <cellStyle name="40% - 强调文字颜色 2 10 26" xfId="4805"/>
    <cellStyle name="40% - 强调文字颜色 2 10 27" xfId="4806"/>
    <cellStyle name="40% - 强调文字颜色 2 10 28" xfId="4807"/>
    <cellStyle name="40% - 强调文字颜色 2 10 3" xfId="4808"/>
    <cellStyle name="40% - 强调文字颜色 2 10 4" xfId="4809"/>
    <cellStyle name="40% - 强调文字颜色 2 10 5" xfId="4810"/>
    <cellStyle name="40% - 强调文字颜色 2 10 6" xfId="4811"/>
    <cellStyle name="40% - 强调文字颜色 2 10 7" xfId="4812"/>
    <cellStyle name="40% - 强调文字颜色 2 10 8" xfId="4813"/>
    <cellStyle name="40% - 强调文字颜色 2 10 9" xfId="4814"/>
    <cellStyle name="40% - 强调文字颜色 2 11" xfId="4815"/>
    <cellStyle name="40% - 强调文字颜色 2 11 10" xfId="4816"/>
    <cellStyle name="40% - 强调文字颜色 2 11 11" xfId="4817"/>
    <cellStyle name="40% - 强调文字颜色 2 11 12" xfId="4818"/>
    <cellStyle name="40% - 强调文字颜色 2 11 13" xfId="4819"/>
    <cellStyle name="40% - 强调文字颜色 2 11 14" xfId="4820"/>
    <cellStyle name="40% - 强调文字颜色 2 11 15" xfId="4821"/>
    <cellStyle name="40% - 强调文字颜色 2 11 16" xfId="4822"/>
    <cellStyle name="40% - 强调文字颜色 2 11 17" xfId="4823"/>
    <cellStyle name="40% - 强调文字颜色 2 11 18" xfId="4824"/>
    <cellStyle name="40% - 强调文字颜色 2 11 19" xfId="4825"/>
    <cellStyle name="40% - 强调文字颜色 2 11 2" xfId="4826"/>
    <cellStyle name="40% - 强调文字颜色 2 11 2 10" xfId="4827"/>
    <cellStyle name="40% - 强调文字颜色 2 11 2 11" xfId="4828"/>
    <cellStyle name="40% - 强调文字颜色 2 11 2 12" xfId="4829"/>
    <cellStyle name="40% - 强调文字颜色 2 11 2 13" xfId="4830"/>
    <cellStyle name="40% - 强调文字颜色 2 11 2 14" xfId="4831"/>
    <cellStyle name="40% - 强调文字颜色 2 11 2 15" xfId="4832"/>
    <cellStyle name="40% - 强调文字颜色 2 11 2 16" xfId="4833"/>
    <cellStyle name="40% - 强调文字颜色 2 11 2 17" xfId="4834"/>
    <cellStyle name="40% - 强调文字颜色 2 11 2 18" xfId="4835"/>
    <cellStyle name="40% - 强调文字颜色 2 11 2 19" xfId="4836"/>
    <cellStyle name="40% - 强调文字颜色 2 11 2 2" xfId="4837"/>
    <cellStyle name="40% - 强调文字颜色 2 11 2 20" xfId="4838"/>
    <cellStyle name="40% - 强调文字颜色 2 11 2 21" xfId="4839"/>
    <cellStyle name="40% - 强调文字颜色 2 11 2 22" xfId="4840"/>
    <cellStyle name="40% - 强调文字颜色 2 11 2 23" xfId="4841"/>
    <cellStyle name="40% - 强调文字颜色 2 11 2 24" xfId="4842"/>
    <cellStyle name="40% - 强调文字颜色 2 11 2 25" xfId="4843"/>
    <cellStyle name="40% - 强调文字颜色 2 11 2 26" xfId="4844"/>
    <cellStyle name="40% - 强调文字颜色 2 11 2 27" xfId="4845"/>
    <cellStyle name="40% - 强调文字颜色 2 11 2 3" xfId="4846"/>
    <cellStyle name="40% - 强调文字颜色 2 11 2 4" xfId="4847"/>
    <cellStyle name="40% - 强调文字颜色 2 11 2 5" xfId="4848"/>
    <cellStyle name="40% - 强调文字颜色 2 11 2 6" xfId="4849"/>
    <cellStyle name="40% - 强调文字颜色 2 11 2 7" xfId="4850"/>
    <cellStyle name="40% - 强调文字颜色 2 11 2 8" xfId="4851"/>
    <cellStyle name="40% - 强调文字颜色 2 11 2 9" xfId="4852"/>
    <cellStyle name="40% - 强调文字颜色 2 11 20" xfId="4853"/>
    <cellStyle name="40% - 强调文字颜色 2 11 21" xfId="4854"/>
    <cellStyle name="40% - 强调文字颜色 2 11 22" xfId="4855"/>
    <cellStyle name="40% - 强调文字颜色 2 11 23" xfId="4856"/>
    <cellStyle name="40% - 强调文字颜色 2 11 24" xfId="4857"/>
    <cellStyle name="40% - 强调文字颜色 2 11 25" xfId="4858"/>
    <cellStyle name="40% - 强调文字颜色 2 11 26" xfId="4859"/>
    <cellStyle name="40% - 强调文字颜色 2 11 27" xfId="4860"/>
    <cellStyle name="40% - 强调文字颜色 2 11 28" xfId="4861"/>
    <cellStyle name="40% - 强调文字颜色 2 11 3" xfId="4862"/>
    <cellStyle name="40% - 强调文字颜色 2 11 4" xfId="4863"/>
    <cellStyle name="40% - 强调文字颜色 2 11 5" xfId="4864"/>
    <cellStyle name="40% - 强调文字颜色 2 11 6" xfId="4865"/>
    <cellStyle name="40% - 强调文字颜色 2 11 7" xfId="4866"/>
    <cellStyle name="40% - 强调文字颜色 2 11 8" xfId="4867"/>
    <cellStyle name="40% - 强调文字颜色 2 11 9" xfId="4868"/>
    <cellStyle name="40% - 强调文字颜色 2 12" xfId="4869"/>
    <cellStyle name="40% - 强调文字颜色 2 13" xfId="4870"/>
    <cellStyle name="40% - 强调文字颜色 2 14" xfId="4871"/>
    <cellStyle name="40% - 强调文字颜色 2 15" xfId="4872"/>
    <cellStyle name="40% - 强调文字颜色 2 16" xfId="4873"/>
    <cellStyle name="40% - 强调文字颜色 2 17" xfId="4874"/>
    <cellStyle name="40% - 强调文字颜色 2 18" xfId="4875"/>
    <cellStyle name="40% - 强调文字颜色 2 19" xfId="4876"/>
    <cellStyle name="40% - 强调文字颜色 2 2" xfId="4877"/>
    <cellStyle name="40% - 强调文字颜色 2 2 10" xfId="4878"/>
    <cellStyle name="40% - 强调文字颜色 2 2 11" xfId="4879"/>
    <cellStyle name="40% - 强调文字颜色 2 2 12" xfId="4880"/>
    <cellStyle name="40% - 强调文字颜色 2 2 13" xfId="4881"/>
    <cellStyle name="40% - 强调文字颜色 2 2 14" xfId="4882"/>
    <cellStyle name="40% - 强调文字颜色 2 2 15" xfId="4883"/>
    <cellStyle name="40% - 强调文字颜色 2 2 16" xfId="4884"/>
    <cellStyle name="40% - 强调文字颜色 2 2 17" xfId="4885"/>
    <cellStyle name="40% - 强调文字颜色 2 2 18" xfId="4886"/>
    <cellStyle name="40% - 强调文字颜色 2 2 19" xfId="4887"/>
    <cellStyle name="40% - 强调文字颜色 2 2 2" xfId="4888"/>
    <cellStyle name="40% - 强调文字颜色 2 2 2 10" xfId="4889"/>
    <cellStyle name="40% - 强调文字颜色 2 2 2 11" xfId="4890"/>
    <cellStyle name="40% - 强调文字颜色 2 2 2 12" xfId="4891"/>
    <cellStyle name="40% - 强调文字颜色 2 2 2 13" xfId="4892"/>
    <cellStyle name="40% - 强调文字颜色 2 2 2 14" xfId="4893"/>
    <cellStyle name="40% - 强调文字颜色 2 2 2 15" xfId="4894"/>
    <cellStyle name="40% - 强调文字颜色 2 2 2 16" xfId="4895"/>
    <cellStyle name="40% - 强调文字颜色 2 2 2 17" xfId="4896"/>
    <cellStyle name="40% - 强调文字颜色 2 2 2 18" xfId="4897"/>
    <cellStyle name="40% - 强调文字颜色 2 2 2 19" xfId="4898"/>
    <cellStyle name="40% - 强调文字颜色 2 2 2 2" xfId="4899"/>
    <cellStyle name="40% - 强调文字颜色 2 2 2 2 10" xfId="4900"/>
    <cellStyle name="40% - 强调文字颜色 2 2 2 2 11" xfId="4901"/>
    <cellStyle name="40% - 强调文字颜色 2 2 2 2 12" xfId="4902"/>
    <cellStyle name="40% - 强调文字颜色 2 2 2 2 13" xfId="4903"/>
    <cellStyle name="40% - 强调文字颜色 2 2 2 2 14" xfId="4904"/>
    <cellStyle name="40% - 强调文字颜色 2 2 2 2 15" xfId="4905"/>
    <cellStyle name="40% - 强调文字颜色 2 2 2 2 16" xfId="4906"/>
    <cellStyle name="40% - 强调文字颜色 2 2 2 2 17" xfId="4907"/>
    <cellStyle name="40% - 强调文字颜色 2 2 2 2 18" xfId="4908"/>
    <cellStyle name="40% - 强调文字颜色 2 2 2 2 19" xfId="4909"/>
    <cellStyle name="40% - 强调文字颜色 2 2 2 2 2" xfId="4910"/>
    <cellStyle name="40% - 强调文字颜色 2 2 2 2 20" xfId="4911"/>
    <cellStyle name="40% - 强调文字颜色 2 2 2 2 21" xfId="4912"/>
    <cellStyle name="40% - 强调文字颜色 2 2 2 2 22" xfId="4913"/>
    <cellStyle name="40% - 强调文字颜色 2 2 2 2 23" xfId="4914"/>
    <cellStyle name="40% - 强调文字颜色 2 2 2 2 24" xfId="4915"/>
    <cellStyle name="40% - 强调文字颜色 2 2 2 2 25" xfId="4916"/>
    <cellStyle name="40% - 强调文字颜色 2 2 2 2 26" xfId="4917"/>
    <cellStyle name="40% - 强调文字颜色 2 2 2 2 27" xfId="4918"/>
    <cellStyle name="40% - 强调文字颜色 2 2 2 2 3" xfId="4919"/>
    <cellStyle name="40% - 强调文字颜色 2 2 2 2 4" xfId="4920"/>
    <cellStyle name="40% - 强调文字颜色 2 2 2 2 5" xfId="4921"/>
    <cellStyle name="40% - 强调文字颜色 2 2 2 2 6" xfId="4922"/>
    <cellStyle name="40% - 强调文字颜色 2 2 2 2 7" xfId="4923"/>
    <cellStyle name="40% - 强调文字颜色 2 2 2 2 8" xfId="4924"/>
    <cellStyle name="40% - 强调文字颜色 2 2 2 2 9" xfId="4925"/>
    <cellStyle name="40% - 强调文字颜色 2 2 2 20" xfId="4926"/>
    <cellStyle name="40% - 强调文字颜色 2 2 2 21" xfId="4927"/>
    <cellStyle name="40% - 强调文字颜色 2 2 2 22" xfId="4928"/>
    <cellStyle name="40% - 强调文字颜色 2 2 2 23" xfId="4929"/>
    <cellStyle name="40% - 强调文字颜色 2 2 2 24" xfId="4930"/>
    <cellStyle name="40% - 强调文字颜色 2 2 2 25" xfId="4931"/>
    <cellStyle name="40% - 强调文字颜色 2 2 2 26" xfId="4932"/>
    <cellStyle name="40% - 强调文字颜色 2 2 2 27" xfId="4933"/>
    <cellStyle name="40% - 强调文字颜色 2 2 2 28" xfId="4934"/>
    <cellStyle name="40% - 强调文字颜色 2 2 2 3" xfId="4935"/>
    <cellStyle name="40% - 强调文字颜色 2 2 2 4" xfId="4936"/>
    <cellStyle name="40% - 强调文字颜色 2 2 2 5" xfId="4937"/>
    <cellStyle name="40% - 强调文字颜色 2 2 2 6" xfId="4938"/>
    <cellStyle name="40% - 强调文字颜色 2 2 2 7" xfId="4939"/>
    <cellStyle name="40% - 强调文字颜色 2 2 2 8" xfId="4940"/>
    <cellStyle name="40% - 强调文字颜色 2 2 2 9" xfId="4941"/>
    <cellStyle name="40% - 强调文字颜色 2 2 20" xfId="4942"/>
    <cellStyle name="40% - 强调文字颜色 2 2 21" xfId="4943"/>
    <cellStyle name="40% - 强调文字颜色 2 2 22" xfId="4944"/>
    <cellStyle name="40% - 强调文字颜色 2 2 23" xfId="4945"/>
    <cellStyle name="40% - 强调文字颜色 2 2 24" xfId="4946"/>
    <cellStyle name="40% - 强调文字颜色 2 2 25" xfId="4947"/>
    <cellStyle name="40% - 强调文字颜色 2 2 26" xfId="4948"/>
    <cellStyle name="40% - 强调文字颜色 2 2 27" xfId="4949"/>
    <cellStyle name="40% - 强调文字颜色 2 2 28" xfId="4950"/>
    <cellStyle name="40% - 强调文字颜色 2 2 29" xfId="4951"/>
    <cellStyle name="40% - 强调文字颜色 2 2 3" xfId="4952"/>
    <cellStyle name="40% - 强调文字颜色 2 2 3 10" xfId="4953"/>
    <cellStyle name="40% - 强调文字颜色 2 2 3 11" xfId="4954"/>
    <cellStyle name="40% - 强调文字颜色 2 2 3 12" xfId="4955"/>
    <cellStyle name="40% - 强调文字颜色 2 2 3 13" xfId="4956"/>
    <cellStyle name="40% - 强调文字颜色 2 2 3 14" xfId="4957"/>
    <cellStyle name="40% - 强调文字颜色 2 2 3 15" xfId="4958"/>
    <cellStyle name="40% - 强调文字颜色 2 2 3 16" xfId="4959"/>
    <cellStyle name="40% - 强调文字颜色 2 2 3 17" xfId="4960"/>
    <cellStyle name="40% - 强调文字颜色 2 2 3 18" xfId="4961"/>
    <cellStyle name="40% - 强调文字颜色 2 2 3 19" xfId="4962"/>
    <cellStyle name="40% - 强调文字颜色 2 2 3 2" xfId="4963"/>
    <cellStyle name="40% - 强调文字颜色 2 2 3 2 10" xfId="4964"/>
    <cellStyle name="40% - 强调文字颜色 2 2 3 2 11" xfId="4965"/>
    <cellStyle name="40% - 强调文字颜色 2 2 3 2 12" xfId="4966"/>
    <cellStyle name="40% - 强调文字颜色 2 2 3 2 13" xfId="4967"/>
    <cellStyle name="40% - 强调文字颜色 2 2 3 2 14" xfId="4968"/>
    <cellStyle name="40% - 强调文字颜色 2 2 3 2 15" xfId="4969"/>
    <cellStyle name="40% - 强调文字颜色 2 2 3 2 16" xfId="4970"/>
    <cellStyle name="40% - 强调文字颜色 2 2 3 2 17" xfId="4971"/>
    <cellStyle name="40% - 强调文字颜色 2 2 3 2 18" xfId="4972"/>
    <cellStyle name="40% - 强调文字颜色 2 2 3 2 19" xfId="4973"/>
    <cellStyle name="40% - 强调文字颜色 2 2 3 2 2" xfId="4974"/>
    <cellStyle name="40% - 强调文字颜色 2 2 3 2 20" xfId="4975"/>
    <cellStyle name="40% - 强调文字颜色 2 2 3 2 21" xfId="4976"/>
    <cellStyle name="40% - 强调文字颜色 2 2 3 2 22" xfId="4977"/>
    <cellStyle name="40% - 强调文字颜色 2 2 3 2 23" xfId="4978"/>
    <cellStyle name="40% - 强调文字颜色 2 2 3 2 24" xfId="4979"/>
    <cellStyle name="40% - 强调文字颜色 2 2 3 2 25" xfId="4980"/>
    <cellStyle name="40% - 强调文字颜色 2 2 3 2 26" xfId="4981"/>
    <cellStyle name="40% - 强调文字颜色 2 2 3 2 27" xfId="4982"/>
    <cellStyle name="40% - 强调文字颜色 2 2 3 2 3" xfId="4983"/>
    <cellStyle name="40% - 强调文字颜色 2 2 3 2 4" xfId="4984"/>
    <cellStyle name="40% - 强调文字颜色 2 2 3 2 5" xfId="4985"/>
    <cellStyle name="40% - 强调文字颜色 2 2 3 2 6" xfId="4986"/>
    <cellStyle name="40% - 强调文字颜色 2 2 3 2 7" xfId="4987"/>
    <cellStyle name="40% - 强调文字颜色 2 2 3 2 8" xfId="4988"/>
    <cellStyle name="40% - 强调文字颜色 2 2 3 2 9" xfId="4989"/>
    <cellStyle name="40% - 强调文字颜色 2 2 3 20" xfId="4990"/>
    <cellStyle name="40% - 强调文字颜色 2 2 3 21" xfId="4991"/>
    <cellStyle name="40% - 强调文字颜色 2 2 3 22" xfId="4992"/>
    <cellStyle name="40% - 强调文字颜色 2 2 3 23" xfId="4993"/>
    <cellStyle name="40% - 强调文字颜色 2 2 3 24" xfId="4994"/>
    <cellStyle name="40% - 强调文字颜色 2 2 3 25" xfId="4995"/>
    <cellStyle name="40% - 强调文字颜色 2 2 3 26" xfId="4996"/>
    <cellStyle name="40% - 强调文字颜色 2 2 3 27" xfId="4997"/>
    <cellStyle name="40% - 强调文字颜色 2 2 3 28" xfId="4998"/>
    <cellStyle name="40% - 强调文字颜色 2 2 3 3" xfId="4999"/>
    <cellStyle name="40% - 强调文字颜色 2 2 3 4" xfId="5000"/>
    <cellStyle name="40% - 强调文字颜色 2 2 3 5" xfId="5001"/>
    <cellStyle name="40% - 强调文字颜色 2 2 3 6" xfId="5002"/>
    <cellStyle name="40% - 强调文字颜色 2 2 3 7" xfId="5003"/>
    <cellStyle name="40% - 强调文字颜色 2 2 3 8" xfId="5004"/>
    <cellStyle name="40% - 强调文字颜色 2 2 3 9" xfId="5005"/>
    <cellStyle name="40% - 强调文字颜色 2 2 30" xfId="5006"/>
    <cellStyle name="40% - 强调文字颜色 2 2 31" xfId="5007"/>
    <cellStyle name="40% - 强调文字颜色 2 2 32" xfId="5008"/>
    <cellStyle name="40% - 强调文字颜色 2 2 33" xfId="5009"/>
    <cellStyle name="40% - 强调文字颜色 2 2 4" xfId="5010"/>
    <cellStyle name="40% - 强调文字颜色 2 2 4 10" xfId="5011"/>
    <cellStyle name="40% - 强调文字颜色 2 2 4 11" xfId="5012"/>
    <cellStyle name="40% - 强调文字颜色 2 2 4 12" xfId="5013"/>
    <cellStyle name="40% - 强调文字颜色 2 2 4 13" xfId="5014"/>
    <cellStyle name="40% - 强调文字颜色 2 2 4 14" xfId="5015"/>
    <cellStyle name="40% - 强调文字颜色 2 2 4 15" xfId="5016"/>
    <cellStyle name="40% - 强调文字颜色 2 2 4 16" xfId="5017"/>
    <cellStyle name="40% - 强调文字颜色 2 2 4 17" xfId="5018"/>
    <cellStyle name="40% - 强调文字颜色 2 2 4 18" xfId="5019"/>
    <cellStyle name="40% - 强调文字颜色 2 2 4 19" xfId="5020"/>
    <cellStyle name="40% - 强调文字颜色 2 2 4 2" xfId="5021"/>
    <cellStyle name="40% - 强调文字颜色 2 2 4 20" xfId="5022"/>
    <cellStyle name="40% - 强调文字颜色 2 2 4 21" xfId="5023"/>
    <cellStyle name="40% - 强调文字颜色 2 2 4 22" xfId="5024"/>
    <cellStyle name="40% - 强调文字颜色 2 2 4 23" xfId="5025"/>
    <cellStyle name="40% - 强调文字颜色 2 2 4 24" xfId="5026"/>
    <cellStyle name="40% - 强调文字颜色 2 2 4 25" xfId="5027"/>
    <cellStyle name="40% - 强调文字颜色 2 2 4 26" xfId="5028"/>
    <cellStyle name="40% - 强调文字颜色 2 2 4 27" xfId="5029"/>
    <cellStyle name="40% - 强调文字颜色 2 2 4 3" xfId="5030"/>
    <cellStyle name="40% - 强调文字颜色 2 2 4 4" xfId="5031"/>
    <cellStyle name="40% - 强调文字颜色 2 2 4 5" xfId="5032"/>
    <cellStyle name="40% - 强调文字颜色 2 2 4 6" xfId="5033"/>
    <cellStyle name="40% - 强调文字颜色 2 2 4 7" xfId="5034"/>
    <cellStyle name="40% - 强调文字颜色 2 2 4 8" xfId="5035"/>
    <cellStyle name="40% - 强调文字颜色 2 2 4 9" xfId="5036"/>
    <cellStyle name="40% - 强调文字颜色 2 2 5" xfId="5037"/>
    <cellStyle name="40% - 强调文字颜色 2 2 6" xfId="5038"/>
    <cellStyle name="40% - 强调文字颜色 2 2 7" xfId="5039"/>
    <cellStyle name="40% - 强调文字颜色 2 2 8" xfId="5040"/>
    <cellStyle name="40% - 强调文字颜色 2 2 9" xfId="5041"/>
    <cellStyle name="40% - 强调文字颜色 2 20" xfId="5042"/>
    <cellStyle name="40% - 强调文字颜色 2 21" xfId="5043"/>
    <cellStyle name="40% - 强调文字颜色 2 22" xfId="5044"/>
    <cellStyle name="40% - 强调文字颜色 2 23" xfId="5045"/>
    <cellStyle name="40% - 强调文字颜色 2 24" xfId="5046"/>
    <cellStyle name="40% - 强调文字颜色 2 25" xfId="5047"/>
    <cellStyle name="40% - 强调文字颜色 2 26" xfId="5048"/>
    <cellStyle name="40% - 强调文字颜色 2 27" xfId="5049"/>
    <cellStyle name="40% - 强调文字颜色 2 28" xfId="5050"/>
    <cellStyle name="40% - 强调文字颜色 2 29" xfId="5051"/>
    <cellStyle name="40% - 强调文字颜色 2 3" xfId="5052"/>
    <cellStyle name="40% - 强调文字颜色 2 3 10" xfId="5053"/>
    <cellStyle name="40% - 强调文字颜色 2 3 11" xfId="5054"/>
    <cellStyle name="40% - 强调文字颜色 2 3 12" xfId="5055"/>
    <cellStyle name="40% - 强调文字颜色 2 3 13" xfId="5056"/>
    <cellStyle name="40% - 强调文字颜色 2 3 14" xfId="5057"/>
    <cellStyle name="40% - 强调文字颜色 2 3 15" xfId="5058"/>
    <cellStyle name="40% - 强调文字颜色 2 3 16" xfId="5059"/>
    <cellStyle name="40% - 强调文字颜色 2 3 17" xfId="5060"/>
    <cellStyle name="40% - 强调文字颜色 2 3 18" xfId="5061"/>
    <cellStyle name="40% - 强调文字颜色 2 3 19" xfId="5062"/>
    <cellStyle name="40% - 强调文字颜色 2 3 2" xfId="5063"/>
    <cellStyle name="40% - 强调文字颜色 2 3 2 10" xfId="5064"/>
    <cellStyle name="40% - 强调文字颜色 2 3 2 11" xfId="5065"/>
    <cellStyle name="40% - 强调文字颜色 2 3 2 12" xfId="5066"/>
    <cellStyle name="40% - 强调文字颜色 2 3 2 13" xfId="5067"/>
    <cellStyle name="40% - 强调文字颜色 2 3 2 14" xfId="5068"/>
    <cellStyle name="40% - 强调文字颜色 2 3 2 15" xfId="5069"/>
    <cellStyle name="40% - 强调文字颜色 2 3 2 16" xfId="5070"/>
    <cellStyle name="40% - 强调文字颜色 2 3 2 17" xfId="5071"/>
    <cellStyle name="40% - 强调文字颜色 2 3 2 18" xfId="5072"/>
    <cellStyle name="40% - 强调文字颜色 2 3 2 19" xfId="5073"/>
    <cellStyle name="40% - 强调文字颜色 2 3 2 2" xfId="5074"/>
    <cellStyle name="40% - 强调文字颜色 2 3 2 20" xfId="5075"/>
    <cellStyle name="40% - 强调文字颜色 2 3 2 21" xfId="5076"/>
    <cellStyle name="40% - 强调文字颜色 2 3 2 22" xfId="5077"/>
    <cellStyle name="40% - 强调文字颜色 2 3 2 23" xfId="5078"/>
    <cellStyle name="40% - 强调文字颜色 2 3 2 24" xfId="5079"/>
    <cellStyle name="40% - 强调文字颜色 2 3 2 25" xfId="5080"/>
    <cellStyle name="40% - 强调文字颜色 2 3 2 26" xfId="5081"/>
    <cellStyle name="40% - 强调文字颜色 2 3 2 27" xfId="5082"/>
    <cellStyle name="40% - 强调文字颜色 2 3 2 3" xfId="5083"/>
    <cellStyle name="40% - 强调文字颜色 2 3 2 4" xfId="5084"/>
    <cellStyle name="40% - 强调文字颜色 2 3 2 5" xfId="5085"/>
    <cellStyle name="40% - 强调文字颜色 2 3 2 6" xfId="5086"/>
    <cellStyle name="40% - 强调文字颜色 2 3 2 7" xfId="5087"/>
    <cellStyle name="40% - 强调文字颜色 2 3 2 8" xfId="5088"/>
    <cellStyle name="40% - 强调文字颜色 2 3 2 9" xfId="5089"/>
    <cellStyle name="40% - 强调文字颜色 2 3 20" xfId="5090"/>
    <cellStyle name="40% - 强调文字颜色 2 3 21" xfId="5091"/>
    <cellStyle name="40% - 强调文字颜色 2 3 22" xfId="5092"/>
    <cellStyle name="40% - 强调文字颜色 2 3 23" xfId="5093"/>
    <cellStyle name="40% - 强调文字颜色 2 3 24" xfId="5094"/>
    <cellStyle name="40% - 强调文字颜色 2 3 25" xfId="5095"/>
    <cellStyle name="40% - 强调文字颜色 2 3 26" xfId="5096"/>
    <cellStyle name="40% - 强调文字颜色 2 3 27" xfId="5097"/>
    <cellStyle name="40% - 强调文字颜色 2 3 28" xfId="5098"/>
    <cellStyle name="40% - 强调文字颜色 2 3 3" xfId="5099"/>
    <cellStyle name="40% - 强调文字颜色 2 3 4" xfId="5100"/>
    <cellStyle name="40% - 强调文字颜色 2 3 5" xfId="5101"/>
    <cellStyle name="40% - 强调文字颜色 2 3 6" xfId="5102"/>
    <cellStyle name="40% - 强调文字颜色 2 3 7" xfId="5103"/>
    <cellStyle name="40% - 强调文字颜色 2 3 8" xfId="5104"/>
    <cellStyle name="40% - 强调文字颜色 2 3 9" xfId="5105"/>
    <cellStyle name="40% - 强调文字颜色 2 30" xfId="5106"/>
    <cellStyle name="40% - 强调文字颜色 2 31" xfId="5107"/>
    <cellStyle name="40% - 强调文字颜色 2 32" xfId="5108"/>
    <cellStyle name="40% - 强调文字颜色 2 33" xfId="5109"/>
    <cellStyle name="40% - 强调文字颜色 2 34" xfId="5110"/>
    <cellStyle name="40% - 强调文字颜色 2 35" xfId="5111"/>
    <cellStyle name="40% - 强调文字颜色 2 36" xfId="5112"/>
    <cellStyle name="40% - 强调文字颜色 2 37" xfId="5113"/>
    <cellStyle name="40% - 强调文字颜色 2 38" xfId="5114"/>
    <cellStyle name="40% - 强调文字颜色 2 39" xfId="5115"/>
    <cellStyle name="40% - 强调文字颜色 2 4" xfId="5116"/>
    <cellStyle name="40% - 强调文字颜色 2 4 10" xfId="5117"/>
    <cellStyle name="40% - 强调文字颜色 2 4 11" xfId="5118"/>
    <cellStyle name="40% - 强调文字颜色 2 4 12" xfId="5119"/>
    <cellStyle name="40% - 强调文字颜色 2 4 13" xfId="5120"/>
    <cellStyle name="40% - 强调文字颜色 2 4 14" xfId="5121"/>
    <cellStyle name="40% - 强调文字颜色 2 4 15" xfId="5122"/>
    <cellStyle name="40% - 强调文字颜色 2 4 16" xfId="5123"/>
    <cellStyle name="40% - 强调文字颜色 2 4 17" xfId="5124"/>
    <cellStyle name="40% - 强调文字颜色 2 4 18" xfId="5125"/>
    <cellStyle name="40% - 强调文字颜色 2 4 19" xfId="5126"/>
    <cellStyle name="40% - 强调文字颜色 2 4 2" xfId="5127"/>
    <cellStyle name="40% - 强调文字颜色 2 4 2 10" xfId="5128"/>
    <cellStyle name="40% - 强调文字颜色 2 4 2 11" xfId="5129"/>
    <cellStyle name="40% - 强调文字颜色 2 4 2 12" xfId="5130"/>
    <cellStyle name="40% - 强调文字颜色 2 4 2 13" xfId="5131"/>
    <cellStyle name="40% - 强调文字颜色 2 4 2 14" xfId="5132"/>
    <cellStyle name="40% - 强调文字颜色 2 4 2 15" xfId="5133"/>
    <cellStyle name="40% - 强调文字颜色 2 4 2 16" xfId="5134"/>
    <cellStyle name="40% - 强调文字颜色 2 4 2 17" xfId="5135"/>
    <cellStyle name="40% - 强调文字颜色 2 4 2 18" xfId="5136"/>
    <cellStyle name="40% - 强调文字颜色 2 4 2 19" xfId="5137"/>
    <cellStyle name="40% - 强调文字颜色 2 4 2 2" xfId="5138"/>
    <cellStyle name="40% - 强调文字颜色 2 4 2 20" xfId="5139"/>
    <cellStyle name="40% - 强调文字颜色 2 4 2 21" xfId="5140"/>
    <cellStyle name="40% - 强调文字颜色 2 4 2 22" xfId="5141"/>
    <cellStyle name="40% - 强调文字颜色 2 4 2 23" xfId="5142"/>
    <cellStyle name="40% - 强调文字颜色 2 4 2 24" xfId="5143"/>
    <cellStyle name="40% - 强调文字颜色 2 4 2 25" xfId="5144"/>
    <cellStyle name="40% - 强调文字颜色 2 4 2 26" xfId="5145"/>
    <cellStyle name="40% - 强调文字颜色 2 4 2 27" xfId="5146"/>
    <cellStyle name="40% - 强调文字颜色 2 4 2 3" xfId="5147"/>
    <cellStyle name="40% - 强调文字颜色 2 4 2 4" xfId="5148"/>
    <cellStyle name="40% - 强调文字颜色 2 4 2 5" xfId="5149"/>
    <cellStyle name="40% - 强调文字颜色 2 4 2 6" xfId="5150"/>
    <cellStyle name="40% - 强调文字颜色 2 4 2 7" xfId="5151"/>
    <cellStyle name="40% - 强调文字颜色 2 4 2 8" xfId="5152"/>
    <cellStyle name="40% - 强调文字颜色 2 4 2 9" xfId="5153"/>
    <cellStyle name="40% - 强调文字颜色 2 4 20" xfId="5154"/>
    <cellStyle name="40% - 强调文字颜色 2 4 21" xfId="5155"/>
    <cellStyle name="40% - 强调文字颜色 2 4 22" xfId="5156"/>
    <cellStyle name="40% - 强调文字颜色 2 4 23" xfId="5157"/>
    <cellStyle name="40% - 强调文字颜色 2 4 24" xfId="5158"/>
    <cellStyle name="40% - 强调文字颜色 2 4 25" xfId="5159"/>
    <cellStyle name="40% - 强调文字颜色 2 4 26" xfId="5160"/>
    <cellStyle name="40% - 强调文字颜色 2 4 27" xfId="5161"/>
    <cellStyle name="40% - 强调文字颜色 2 4 28" xfId="5162"/>
    <cellStyle name="40% - 强调文字颜色 2 4 3" xfId="5163"/>
    <cellStyle name="40% - 强调文字颜色 2 4 4" xfId="5164"/>
    <cellStyle name="40% - 强调文字颜色 2 4 5" xfId="5165"/>
    <cellStyle name="40% - 强调文字颜色 2 4 6" xfId="5166"/>
    <cellStyle name="40% - 强调文字颜色 2 4 7" xfId="5167"/>
    <cellStyle name="40% - 强调文字颜色 2 4 8" xfId="5168"/>
    <cellStyle name="40% - 强调文字颜色 2 4 9" xfId="5169"/>
    <cellStyle name="40% - 强调文字颜色 2 40" xfId="5170"/>
    <cellStyle name="40% - 强调文字颜色 2 5" xfId="5171"/>
    <cellStyle name="40% - 强调文字颜色 2 5 10" xfId="5172"/>
    <cellStyle name="40% - 强调文字颜色 2 5 11" xfId="5173"/>
    <cellStyle name="40% - 强调文字颜色 2 5 12" xfId="5174"/>
    <cellStyle name="40% - 强调文字颜色 2 5 13" xfId="5175"/>
    <cellStyle name="40% - 强调文字颜色 2 5 14" xfId="5176"/>
    <cellStyle name="40% - 强调文字颜色 2 5 15" xfId="5177"/>
    <cellStyle name="40% - 强调文字颜色 2 5 16" xfId="5178"/>
    <cellStyle name="40% - 强调文字颜色 2 5 17" xfId="5179"/>
    <cellStyle name="40% - 强调文字颜色 2 5 18" xfId="5180"/>
    <cellStyle name="40% - 强调文字颜色 2 5 19" xfId="5181"/>
    <cellStyle name="40% - 强调文字颜色 2 5 2" xfId="5182"/>
    <cellStyle name="40% - 强调文字颜色 2 5 2 10" xfId="5183"/>
    <cellStyle name="40% - 强调文字颜色 2 5 2 11" xfId="5184"/>
    <cellStyle name="40% - 强调文字颜色 2 5 2 12" xfId="5185"/>
    <cellStyle name="40% - 强调文字颜色 2 5 2 13" xfId="5186"/>
    <cellStyle name="40% - 强调文字颜色 2 5 2 14" xfId="5187"/>
    <cellStyle name="40% - 强调文字颜色 2 5 2 15" xfId="5188"/>
    <cellStyle name="40% - 强调文字颜色 2 5 2 16" xfId="5189"/>
    <cellStyle name="40% - 强调文字颜色 2 5 2 17" xfId="5190"/>
    <cellStyle name="40% - 强调文字颜色 2 5 2 18" xfId="5191"/>
    <cellStyle name="40% - 强调文字颜色 2 5 2 19" xfId="5192"/>
    <cellStyle name="40% - 强调文字颜色 2 5 2 2" xfId="5193"/>
    <cellStyle name="40% - 强调文字颜色 2 5 2 20" xfId="5194"/>
    <cellStyle name="40% - 强调文字颜色 2 5 2 21" xfId="5195"/>
    <cellStyle name="40% - 强调文字颜色 2 5 2 22" xfId="5196"/>
    <cellStyle name="40% - 强调文字颜色 2 5 2 23" xfId="5197"/>
    <cellStyle name="40% - 强调文字颜色 2 5 2 24" xfId="5198"/>
    <cellStyle name="40% - 强调文字颜色 2 5 2 25" xfId="5199"/>
    <cellStyle name="40% - 强调文字颜色 2 5 2 26" xfId="5200"/>
    <cellStyle name="40% - 强调文字颜色 2 5 2 27" xfId="5201"/>
    <cellStyle name="40% - 强调文字颜色 2 5 2 3" xfId="5202"/>
    <cellStyle name="40% - 强调文字颜色 2 5 2 4" xfId="5203"/>
    <cellStyle name="40% - 强调文字颜色 2 5 2 5" xfId="5204"/>
    <cellStyle name="40% - 强调文字颜色 2 5 2 6" xfId="5205"/>
    <cellStyle name="40% - 强调文字颜色 2 5 2 7" xfId="5206"/>
    <cellStyle name="40% - 强调文字颜色 2 5 2 8" xfId="5207"/>
    <cellStyle name="40% - 强调文字颜色 2 5 2 9" xfId="5208"/>
    <cellStyle name="40% - 强调文字颜色 2 5 20" xfId="5209"/>
    <cellStyle name="40% - 强调文字颜色 2 5 21" xfId="5210"/>
    <cellStyle name="40% - 强调文字颜色 2 5 22" xfId="5211"/>
    <cellStyle name="40% - 强调文字颜色 2 5 23" xfId="5212"/>
    <cellStyle name="40% - 强调文字颜色 2 5 24" xfId="5213"/>
    <cellStyle name="40% - 强调文字颜色 2 5 25" xfId="5214"/>
    <cellStyle name="40% - 强调文字颜色 2 5 26" xfId="5215"/>
    <cellStyle name="40% - 强调文字颜色 2 5 27" xfId="5216"/>
    <cellStyle name="40% - 强调文字颜色 2 5 28" xfId="5217"/>
    <cellStyle name="40% - 强调文字颜色 2 5 3" xfId="5218"/>
    <cellStyle name="40% - 强调文字颜色 2 5 4" xfId="5219"/>
    <cellStyle name="40% - 强调文字颜色 2 5 5" xfId="5220"/>
    <cellStyle name="40% - 强调文字颜色 2 5 6" xfId="5221"/>
    <cellStyle name="40% - 强调文字颜色 2 5 7" xfId="5222"/>
    <cellStyle name="40% - 强调文字颜色 2 5 8" xfId="5223"/>
    <cellStyle name="40% - 强调文字颜色 2 5 9" xfId="5224"/>
    <cellStyle name="40% - 强调文字颜色 2 6" xfId="5225"/>
    <cellStyle name="40% - 强调文字颜色 2 6 10" xfId="5226"/>
    <cellStyle name="40% - 强调文字颜色 2 6 11" xfId="5227"/>
    <cellStyle name="40% - 强调文字颜色 2 6 12" xfId="5228"/>
    <cellStyle name="40% - 强调文字颜色 2 6 13" xfId="5229"/>
    <cellStyle name="40% - 强调文字颜色 2 6 14" xfId="5230"/>
    <cellStyle name="40% - 强调文字颜色 2 6 15" xfId="5231"/>
    <cellStyle name="40% - 强调文字颜色 2 6 16" xfId="5232"/>
    <cellStyle name="40% - 强调文字颜色 2 6 17" xfId="5233"/>
    <cellStyle name="40% - 强调文字颜色 2 6 18" xfId="5234"/>
    <cellStyle name="40% - 强调文字颜色 2 6 19" xfId="5235"/>
    <cellStyle name="40% - 强调文字颜色 2 6 2" xfId="5236"/>
    <cellStyle name="40% - 强调文字颜色 2 6 2 10" xfId="5237"/>
    <cellStyle name="40% - 强调文字颜色 2 6 2 11" xfId="5238"/>
    <cellStyle name="40% - 强调文字颜色 2 6 2 12" xfId="5239"/>
    <cellStyle name="40% - 强调文字颜色 2 6 2 13" xfId="5240"/>
    <cellStyle name="40% - 强调文字颜色 2 6 2 14" xfId="5241"/>
    <cellStyle name="40% - 强调文字颜色 2 6 2 15" xfId="5242"/>
    <cellStyle name="40% - 强调文字颜色 2 6 2 16" xfId="5243"/>
    <cellStyle name="40% - 强调文字颜色 2 6 2 17" xfId="5244"/>
    <cellStyle name="40% - 强调文字颜色 2 6 2 18" xfId="5245"/>
    <cellStyle name="40% - 强调文字颜色 2 6 2 19" xfId="5246"/>
    <cellStyle name="40% - 强调文字颜色 2 6 2 2" xfId="5247"/>
    <cellStyle name="40% - 强调文字颜色 2 6 2 20" xfId="5248"/>
    <cellStyle name="40% - 强调文字颜色 2 6 2 21" xfId="5249"/>
    <cellStyle name="40% - 强调文字颜色 2 6 2 22" xfId="5250"/>
    <cellStyle name="40% - 强调文字颜色 2 6 2 23" xfId="5251"/>
    <cellStyle name="40% - 强调文字颜色 2 6 2 24" xfId="5252"/>
    <cellStyle name="40% - 强调文字颜色 2 6 2 25" xfId="5253"/>
    <cellStyle name="40% - 强调文字颜色 2 6 2 26" xfId="5254"/>
    <cellStyle name="40% - 强调文字颜色 2 6 2 27" xfId="5255"/>
    <cellStyle name="40% - 强调文字颜色 2 6 2 3" xfId="5256"/>
    <cellStyle name="40% - 强调文字颜色 2 6 2 4" xfId="5257"/>
    <cellStyle name="40% - 强调文字颜色 2 6 2 5" xfId="5258"/>
    <cellStyle name="40% - 强调文字颜色 2 6 2 6" xfId="5259"/>
    <cellStyle name="40% - 强调文字颜色 2 6 2 7" xfId="5260"/>
    <cellStyle name="40% - 强调文字颜色 2 6 2 8" xfId="5261"/>
    <cellStyle name="40% - 强调文字颜色 2 6 2 9" xfId="5262"/>
    <cellStyle name="40% - 强调文字颜色 2 6 20" xfId="5263"/>
    <cellStyle name="40% - 强调文字颜色 2 6 21" xfId="5264"/>
    <cellStyle name="40% - 强调文字颜色 2 6 22" xfId="5265"/>
    <cellStyle name="40% - 强调文字颜色 2 6 23" xfId="5266"/>
    <cellStyle name="40% - 强调文字颜色 2 6 24" xfId="5267"/>
    <cellStyle name="40% - 强调文字颜色 2 6 25" xfId="5268"/>
    <cellStyle name="40% - 强调文字颜色 2 6 26" xfId="5269"/>
    <cellStyle name="40% - 强调文字颜色 2 6 27" xfId="5270"/>
    <cellStyle name="40% - 强调文字颜色 2 6 28" xfId="5271"/>
    <cellStyle name="40% - 强调文字颜色 2 6 3" xfId="5272"/>
    <cellStyle name="40% - 强调文字颜色 2 6 4" xfId="5273"/>
    <cellStyle name="40% - 强调文字颜色 2 6 5" xfId="5274"/>
    <cellStyle name="40% - 强调文字颜色 2 6 6" xfId="5275"/>
    <cellStyle name="40% - 强调文字颜色 2 6 7" xfId="5276"/>
    <cellStyle name="40% - 强调文字颜色 2 6 8" xfId="5277"/>
    <cellStyle name="40% - 强调文字颜色 2 6 9" xfId="5278"/>
    <cellStyle name="40% - 强调文字颜色 2 7" xfId="5279"/>
    <cellStyle name="40% - 强调文字颜色 2 7 10" xfId="5280"/>
    <cellStyle name="40% - 强调文字颜色 2 7 11" xfId="5281"/>
    <cellStyle name="40% - 强调文字颜色 2 7 12" xfId="5282"/>
    <cellStyle name="40% - 强调文字颜色 2 7 13" xfId="5283"/>
    <cellStyle name="40% - 强调文字颜色 2 7 14" xfId="5284"/>
    <cellStyle name="40% - 强调文字颜色 2 7 15" xfId="5285"/>
    <cellStyle name="40% - 强调文字颜色 2 7 16" xfId="5286"/>
    <cellStyle name="40% - 强调文字颜色 2 7 17" xfId="5287"/>
    <cellStyle name="40% - 强调文字颜色 2 7 18" xfId="5288"/>
    <cellStyle name="40% - 强调文字颜色 2 7 19" xfId="5289"/>
    <cellStyle name="40% - 强调文字颜色 2 7 2" xfId="5290"/>
    <cellStyle name="40% - 强调文字颜色 2 7 2 10" xfId="5291"/>
    <cellStyle name="40% - 强调文字颜色 2 7 2 11" xfId="5292"/>
    <cellStyle name="40% - 强调文字颜色 2 7 2 12" xfId="5293"/>
    <cellStyle name="40% - 强调文字颜色 2 7 2 13" xfId="5294"/>
    <cellStyle name="40% - 强调文字颜色 2 7 2 14" xfId="5295"/>
    <cellStyle name="40% - 强调文字颜色 2 7 2 15" xfId="5296"/>
    <cellStyle name="40% - 强调文字颜色 2 7 2 16" xfId="5297"/>
    <cellStyle name="40% - 强调文字颜色 2 7 2 17" xfId="5298"/>
    <cellStyle name="40% - 强调文字颜色 2 7 2 18" xfId="5299"/>
    <cellStyle name="40% - 强调文字颜色 2 7 2 19" xfId="5300"/>
    <cellStyle name="40% - 强调文字颜色 2 7 2 2" xfId="5301"/>
    <cellStyle name="40% - 强调文字颜色 2 7 2 20" xfId="5302"/>
    <cellStyle name="40% - 强调文字颜色 2 7 2 21" xfId="5303"/>
    <cellStyle name="40% - 强调文字颜色 2 7 2 22" xfId="5304"/>
    <cellStyle name="40% - 强调文字颜色 2 7 2 23" xfId="5305"/>
    <cellStyle name="40% - 强调文字颜色 2 7 2 24" xfId="5306"/>
    <cellStyle name="40% - 强调文字颜色 2 7 2 25" xfId="5307"/>
    <cellStyle name="40% - 强调文字颜色 2 7 2 26" xfId="5308"/>
    <cellStyle name="40% - 强调文字颜色 2 7 2 27" xfId="5309"/>
    <cellStyle name="40% - 强调文字颜色 2 7 2 3" xfId="5310"/>
    <cellStyle name="40% - 强调文字颜色 2 7 2 4" xfId="5311"/>
    <cellStyle name="40% - 强调文字颜色 2 7 2 5" xfId="5312"/>
    <cellStyle name="40% - 强调文字颜色 2 7 2 6" xfId="5313"/>
    <cellStyle name="40% - 强调文字颜色 2 7 2 7" xfId="5314"/>
    <cellStyle name="40% - 强调文字颜色 2 7 2 8" xfId="5315"/>
    <cellStyle name="40% - 强调文字颜色 2 7 2 9" xfId="5316"/>
    <cellStyle name="40% - 强调文字颜色 2 7 20" xfId="5317"/>
    <cellStyle name="40% - 强调文字颜色 2 7 21" xfId="5318"/>
    <cellStyle name="40% - 强调文字颜色 2 7 22" xfId="5319"/>
    <cellStyle name="40% - 强调文字颜色 2 7 23" xfId="5320"/>
    <cellStyle name="40% - 强调文字颜色 2 7 24" xfId="5321"/>
    <cellStyle name="40% - 强调文字颜色 2 7 25" xfId="5322"/>
    <cellStyle name="40% - 强调文字颜色 2 7 26" xfId="5323"/>
    <cellStyle name="40% - 强调文字颜色 2 7 27" xfId="5324"/>
    <cellStyle name="40% - 强调文字颜色 2 7 28" xfId="5325"/>
    <cellStyle name="40% - 强调文字颜色 2 7 3" xfId="5326"/>
    <cellStyle name="40% - 强调文字颜色 2 7 4" xfId="5327"/>
    <cellStyle name="40% - 强调文字颜色 2 7 5" xfId="5328"/>
    <cellStyle name="40% - 强调文字颜色 2 7 6" xfId="5329"/>
    <cellStyle name="40% - 强调文字颜色 2 7 7" xfId="5330"/>
    <cellStyle name="40% - 强调文字颜色 2 7 8" xfId="5331"/>
    <cellStyle name="40% - 强调文字颜色 2 7 9" xfId="5332"/>
    <cellStyle name="40% - 强调文字颜色 2 8" xfId="5333"/>
    <cellStyle name="40% - 强调文字颜色 2 8 10" xfId="5334"/>
    <cellStyle name="40% - 强调文字颜色 2 8 11" xfId="5335"/>
    <cellStyle name="40% - 强调文字颜色 2 8 12" xfId="5336"/>
    <cellStyle name="40% - 强调文字颜色 2 8 13" xfId="5337"/>
    <cellStyle name="40% - 强调文字颜色 2 8 14" xfId="5338"/>
    <cellStyle name="40% - 强调文字颜色 2 8 15" xfId="5339"/>
    <cellStyle name="40% - 强调文字颜色 2 8 16" xfId="5340"/>
    <cellStyle name="40% - 强调文字颜色 2 8 17" xfId="5341"/>
    <cellStyle name="40% - 强调文字颜色 2 8 18" xfId="5342"/>
    <cellStyle name="40% - 强调文字颜色 2 8 19" xfId="5343"/>
    <cellStyle name="40% - 强调文字颜色 2 8 2" xfId="5344"/>
    <cellStyle name="40% - 强调文字颜色 2 8 2 10" xfId="5345"/>
    <cellStyle name="40% - 强调文字颜色 2 8 2 11" xfId="5346"/>
    <cellStyle name="40% - 强调文字颜色 2 8 2 12" xfId="5347"/>
    <cellStyle name="40% - 强调文字颜色 2 8 2 13" xfId="5348"/>
    <cellStyle name="40% - 强调文字颜色 2 8 2 14" xfId="5349"/>
    <cellStyle name="40% - 强调文字颜色 2 8 2 15" xfId="5350"/>
    <cellStyle name="40% - 强调文字颜色 2 8 2 16" xfId="5351"/>
    <cellStyle name="40% - 强调文字颜色 2 8 2 17" xfId="5352"/>
    <cellStyle name="40% - 强调文字颜色 2 8 2 18" xfId="5353"/>
    <cellStyle name="40% - 强调文字颜色 2 8 2 19" xfId="5354"/>
    <cellStyle name="40% - 强调文字颜色 2 8 2 2" xfId="5355"/>
    <cellStyle name="40% - 强调文字颜色 2 8 2 20" xfId="5356"/>
    <cellStyle name="40% - 强调文字颜色 2 8 2 21" xfId="5357"/>
    <cellStyle name="40% - 强调文字颜色 2 8 2 22" xfId="5358"/>
    <cellStyle name="40% - 强调文字颜色 2 8 2 23" xfId="5359"/>
    <cellStyle name="40% - 强调文字颜色 2 8 2 24" xfId="5360"/>
    <cellStyle name="40% - 强调文字颜色 2 8 2 25" xfId="5361"/>
    <cellStyle name="40% - 强调文字颜色 2 8 2 26" xfId="5362"/>
    <cellStyle name="40% - 强调文字颜色 2 8 2 27" xfId="5363"/>
    <cellStyle name="40% - 强调文字颜色 2 8 2 3" xfId="5364"/>
    <cellStyle name="40% - 强调文字颜色 2 8 2 4" xfId="5365"/>
    <cellStyle name="40% - 强调文字颜色 2 8 2 5" xfId="5366"/>
    <cellStyle name="40% - 强调文字颜色 2 8 2 6" xfId="5367"/>
    <cellStyle name="40% - 强调文字颜色 2 8 2 7" xfId="5368"/>
    <cellStyle name="40% - 强调文字颜色 2 8 2 8" xfId="5369"/>
    <cellStyle name="40% - 强调文字颜色 2 8 2 9" xfId="5370"/>
    <cellStyle name="40% - 强调文字颜色 2 8 20" xfId="5371"/>
    <cellStyle name="40% - 强调文字颜色 2 8 21" xfId="5372"/>
    <cellStyle name="40% - 强调文字颜色 2 8 22" xfId="5373"/>
    <cellStyle name="40% - 强调文字颜色 2 8 23" xfId="5374"/>
    <cellStyle name="40% - 强调文字颜色 2 8 24" xfId="5375"/>
    <cellStyle name="40% - 强调文字颜色 2 8 25" xfId="5376"/>
    <cellStyle name="40% - 强调文字颜色 2 8 26" xfId="5377"/>
    <cellStyle name="40% - 强调文字颜色 2 8 27" xfId="5378"/>
    <cellStyle name="40% - 强调文字颜色 2 8 28" xfId="5379"/>
    <cellStyle name="40% - 强调文字颜色 2 8 3" xfId="5380"/>
    <cellStyle name="40% - 强调文字颜色 2 8 4" xfId="5381"/>
    <cellStyle name="40% - 强调文字颜色 2 8 5" xfId="5382"/>
    <cellStyle name="40% - 强调文字颜色 2 8 6" xfId="5383"/>
    <cellStyle name="40% - 强调文字颜色 2 8 7" xfId="5384"/>
    <cellStyle name="40% - 强调文字颜色 2 8 8" xfId="5385"/>
    <cellStyle name="40% - 强调文字颜色 2 8 9" xfId="5386"/>
    <cellStyle name="40% - 强调文字颜色 2 9" xfId="5387"/>
    <cellStyle name="40% - 强调文字颜色 2 9 10" xfId="5388"/>
    <cellStyle name="40% - 强调文字颜色 2 9 11" xfId="5389"/>
    <cellStyle name="40% - 强调文字颜色 2 9 12" xfId="5390"/>
    <cellStyle name="40% - 强调文字颜色 2 9 13" xfId="5391"/>
    <cellStyle name="40% - 强调文字颜色 2 9 14" xfId="5392"/>
    <cellStyle name="40% - 强调文字颜色 2 9 15" xfId="5393"/>
    <cellStyle name="40% - 强调文字颜色 2 9 16" xfId="5394"/>
    <cellStyle name="40% - 强调文字颜色 2 9 17" xfId="5395"/>
    <cellStyle name="40% - 强调文字颜色 2 9 18" xfId="5396"/>
    <cellStyle name="40% - 强调文字颜色 2 9 19" xfId="5397"/>
    <cellStyle name="40% - 强调文字颜色 2 9 2" xfId="5398"/>
    <cellStyle name="40% - 强调文字颜色 2 9 2 10" xfId="5399"/>
    <cellStyle name="40% - 强调文字颜色 2 9 2 11" xfId="5400"/>
    <cellStyle name="40% - 强调文字颜色 2 9 2 12" xfId="5401"/>
    <cellStyle name="40% - 强调文字颜色 2 9 2 13" xfId="5402"/>
    <cellStyle name="40% - 强调文字颜色 2 9 2 14" xfId="5403"/>
    <cellStyle name="40% - 强调文字颜色 2 9 2 15" xfId="5404"/>
    <cellStyle name="40% - 强调文字颜色 2 9 2 16" xfId="5405"/>
    <cellStyle name="40% - 强调文字颜色 2 9 2 17" xfId="5406"/>
    <cellStyle name="40% - 强调文字颜色 2 9 2 18" xfId="5407"/>
    <cellStyle name="40% - 强调文字颜色 2 9 2 19" xfId="5408"/>
    <cellStyle name="40% - 强调文字颜色 2 9 2 2" xfId="5409"/>
    <cellStyle name="40% - 强调文字颜色 2 9 2 20" xfId="5410"/>
    <cellStyle name="40% - 强调文字颜色 2 9 2 21" xfId="5411"/>
    <cellStyle name="40% - 强调文字颜色 2 9 2 22" xfId="5412"/>
    <cellStyle name="40% - 强调文字颜色 2 9 2 23" xfId="5413"/>
    <cellStyle name="40% - 强调文字颜色 2 9 2 24" xfId="5414"/>
    <cellStyle name="40% - 强调文字颜色 2 9 2 25" xfId="5415"/>
    <cellStyle name="40% - 强调文字颜色 2 9 2 26" xfId="5416"/>
    <cellStyle name="40% - 强调文字颜色 2 9 2 27" xfId="5417"/>
    <cellStyle name="40% - 强调文字颜色 2 9 2 3" xfId="5418"/>
    <cellStyle name="40% - 强调文字颜色 2 9 2 4" xfId="5419"/>
    <cellStyle name="40% - 强调文字颜色 2 9 2 5" xfId="5420"/>
    <cellStyle name="40% - 强调文字颜色 2 9 2 6" xfId="5421"/>
    <cellStyle name="40% - 强调文字颜色 2 9 2 7" xfId="5422"/>
    <cellStyle name="40% - 强调文字颜色 2 9 2 8" xfId="5423"/>
    <cellStyle name="40% - 强调文字颜色 2 9 2 9" xfId="5424"/>
    <cellStyle name="40% - 强调文字颜色 2 9 20" xfId="5425"/>
    <cellStyle name="40% - 强调文字颜色 2 9 21" xfId="5426"/>
    <cellStyle name="40% - 强调文字颜色 2 9 22" xfId="5427"/>
    <cellStyle name="40% - 强调文字颜色 2 9 23" xfId="5428"/>
    <cellStyle name="40% - 强调文字颜色 2 9 24" xfId="5429"/>
    <cellStyle name="40% - 强调文字颜色 2 9 25" xfId="5430"/>
    <cellStyle name="40% - 强调文字颜色 2 9 26" xfId="5431"/>
    <cellStyle name="40% - 强调文字颜色 2 9 27" xfId="5432"/>
    <cellStyle name="40% - 强调文字颜色 2 9 28" xfId="5433"/>
    <cellStyle name="40% - 强调文字颜色 2 9 3" xfId="5434"/>
    <cellStyle name="40% - 强调文字颜色 2 9 4" xfId="5435"/>
    <cellStyle name="40% - 强调文字颜色 2 9 5" xfId="5436"/>
    <cellStyle name="40% - 强调文字颜色 2 9 6" xfId="5437"/>
    <cellStyle name="40% - 强调文字颜色 2 9 7" xfId="5438"/>
    <cellStyle name="40% - 强调文字颜色 2 9 8" xfId="5439"/>
    <cellStyle name="40% - 强调文字颜色 2 9 9" xfId="5440"/>
    <cellStyle name="40% - 强调文字颜色 3 10" xfId="5441"/>
    <cellStyle name="40% - 强调文字颜色 3 10 10" xfId="5442"/>
    <cellStyle name="40% - 强调文字颜色 3 10 11" xfId="5443"/>
    <cellStyle name="40% - 强调文字颜色 3 10 12" xfId="5444"/>
    <cellStyle name="40% - 强调文字颜色 3 10 13" xfId="5445"/>
    <cellStyle name="40% - 强调文字颜色 3 10 14" xfId="5446"/>
    <cellStyle name="40% - 强调文字颜色 3 10 15" xfId="5447"/>
    <cellStyle name="40% - 强调文字颜色 3 10 16" xfId="5448"/>
    <cellStyle name="40% - 强调文字颜色 3 10 17" xfId="5449"/>
    <cellStyle name="40% - 强调文字颜色 3 10 18" xfId="5450"/>
    <cellStyle name="40% - 强调文字颜色 3 10 19" xfId="5451"/>
    <cellStyle name="40% - 强调文字颜色 3 10 2" xfId="5452"/>
    <cellStyle name="40% - 强调文字颜色 3 10 2 10" xfId="5453"/>
    <cellStyle name="40% - 强调文字颜色 3 10 2 11" xfId="5454"/>
    <cellStyle name="40% - 强调文字颜色 3 10 2 12" xfId="5455"/>
    <cellStyle name="40% - 强调文字颜色 3 10 2 13" xfId="5456"/>
    <cellStyle name="40% - 强调文字颜色 3 10 2 14" xfId="5457"/>
    <cellStyle name="40% - 强调文字颜色 3 10 2 15" xfId="5458"/>
    <cellStyle name="40% - 强调文字颜色 3 10 2 16" xfId="5459"/>
    <cellStyle name="40% - 强调文字颜色 3 10 2 17" xfId="5460"/>
    <cellStyle name="40% - 强调文字颜色 3 10 2 18" xfId="5461"/>
    <cellStyle name="40% - 强调文字颜色 3 10 2 19" xfId="5462"/>
    <cellStyle name="40% - 强调文字颜色 3 10 2 2" xfId="5463"/>
    <cellStyle name="40% - 强调文字颜色 3 10 2 20" xfId="5464"/>
    <cellStyle name="40% - 强调文字颜色 3 10 2 21" xfId="5465"/>
    <cellStyle name="40% - 强调文字颜色 3 10 2 22" xfId="5466"/>
    <cellStyle name="40% - 强调文字颜色 3 10 2 23" xfId="5467"/>
    <cellStyle name="40% - 强调文字颜色 3 10 2 24" xfId="5468"/>
    <cellStyle name="40% - 强调文字颜色 3 10 2 25" xfId="5469"/>
    <cellStyle name="40% - 强调文字颜色 3 10 2 26" xfId="5470"/>
    <cellStyle name="40% - 强调文字颜色 3 10 2 27" xfId="5471"/>
    <cellStyle name="40% - 强调文字颜色 3 10 2 3" xfId="5472"/>
    <cellStyle name="40% - 强调文字颜色 3 10 2 4" xfId="5473"/>
    <cellStyle name="40% - 强调文字颜色 3 10 2 5" xfId="5474"/>
    <cellStyle name="40% - 强调文字颜色 3 10 2 6" xfId="5475"/>
    <cellStyle name="40% - 强调文字颜色 3 10 2 7" xfId="5476"/>
    <cellStyle name="40% - 强调文字颜色 3 10 2 8" xfId="5477"/>
    <cellStyle name="40% - 强调文字颜色 3 10 2 9" xfId="5478"/>
    <cellStyle name="40% - 强调文字颜色 3 10 20" xfId="5479"/>
    <cellStyle name="40% - 强调文字颜色 3 10 21" xfId="5480"/>
    <cellStyle name="40% - 强调文字颜色 3 10 22" xfId="5481"/>
    <cellStyle name="40% - 强调文字颜色 3 10 23" xfId="5482"/>
    <cellStyle name="40% - 强调文字颜色 3 10 24" xfId="5483"/>
    <cellStyle name="40% - 强调文字颜色 3 10 25" xfId="5484"/>
    <cellStyle name="40% - 强调文字颜色 3 10 26" xfId="5485"/>
    <cellStyle name="40% - 强调文字颜色 3 10 27" xfId="5486"/>
    <cellStyle name="40% - 强调文字颜色 3 10 28" xfId="5487"/>
    <cellStyle name="40% - 强调文字颜色 3 10 3" xfId="5488"/>
    <cellStyle name="40% - 强调文字颜色 3 10 4" xfId="5489"/>
    <cellStyle name="40% - 强调文字颜色 3 10 5" xfId="5490"/>
    <cellStyle name="40% - 强调文字颜色 3 10 6" xfId="5491"/>
    <cellStyle name="40% - 强调文字颜色 3 10 7" xfId="5492"/>
    <cellStyle name="40% - 强调文字颜色 3 10 8" xfId="5493"/>
    <cellStyle name="40% - 强调文字颜色 3 10 9" xfId="5494"/>
    <cellStyle name="40% - 强调文字颜色 3 11" xfId="5495"/>
    <cellStyle name="40% - 强调文字颜色 3 11 10" xfId="5496"/>
    <cellStyle name="40% - 强调文字颜色 3 11 11" xfId="5497"/>
    <cellStyle name="40% - 强调文字颜色 3 11 12" xfId="5498"/>
    <cellStyle name="40% - 强调文字颜色 3 11 13" xfId="5499"/>
    <cellStyle name="40% - 强调文字颜色 3 11 14" xfId="5500"/>
    <cellStyle name="40% - 强调文字颜色 3 11 15" xfId="5501"/>
    <cellStyle name="40% - 强调文字颜色 3 11 16" xfId="5502"/>
    <cellStyle name="40% - 强调文字颜色 3 11 17" xfId="5503"/>
    <cellStyle name="40% - 强调文字颜色 3 11 18" xfId="5504"/>
    <cellStyle name="40% - 强调文字颜色 3 11 19" xfId="5505"/>
    <cellStyle name="40% - 强调文字颜色 3 11 2" xfId="5506"/>
    <cellStyle name="40% - 强调文字颜色 3 11 2 10" xfId="5507"/>
    <cellStyle name="40% - 强调文字颜色 3 11 2 11" xfId="5508"/>
    <cellStyle name="40% - 强调文字颜色 3 11 2 12" xfId="5509"/>
    <cellStyle name="40% - 强调文字颜色 3 11 2 13" xfId="5510"/>
    <cellStyle name="40% - 强调文字颜色 3 11 2 14" xfId="5511"/>
    <cellStyle name="40% - 强调文字颜色 3 11 2 15" xfId="5512"/>
    <cellStyle name="40% - 强调文字颜色 3 11 2 16" xfId="5513"/>
    <cellStyle name="40% - 强调文字颜色 3 11 2 17" xfId="5514"/>
    <cellStyle name="40% - 强调文字颜色 3 11 2 18" xfId="5515"/>
    <cellStyle name="40% - 强调文字颜色 3 11 2 19" xfId="5516"/>
    <cellStyle name="40% - 强调文字颜色 3 11 2 2" xfId="5517"/>
    <cellStyle name="40% - 强调文字颜色 3 11 2 20" xfId="5518"/>
    <cellStyle name="40% - 强调文字颜色 3 11 2 21" xfId="5519"/>
    <cellStyle name="40% - 强调文字颜色 3 11 2 22" xfId="5520"/>
    <cellStyle name="40% - 强调文字颜色 3 11 2 23" xfId="5521"/>
    <cellStyle name="40% - 强调文字颜色 3 11 2 24" xfId="5522"/>
    <cellStyle name="40% - 强调文字颜色 3 11 2 25" xfId="5523"/>
    <cellStyle name="40% - 强调文字颜色 3 11 2 26" xfId="5524"/>
    <cellStyle name="40% - 强调文字颜色 3 11 2 27" xfId="5525"/>
    <cellStyle name="40% - 强调文字颜色 3 11 2 3" xfId="5526"/>
    <cellStyle name="40% - 强调文字颜色 3 11 2 4" xfId="5527"/>
    <cellStyle name="40% - 强调文字颜色 3 11 2 5" xfId="5528"/>
    <cellStyle name="40% - 强调文字颜色 3 11 2 6" xfId="5529"/>
    <cellStyle name="40% - 强调文字颜色 3 11 2 7" xfId="5530"/>
    <cellStyle name="40% - 强调文字颜色 3 11 2 8" xfId="5531"/>
    <cellStyle name="40% - 强调文字颜色 3 11 2 9" xfId="5532"/>
    <cellStyle name="40% - 强调文字颜色 3 11 20" xfId="5533"/>
    <cellStyle name="40% - 强调文字颜色 3 11 21" xfId="5534"/>
    <cellStyle name="40% - 强调文字颜色 3 11 22" xfId="5535"/>
    <cellStyle name="40% - 强调文字颜色 3 11 23" xfId="5536"/>
    <cellStyle name="40% - 强调文字颜色 3 11 24" xfId="5537"/>
    <cellStyle name="40% - 强调文字颜色 3 11 25" xfId="5538"/>
    <cellStyle name="40% - 强调文字颜色 3 11 26" xfId="5539"/>
    <cellStyle name="40% - 强调文字颜色 3 11 27" xfId="5540"/>
    <cellStyle name="40% - 强调文字颜色 3 11 28" xfId="5541"/>
    <cellStyle name="40% - 强调文字颜色 3 11 3" xfId="5542"/>
    <cellStyle name="40% - 强调文字颜色 3 11 4" xfId="5543"/>
    <cellStyle name="40% - 强调文字颜色 3 11 5" xfId="5544"/>
    <cellStyle name="40% - 强调文字颜色 3 11 6" xfId="5545"/>
    <cellStyle name="40% - 强调文字颜色 3 11 7" xfId="5546"/>
    <cellStyle name="40% - 强调文字颜色 3 11 8" xfId="5547"/>
    <cellStyle name="40% - 强调文字颜色 3 11 9" xfId="5548"/>
    <cellStyle name="40% - 强调文字颜色 3 12" xfId="5549"/>
    <cellStyle name="40% - 强调文字颜色 3 13" xfId="5550"/>
    <cellStyle name="40% - 强调文字颜色 3 14" xfId="5551"/>
    <cellStyle name="40% - 强调文字颜色 3 15" xfId="5552"/>
    <cellStyle name="40% - 强调文字颜色 3 16" xfId="5553"/>
    <cellStyle name="40% - 强调文字颜色 3 17" xfId="5554"/>
    <cellStyle name="40% - 强调文字颜色 3 18" xfId="5555"/>
    <cellStyle name="40% - 强调文字颜色 3 19" xfId="5556"/>
    <cellStyle name="40% - 强调文字颜色 3 2" xfId="5557"/>
    <cellStyle name="40% - 强调文字颜色 3 2 10" xfId="5558"/>
    <cellStyle name="40% - 强调文字颜色 3 2 11" xfId="5559"/>
    <cellStyle name="40% - 强调文字颜色 3 2 12" xfId="5560"/>
    <cellStyle name="40% - 强调文字颜色 3 2 13" xfId="5561"/>
    <cellStyle name="40% - 强调文字颜色 3 2 14" xfId="5562"/>
    <cellStyle name="40% - 强调文字颜色 3 2 15" xfId="5563"/>
    <cellStyle name="40% - 强调文字颜色 3 2 16" xfId="5564"/>
    <cellStyle name="40% - 强调文字颜色 3 2 17" xfId="5565"/>
    <cellStyle name="40% - 强调文字颜色 3 2 18" xfId="5566"/>
    <cellStyle name="40% - 强调文字颜色 3 2 19" xfId="5567"/>
    <cellStyle name="40% - 强调文字颜色 3 2 2" xfId="5568"/>
    <cellStyle name="40% - 强调文字颜色 3 2 2 10" xfId="5569"/>
    <cellStyle name="40% - 强调文字颜色 3 2 2 11" xfId="5570"/>
    <cellStyle name="40% - 强调文字颜色 3 2 2 12" xfId="5571"/>
    <cellStyle name="40% - 强调文字颜色 3 2 2 13" xfId="5572"/>
    <cellStyle name="40% - 强调文字颜色 3 2 2 14" xfId="5573"/>
    <cellStyle name="40% - 强调文字颜色 3 2 2 15" xfId="5574"/>
    <cellStyle name="40% - 强调文字颜色 3 2 2 16" xfId="5575"/>
    <cellStyle name="40% - 强调文字颜色 3 2 2 17" xfId="5576"/>
    <cellStyle name="40% - 强调文字颜色 3 2 2 18" xfId="5577"/>
    <cellStyle name="40% - 强调文字颜色 3 2 2 19" xfId="5578"/>
    <cellStyle name="40% - 强调文字颜色 3 2 2 2" xfId="5579"/>
    <cellStyle name="40% - 强调文字颜色 3 2 2 2 10" xfId="5580"/>
    <cellStyle name="40% - 强调文字颜色 3 2 2 2 11" xfId="5581"/>
    <cellStyle name="40% - 强调文字颜色 3 2 2 2 12" xfId="5582"/>
    <cellStyle name="40% - 强调文字颜色 3 2 2 2 13" xfId="5583"/>
    <cellStyle name="40% - 强调文字颜色 3 2 2 2 14" xfId="5584"/>
    <cellStyle name="40% - 强调文字颜色 3 2 2 2 15" xfId="5585"/>
    <cellStyle name="40% - 强调文字颜色 3 2 2 2 16" xfId="5586"/>
    <cellStyle name="40% - 强调文字颜色 3 2 2 2 17" xfId="5587"/>
    <cellStyle name="40% - 强调文字颜色 3 2 2 2 18" xfId="5588"/>
    <cellStyle name="40% - 强调文字颜色 3 2 2 2 19" xfId="5589"/>
    <cellStyle name="40% - 强调文字颜色 3 2 2 2 2" xfId="5590"/>
    <cellStyle name="40% - 强调文字颜色 3 2 2 2 20" xfId="5591"/>
    <cellStyle name="40% - 强调文字颜色 3 2 2 2 21" xfId="5592"/>
    <cellStyle name="40% - 强调文字颜色 3 2 2 2 22" xfId="5593"/>
    <cellStyle name="40% - 强调文字颜色 3 2 2 2 23" xfId="5594"/>
    <cellStyle name="40% - 强调文字颜色 3 2 2 2 24" xfId="5595"/>
    <cellStyle name="40% - 强调文字颜色 3 2 2 2 25" xfId="5596"/>
    <cellStyle name="40% - 强调文字颜色 3 2 2 2 26" xfId="5597"/>
    <cellStyle name="40% - 强调文字颜色 3 2 2 2 27" xfId="5598"/>
    <cellStyle name="40% - 强调文字颜色 3 2 2 2 3" xfId="5599"/>
    <cellStyle name="40% - 强调文字颜色 3 2 2 2 4" xfId="5600"/>
    <cellStyle name="40% - 强调文字颜色 3 2 2 2 5" xfId="5601"/>
    <cellStyle name="40% - 强调文字颜色 3 2 2 2 6" xfId="5602"/>
    <cellStyle name="40% - 强调文字颜色 3 2 2 2 7" xfId="5603"/>
    <cellStyle name="40% - 强调文字颜色 3 2 2 2 8" xfId="5604"/>
    <cellStyle name="40% - 强调文字颜色 3 2 2 2 9" xfId="5605"/>
    <cellStyle name="40% - 强调文字颜色 3 2 2 20" xfId="5606"/>
    <cellStyle name="40% - 强调文字颜色 3 2 2 21" xfId="5607"/>
    <cellStyle name="40% - 强调文字颜色 3 2 2 22" xfId="5608"/>
    <cellStyle name="40% - 强调文字颜色 3 2 2 23" xfId="5609"/>
    <cellStyle name="40% - 强调文字颜色 3 2 2 24" xfId="5610"/>
    <cellStyle name="40% - 强调文字颜色 3 2 2 25" xfId="5611"/>
    <cellStyle name="40% - 强调文字颜色 3 2 2 26" xfId="5612"/>
    <cellStyle name="40% - 强调文字颜色 3 2 2 27" xfId="5613"/>
    <cellStyle name="40% - 强调文字颜色 3 2 2 28" xfId="5614"/>
    <cellStyle name="40% - 强调文字颜色 3 2 2 3" xfId="5615"/>
    <cellStyle name="40% - 强调文字颜色 3 2 2 4" xfId="5616"/>
    <cellStyle name="40% - 强调文字颜色 3 2 2 5" xfId="5617"/>
    <cellStyle name="40% - 强调文字颜色 3 2 2 6" xfId="5618"/>
    <cellStyle name="40% - 强调文字颜色 3 2 2 7" xfId="5619"/>
    <cellStyle name="40% - 强调文字颜色 3 2 2 8" xfId="5620"/>
    <cellStyle name="40% - 强调文字颜色 3 2 2 9" xfId="5621"/>
    <cellStyle name="40% - 强调文字颜色 3 2 20" xfId="5622"/>
    <cellStyle name="40% - 强调文字颜色 3 2 21" xfId="5623"/>
    <cellStyle name="40% - 强调文字颜色 3 2 22" xfId="5624"/>
    <cellStyle name="40% - 强调文字颜色 3 2 23" xfId="5625"/>
    <cellStyle name="40% - 强调文字颜色 3 2 24" xfId="5626"/>
    <cellStyle name="40% - 强调文字颜色 3 2 25" xfId="5627"/>
    <cellStyle name="40% - 强调文字颜色 3 2 26" xfId="5628"/>
    <cellStyle name="40% - 强调文字颜色 3 2 27" xfId="5629"/>
    <cellStyle name="40% - 强调文字颜色 3 2 28" xfId="5630"/>
    <cellStyle name="40% - 强调文字颜色 3 2 29" xfId="5631"/>
    <cellStyle name="40% - 强调文字颜色 3 2 3" xfId="5632"/>
    <cellStyle name="40% - 强调文字颜色 3 2 3 10" xfId="5633"/>
    <cellStyle name="40% - 强调文字颜色 3 2 3 11" xfId="5634"/>
    <cellStyle name="40% - 强调文字颜色 3 2 3 12" xfId="5635"/>
    <cellStyle name="40% - 强调文字颜色 3 2 3 13" xfId="5636"/>
    <cellStyle name="40% - 强调文字颜色 3 2 3 14" xfId="5637"/>
    <cellStyle name="40% - 强调文字颜色 3 2 3 15" xfId="5638"/>
    <cellStyle name="40% - 强调文字颜色 3 2 3 16" xfId="5639"/>
    <cellStyle name="40% - 强调文字颜色 3 2 3 17" xfId="5640"/>
    <cellStyle name="40% - 强调文字颜色 3 2 3 18" xfId="5641"/>
    <cellStyle name="40% - 强调文字颜色 3 2 3 19" xfId="5642"/>
    <cellStyle name="40% - 强调文字颜色 3 2 3 2" xfId="5643"/>
    <cellStyle name="40% - 强调文字颜色 3 2 3 2 10" xfId="5644"/>
    <cellStyle name="40% - 强调文字颜色 3 2 3 2 11" xfId="5645"/>
    <cellStyle name="40% - 强调文字颜色 3 2 3 2 12" xfId="5646"/>
    <cellStyle name="40% - 强调文字颜色 3 2 3 2 13" xfId="5647"/>
    <cellStyle name="40% - 强调文字颜色 3 2 3 2 14" xfId="5648"/>
    <cellStyle name="40% - 强调文字颜色 3 2 3 2 15" xfId="5649"/>
    <cellStyle name="40% - 强调文字颜色 3 2 3 2 16" xfId="5650"/>
    <cellStyle name="40% - 强调文字颜色 3 2 3 2 17" xfId="5651"/>
    <cellStyle name="40% - 强调文字颜色 3 2 3 2 18" xfId="5652"/>
    <cellStyle name="40% - 强调文字颜色 3 2 3 2 19" xfId="5653"/>
    <cellStyle name="40% - 强调文字颜色 3 2 3 2 2" xfId="5654"/>
    <cellStyle name="40% - 强调文字颜色 3 2 3 2 20" xfId="5655"/>
    <cellStyle name="40% - 强调文字颜色 3 2 3 2 21" xfId="5656"/>
    <cellStyle name="40% - 强调文字颜色 3 2 3 2 22" xfId="5657"/>
    <cellStyle name="40% - 强调文字颜色 3 2 3 2 23" xfId="5658"/>
    <cellStyle name="40% - 强调文字颜色 3 2 3 2 24" xfId="5659"/>
    <cellStyle name="40% - 强调文字颜色 3 2 3 2 25" xfId="5660"/>
    <cellStyle name="40% - 强调文字颜色 3 2 3 2 26" xfId="5661"/>
    <cellStyle name="40% - 强调文字颜色 3 2 3 2 27" xfId="5662"/>
    <cellStyle name="40% - 强调文字颜色 3 2 3 2 3" xfId="5663"/>
    <cellStyle name="40% - 强调文字颜色 3 2 3 2 4" xfId="5664"/>
    <cellStyle name="40% - 强调文字颜色 3 2 3 2 5" xfId="5665"/>
    <cellStyle name="40% - 强调文字颜色 3 2 3 2 6" xfId="5666"/>
    <cellStyle name="40% - 强调文字颜色 3 2 3 2 7" xfId="5667"/>
    <cellStyle name="40% - 强调文字颜色 3 2 3 2 8" xfId="5668"/>
    <cellStyle name="40% - 强调文字颜色 3 2 3 2 9" xfId="5669"/>
    <cellStyle name="40% - 强调文字颜色 3 2 3 20" xfId="5670"/>
    <cellStyle name="40% - 强调文字颜色 3 2 3 21" xfId="5671"/>
    <cellStyle name="40% - 强调文字颜色 3 2 3 22" xfId="5672"/>
    <cellStyle name="40% - 强调文字颜色 3 2 3 23" xfId="5673"/>
    <cellStyle name="40% - 强调文字颜色 3 2 3 24" xfId="5674"/>
    <cellStyle name="40% - 强调文字颜色 3 2 3 25" xfId="5675"/>
    <cellStyle name="40% - 强调文字颜色 3 2 3 26" xfId="5676"/>
    <cellStyle name="40% - 强调文字颜色 3 2 3 27" xfId="5677"/>
    <cellStyle name="40% - 强调文字颜色 3 2 3 28" xfId="5678"/>
    <cellStyle name="40% - 强调文字颜色 3 2 3 3" xfId="5679"/>
    <cellStyle name="40% - 强调文字颜色 3 2 3 4" xfId="5680"/>
    <cellStyle name="40% - 强调文字颜色 3 2 3 5" xfId="5681"/>
    <cellStyle name="40% - 强调文字颜色 3 2 3 6" xfId="5682"/>
    <cellStyle name="40% - 强调文字颜色 3 2 3 7" xfId="5683"/>
    <cellStyle name="40% - 强调文字颜色 3 2 3 8" xfId="5684"/>
    <cellStyle name="40% - 强调文字颜色 3 2 3 9" xfId="5685"/>
    <cellStyle name="40% - 强调文字颜色 3 2 30" xfId="5686"/>
    <cellStyle name="40% - 强调文字颜色 3 2 31" xfId="5687"/>
    <cellStyle name="40% - 强调文字颜色 3 2 32" xfId="5688"/>
    <cellStyle name="40% - 强调文字颜色 3 2 33" xfId="5689"/>
    <cellStyle name="40% - 强调文字颜色 3 2 4" xfId="5690"/>
    <cellStyle name="40% - 强调文字颜色 3 2 4 10" xfId="5691"/>
    <cellStyle name="40% - 强调文字颜色 3 2 4 11" xfId="5692"/>
    <cellStyle name="40% - 强调文字颜色 3 2 4 12" xfId="5693"/>
    <cellStyle name="40% - 强调文字颜色 3 2 4 13" xfId="5694"/>
    <cellStyle name="40% - 强调文字颜色 3 2 4 14" xfId="5695"/>
    <cellStyle name="40% - 强调文字颜色 3 2 4 15" xfId="5696"/>
    <cellStyle name="40% - 强调文字颜色 3 2 4 16" xfId="5697"/>
    <cellStyle name="40% - 强调文字颜色 3 2 4 17" xfId="5698"/>
    <cellStyle name="40% - 强调文字颜色 3 2 4 18" xfId="5699"/>
    <cellStyle name="40% - 强调文字颜色 3 2 4 19" xfId="5700"/>
    <cellStyle name="40% - 强调文字颜色 3 2 4 2" xfId="5701"/>
    <cellStyle name="40% - 强调文字颜色 3 2 4 20" xfId="5702"/>
    <cellStyle name="40% - 强调文字颜色 3 2 4 21" xfId="5703"/>
    <cellStyle name="40% - 强调文字颜色 3 2 4 22" xfId="5704"/>
    <cellStyle name="40% - 强调文字颜色 3 2 4 23" xfId="5705"/>
    <cellStyle name="40% - 强调文字颜色 3 2 4 24" xfId="5706"/>
    <cellStyle name="40% - 强调文字颜色 3 2 4 25" xfId="5707"/>
    <cellStyle name="40% - 强调文字颜色 3 2 4 26" xfId="5708"/>
    <cellStyle name="40% - 强调文字颜色 3 2 4 27" xfId="5709"/>
    <cellStyle name="40% - 强调文字颜色 3 2 4 3" xfId="5710"/>
    <cellStyle name="40% - 强调文字颜色 3 2 4 4" xfId="5711"/>
    <cellStyle name="40% - 强调文字颜色 3 2 4 5" xfId="5712"/>
    <cellStyle name="40% - 强调文字颜色 3 2 4 6" xfId="5713"/>
    <cellStyle name="40% - 强调文字颜色 3 2 4 7" xfId="5714"/>
    <cellStyle name="40% - 强调文字颜色 3 2 4 8" xfId="5715"/>
    <cellStyle name="40% - 强调文字颜色 3 2 4 9" xfId="5716"/>
    <cellStyle name="40% - 强调文字颜色 3 2 5" xfId="5717"/>
    <cellStyle name="40% - 强调文字颜色 3 2 6" xfId="5718"/>
    <cellStyle name="40% - 强调文字颜色 3 2 7" xfId="5719"/>
    <cellStyle name="40% - 强调文字颜色 3 2 8" xfId="5720"/>
    <cellStyle name="40% - 强调文字颜色 3 2 9" xfId="5721"/>
    <cellStyle name="40% - 强调文字颜色 3 20" xfId="5722"/>
    <cellStyle name="40% - 强调文字颜色 3 21" xfId="5723"/>
    <cellStyle name="40% - 强调文字颜色 3 22" xfId="5724"/>
    <cellStyle name="40% - 强调文字颜色 3 23" xfId="5725"/>
    <cellStyle name="40% - 强调文字颜色 3 24" xfId="5726"/>
    <cellStyle name="40% - 强调文字颜色 3 25" xfId="5727"/>
    <cellStyle name="40% - 强调文字颜色 3 26" xfId="5728"/>
    <cellStyle name="40% - 强调文字颜色 3 27" xfId="5729"/>
    <cellStyle name="40% - 强调文字颜色 3 28" xfId="5730"/>
    <cellStyle name="40% - 强调文字颜色 3 29" xfId="5731"/>
    <cellStyle name="40% - 强调文字颜色 3 3" xfId="5732"/>
    <cellStyle name="40% - 强调文字颜色 3 3 10" xfId="5733"/>
    <cellStyle name="40% - 强调文字颜色 3 3 11" xfId="5734"/>
    <cellStyle name="40% - 强调文字颜色 3 3 12" xfId="5735"/>
    <cellStyle name="40% - 强调文字颜色 3 3 13" xfId="5736"/>
    <cellStyle name="40% - 强调文字颜色 3 3 14" xfId="5737"/>
    <cellStyle name="40% - 强调文字颜色 3 3 15" xfId="5738"/>
    <cellStyle name="40% - 强调文字颜色 3 3 16" xfId="5739"/>
    <cellStyle name="40% - 强调文字颜色 3 3 17" xfId="5740"/>
    <cellStyle name="40% - 强调文字颜色 3 3 18" xfId="5741"/>
    <cellStyle name="40% - 强调文字颜色 3 3 19" xfId="5742"/>
    <cellStyle name="40% - 强调文字颜色 3 3 2" xfId="5743"/>
    <cellStyle name="40% - 强调文字颜色 3 3 2 10" xfId="5744"/>
    <cellStyle name="40% - 强调文字颜色 3 3 2 11" xfId="5745"/>
    <cellStyle name="40% - 强调文字颜色 3 3 2 12" xfId="5746"/>
    <cellStyle name="40% - 强调文字颜色 3 3 2 13" xfId="5747"/>
    <cellStyle name="40% - 强调文字颜色 3 3 2 14" xfId="5748"/>
    <cellStyle name="40% - 强调文字颜色 3 3 2 15" xfId="5749"/>
    <cellStyle name="40% - 强调文字颜色 3 3 2 16" xfId="5750"/>
    <cellStyle name="40% - 强调文字颜色 3 3 2 17" xfId="5751"/>
    <cellStyle name="40% - 强调文字颜色 3 3 2 18" xfId="5752"/>
    <cellStyle name="40% - 强调文字颜色 3 3 2 19" xfId="5753"/>
    <cellStyle name="40% - 强调文字颜色 3 3 2 2" xfId="5754"/>
    <cellStyle name="40% - 强调文字颜色 3 3 2 20" xfId="5755"/>
    <cellStyle name="40% - 强调文字颜色 3 3 2 21" xfId="5756"/>
    <cellStyle name="40% - 强调文字颜色 3 3 2 22" xfId="5757"/>
    <cellStyle name="40% - 强调文字颜色 3 3 2 23" xfId="5758"/>
    <cellStyle name="40% - 强调文字颜色 3 3 2 24" xfId="5759"/>
    <cellStyle name="40% - 强调文字颜色 3 3 2 25" xfId="5760"/>
    <cellStyle name="40% - 强调文字颜色 3 3 2 26" xfId="5761"/>
    <cellStyle name="40% - 强调文字颜色 3 3 2 27" xfId="5762"/>
    <cellStyle name="40% - 强调文字颜色 3 3 2 3" xfId="5763"/>
    <cellStyle name="40% - 强调文字颜色 3 3 2 4" xfId="5764"/>
    <cellStyle name="40% - 强调文字颜色 3 3 2 5" xfId="5765"/>
    <cellStyle name="40% - 强调文字颜色 3 3 2 6" xfId="5766"/>
    <cellStyle name="40% - 强调文字颜色 3 3 2 7" xfId="5767"/>
    <cellStyle name="40% - 强调文字颜色 3 3 2 8" xfId="5768"/>
    <cellStyle name="40% - 强调文字颜色 3 3 2 9" xfId="5769"/>
    <cellStyle name="40% - 强调文字颜色 3 3 20" xfId="5770"/>
    <cellStyle name="40% - 强调文字颜色 3 3 21" xfId="5771"/>
    <cellStyle name="40% - 强调文字颜色 3 3 22" xfId="5772"/>
    <cellStyle name="40% - 强调文字颜色 3 3 23" xfId="5773"/>
    <cellStyle name="40% - 强调文字颜色 3 3 24" xfId="5774"/>
    <cellStyle name="40% - 强调文字颜色 3 3 25" xfId="5775"/>
    <cellStyle name="40% - 强调文字颜色 3 3 26" xfId="5776"/>
    <cellStyle name="40% - 强调文字颜色 3 3 27" xfId="5777"/>
    <cellStyle name="40% - 强调文字颜色 3 3 28" xfId="5778"/>
    <cellStyle name="40% - 强调文字颜色 3 3 3" xfId="5779"/>
    <cellStyle name="40% - 强调文字颜色 3 3 4" xfId="5780"/>
    <cellStyle name="40% - 强调文字颜色 3 3 5" xfId="5781"/>
    <cellStyle name="40% - 强调文字颜色 3 3 6" xfId="5782"/>
    <cellStyle name="40% - 强调文字颜色 3 3 7" xfId="5783"/>
    <cellStyle name="40% - 强调文字颜色 3 3 8" xfId="5784"/>
    <cellStyle name="40% - 强调文字颜色 3 3 9" xfId="5785"/>
    <cellStyle name="40% - 强调文字颜色 3 30" xfId="5786"/>
    <cellStyle name="40% - 强调文字颜色 3 31" xfId="5787"/>
    <cellStyle name="40% - 强调文字颜色 3 32" xfId="5788"/>
    <cellStyle name="40% - 强调文字颜色 3 33" xfId="5789"/>
    <cellStyle name="40% - 强调文字颜色 3 34" xfId="5790"/>
    <cellStyle name="40% - 强调文字颜色 3 35" xfId="5791"/>
    <cellStyle name="40% - 强调文字颜色 3 36" xfId="5792"/>
    <cellStyle name="40% - 强调文字颜色 3 37" xfId="5793"/>
    <cellStyle name="40% - 强调文字颜色 3 38" xfId="5794"/>
    <cellStyle name="40% - 强调文字颜色 3 39" xfId="5795"/>
    <cellStyle name="40% - 强调文字颜色 3 4" xfId="5796"/>
    <cellStyle name="40% - 强调文字颜色 3 4 10" xfId="5797"/>
    <cellStyle name="40% - 强调文字颜色 3 4 11" xfId="5798"/>
    <cellStyle name="40% - 强调文字颜色 3 4 12" xfId="5799"/>
    <cellStyle name="40% - 强调文字颜色 3 4 13" xfId="5800"/>
    <cellStyle name="40% - 强调文字颜色 3 4 14" xfId="5801"/>
    <cellStyle name="40% - 强调文字颜色 3 4 15" xfId="5802"/>
    <cellStyle name="40% - 强调文字颜色 3 4 16" xfId="5803"/>
    <cellStyle name="40% - 强调文字颜色 3 4 17" xfId="5804"/>
    <cellStyle name="40% - 强调文字颜色 3 4 18" xfId="5805"/>
    <cellStyle name="40% - 强调文字颜色 3 4 19" xfId="5806"/>
    <cellStyle name="40% - 强调文字颜色 3 4 2" xfId="5807"/>
    <cellStyle name="40% - 强调文字颜色 3 4 2 10" xfId="5808"/>
    <cellStyle name="40% - 强调文字颜色 3 4 2 11" xfId="5809"/>
    <cellStyle name="40% - 强调文字颜色 3 4 2 12" xfId="5810"/>
    <cellStyle name="40% - 强调文字颜色 3 4 2 13" xfId="5811"/>
    <cellStyle name="40% - 强调文字颜色 3 4 2 14" xfId="5812"/>
    <cellStyle name="40% - 强调文字颜色 3 4 2 15" xfId="5813"/>
    <cellStyle name="40% - 强调文字颜色 3 4 2 16" xfId="5814"/>
    <cellStyle name="40% - 强调文字颜色 3 4 2 17" xfId="5815"/>
    <cellStyle name="40% - 强调文字颜色 3 4 2 18" xfId="5816"/>
    <cellStyle name="40% - 强调文字颜色 3 4 2 19" xfId="5817"/>
    <cellStyle name="40% - 强调文字颜色 3 4 2 2" xfId="5818"/>
    <cellStyle name="40% - 强调文字颜色 3 4 2 20" xfId="5819"/>
    <cellStyle name="40% - 强调文字颜色 3 4 2 21" xfId="5820"/>
    <cellStyle name="40% - 强调文字颜色 3 4 2 22" xfId="5821"/>
    <cellStyle name="40% - 强调文字颜色 3 4 2 23" xfId="5822"/>
    <cellStyle name="40% - 强调文字颜色 3 4 2 24" xfId="5823"/>
    <cellStyle name="40% - 强调文字颜色 3 4 2 25" xfId="5824"/>
    <cellStyle name="40% - 强调文字颜色 3 4 2 26" xfId="5825"/>
    <cellStyle name="40% - 强调文字颜色 3 4 2 27" xfId="5826"/>
    <cellStyle name="40% - 强调文字颜色 3 4 2 3" xfId="5827"/>
    <cellStyle name="40% - 强调文字颜色 3 4 2 4" xfId="5828"/>
    <cellStyle name="40% - 强调文字颜色 3 4 2 5" xfId="5829"/>
    <cellStyle name="40% - 强调文字颜色 3 4 2 6" xfId="5830"/>
    <cellStyle name="40% - 强调文字颜色 3 4 2 7" xfId="5831"/>
    <cellStyle name="40% - 强调文字颜色 3 4 2 8" xfId="5832"/>
    <cellStyle name="40% - 强调文字颜色 3 4 2 9" xfId="5833"/>
    <cellStyle name="40% - 强调文字颜色 3 4 20" xfId="5834"/>
    <cellStyle name="40% - 强调文字颜色 3 4 21" xfId="5835"/>
    <cellStyle name="40% - 强调文字颜色 3 4 22" xfId="5836"/>
    <cellStyle name="40% - 强调文字颜色 3 4 23" xfId="5837"/>
    <cellStyle name="40% - 强调文字颜色 3 4 24" xfId="5838"/>
    <cellStyle name="40% - 强调文字颜色 3 4 25" xfId="5839"/>
    <cellStyle name="40% - 强调文字颜色 3 4 26" xfId="5840"/>
    <cellStyle name="40% - 强调文字颜色 3 4 27" xfId="5841"/>
    <cellStyle name="40% - 强调文字颜色 3 4 28" xfId="5842"/>
    <cellStyle name="40% - 强调文字颜色 3 4 3" xfId="5843"/>
    <cellStyle name="40% - 强调文字颜色 3 4 4" xfId="5844"/>
    <cellStyle name="40% - 强调文字颜色 3 4 5" xfId="5845"/>
    <cellStyle name="40% - 强调文字颜色 3 4 6" xfId="5846"/>
    <cellStyle name="40% - 强调文字颜色 3 4 7" xfId="5847"/>
    <cellStyle name="40% - 强调文字颜色 3 4 8" xfId="5848"/>
    <cellStyle name="40% - 强调文字颜色 3 4 9" xfId="5849"/>
    <cellStyle name="40% - 强调文字颜色 3 40" xfId="5850"/>
    <cellStyle name="40% - 强调文字颜色 3 5" xfId="5851"/>
    <cellStyle name="40% - 强调文字颜色 3 5 10" xfId="5852"/>
    <cellStyle name="40% - 强调文字颜色 3 5 11" xfId="5853"/>
    <cellStyle name="40% - 强调文字颜色 3 5 12" xfId="5854"/>
    <cellStyle name="40% - 强调文字颜色 3 5 13" xfId="5855"/>
    <cellStyle name="40% - 强调文字颜色 3 5 14" xfId="5856"/>
    <cellStyle name="40% - 强调文字颜色 3 5 15" xfId="5857"/>
    <cellStyle name="40% - 强调文字颜色 3 5 16" xfId="5858"/>
    <cellStyle name="40% - 强调文字颜色 3 5 17" xfId="5859"/>
    <cellStyle name="40% - 强调文字颜色 3 5 18" xfId="5860"/>
    <cellStyle name="40% - 强调文字颜色 3 5 19" xfId="5861"/>
    <cellStyle name="40% - 强调文字颜色 3 5 2" xfId="5862"/>
    <cellStyle name="40% - 强调文字颜色 3 5 2 10" xfId="5863"/>
    <cellStyle name="40% - 强调文字颜色 3 5 2 11" xfId="5864"/>
    <cellStyle name="40% - 强调文字颜色 3 5 2 12" xfId="5865"/>
    <cellStyle name="40% - 强调文字颜色 3 5 2 13" xfId="5866"/>
    <cellStyle name="40% - 强调文字颜色 3 5 2 14" xfId="5867"/>
    <cellStyle name="40% - 强调文字颜色 3 5 2 15" xfId="5868"/>
    <cellStyle name="40% - 强调文字颜色 3 5 2 16" xfId="5869"/>
    <cellStyle name="40% - 强调文字颜色 3 5 2 17" xfId="5870"/>
    <cellStyle name="40% - 强调文字颜色 3 5 2 18" xfId="5871"/>
    <cellStyle name="40% - 强调文字颜色 3 5 2 19" xfId="5872"/>
    <cellStyle name="40% - 强调文字颜色 3 5 2 2" xfId="5873"/>
    <cellStyle name="40% - 强调文字颜色 3 5 2 20" xfId="5874"/>
    <cellStyle name="40% - 强调文字颜色 3 5 2 21" xfId="5875"/>
    <cellStyle name="40% - 强调文字颜色 3 5 2 22" xfId="5876"/>
    <cellStyle name="40% - 强调文字颜色 3 5 2 23" xfId="5877"/>
    <cellStyle name="40% - 强调文字颜色 3 5 2 24" xfId="5878"/>
    <cellStyle name="40% - 强调文字颜色 3 5 2 25" xfId="5879"/>
    <cellStyle name="40% - 强调文字颜色 3 5 2 26" xfId="5880"/>
    <cellStyle name="40% - 强调文字颜色 3 5 2 27" xfId="5881"/>
    <cellStyle name="40% - 强调文字颜色 3 5 2 3" xfId="5882"/>
    <cellStyle name="40% - 强调文字颜色 3 5 2 4" xfId="5883"/>
    <cellStyle name="40% - 强调文字颜色 3 5 2 5" xfId="5884"/>
    <cellStyle name="40% - 强调文字颜色 3 5 2 6" xfId="5885"/>
    <cellStyle name="40% - 强调文字颜色 3 5 2 7" xfId="5886"/>
    <cellStyle name="40% - 强调文字颜色 3 5 2 8" xfId="5887"/>
    <cellStyle name="40% - 强调文字颜色 3 5 2 9" xfId="5888"/>
    <cellStyle name="40% - 强调文字颜色 3 5 20" xfId="5889"/>
    <cellStyle name="40% - 强调文字颜色 3 5 21" xfId="5890"/>
    <cellStyle name="40% - 强调文字颜色 3 5 22" xfId="5891"/>
    <cellStyle name="40% - 强调文字颜色 3 5 23" xfId="5892"/>
    <cellStyle name="40% - 强调文字颜色 3 5 24" xfId="5893"/>
    <cellStyle name="40% - 强调文字颜色 3 5 25" xfId="5894"/>
    <cellStyle name="40% - 强调文字颜色 3 5 26" xfId="5895"/>
    <cellStyle name="40% - 强调文字颜色 3 5 27" xfId="5896"/>
    <cellStyle name="40% - 强调文字颜色 3 5 28" xfId="5897"/>
    <cellStyle name="40% - 强调文字颜色 3 5 3" xfId="5898"/>
    <cellStyle name="40% - 强调文字颜色 3 5 4" xfId="5899"/>
    <cellStyle name="40% - 强调文字颜色 3 5 5" xfId="5900"/>
    <cellStyle name="40% - 强调文字颜色 3 5 6" xfId="5901"/>
    <cellStyle name="40% - 强调文字颜色 3 5 7" xfId="5902"/>
    <cellStyle name="40% - 强调文字颜色 3 5 8" xfId="5903"/>
    <cellStyle name="40% - 强调文字颜色 3 5 9" xfId="5904"/>
    <cellStyle name="40% - 强调文字颜色 3 6" xfId="5905"/>
    <cellStyle name="40% - 强调文字颜色 3 6 10" xfId="5906"/>
    <cellStyle name="40% - 强调文字颜色 3 6 11" xfId="5907"/>
    <cellStyle name="40% - 强调文字颜色 3 6 12" xfId="5908"/>
    <cellStyle name="40% - 强调文字颜色 3 6 13" xfId="5909"/>
    <cellStyle name="40% - 强调文字颜色 3 6 14" xfId="5910"/>
    <cellStyle name="40% - 强调文字颜色 3 6 15" xfId="5911"/>
    <cellStyle name="40% - 强调文字颜色 3 6 16" xfId="5912"/>
    <cellStyle name="40% - 强调文字颜色 3 6 17" xfId="5913"/>
    <cellStyle name="40% - 强调文字颜色 3 6 18" xfId="5914"/>
    <cellStyle name="40% - 强调文字颜色 3 6 19" xfId="5915"/>
    <cellStyle name="40% - 强调文字颜色 3 6 2" xfId="5916"/>
    <cellStyle name="40% - 强调文字颜色 3 6 2 10" xfId="5917"/>
    <cellStyle name="40% - 强调文字颜色 3 6 2 11" xfId="5918"/>
    <cellStyle name="40% - 强调文字颜色 3 6 2 12" xfId="5919"/>
    <cellStyle name="40% - 强调文字颜色 3 6 2 13" xfId="5920"/>
    <cellStyle name="40% - 强调文字颜色 3 6 2 14" xfId="5921"/>
    <cellStyle name="40% - 强调文字颜色 3 6 2 15" xfId="5922"/>
    <cellStyle name="40% - 强调文字颜色 3 6 2 16" xfId="5923"/>
    <cellStyle name="40% - 强调文字颜色 3 6 2 17" xfId="5924"/>
    <cellStyle name="40% - 强调文字颜色 3 6 2 18" xfId="5925"/>
    <cellStyle name="40% - 强调文字颜色 3 6 2 19" xfId="5926"/>
    <cellStyle name="40% - 强调文字颜色 3 6 2 2" xfId="5927"/>
    <cellStyle name="40% - 强调文字颜色 3 6 2 20" xfId="5928"/>
    <cellStyle name="40% - 强调文字颜色 3 6 2 21" xfId="5929"/>
    <cellStyle name="40% - 强调文字颜色 3 6 2 22" xfId="5930"/>
    <cellStyle name="40% - 强调文字颜色 3 6 2 23" xfId="5931"/>
    <cellStyle name="40% - 强调文字颜色 3 6 2 24" xfId="5932"/>
    <cellStyle name="40% - 强调文字颜色 3 6 2 25" xfId="5933"/>
    <cellStyle name="40% - 强调文字颜色 3 6 2 26" xfId="5934"/>
    <cellStyle name="40% - 强调文字颜色 3 6 2 27" xfId="5935"/>
    <cellStyle name="40% - 强调文字颜色 3 6 2 3" xfId="5936"/>
    <cellStyle name="40% - 强调文字颜色 3 6 2 4" xfId="5937"/>
    <cellStyle name="40% - 强调文字颜色 3 6 2 5" xfId="5938"/>
    <cellStyle name="40% - 强调文字颜色 3 6 2 6" xfId="5939"/>
    <cellStyle name="40% - 强调文字颜色 3 6 2 7" xfId="5940"/>
    <cellStyle name="40% - 强调文字颜色 3 6 2 8" xfId="5941"/>
    <cellStyle name="40% - 强调文字颜色 3 6 2 9" xfId="5942"/>
    <cellStyle name="40% - 强调文字颜色 3 6 20" xfId="5943"/>
    <cellStyle name="40% - 强调文字颜色 3 6 21" xfId="5944"/>
    <cellStyle name="40% - 强调文字颜色 3 6 22" xfId="5945"/>
    <cellStyle name="40% - 强调文字颜色 3 6 23" xfId="5946"/>
    <cellStyle name="40% - 强调文字颜色 3 6 24" xfId="5947"/>
    <cellStyle name="40% - 强调文字颜色 3 6 25" xfId="5948"/>
    <cellStyle name="40% - 强调文字颜色 3 6 26" xfId="5949"/>
    <cellStyle name="40% - 强调文字颜色 3 6 27" xfId="5950"/>
    <cellStyle name="40% - 强调文字颜色 3 6 28" xfId="5951"/>
    <cellStyle name="40% - 强调文字颜色 3 6 3" xfId="5952"/>
    <cellStyle name="40% - 强调文字颜色 3 6 4" xfId="5953"/>
    <cellStyle name="40% - 强调文字颜色 3 6 5" xfId="5954"/>
    <cellStyle name="40% - 强调文字颜色 3 6 6" xfId="5955"/>
    <cellStyle name="40% - 强调文字颜色 3 6 7" xfId="5956"/>
    <cellStyle name="40% - 强调文字颜色 3 6 8" xfId="5957"/>
    <cellStyle name="40% - 强调文字颜色 3 6 9" xfId="5958"/>
    <cellStyle name="40% - 强调文字颜色 3 7" xfId="5959"/>
    <cellStyle name="40% - 强调文字颜色 3 7 10" xfId="5960"/>
    <cellStyle name="40% - 强调文字颜色 3 7 11" xfId="5961"/>
    <cellStyle name="40% - 强调文字颜色 3 7 12" xfId="5962"/>
    <cellStyle name="40% - 强调文字颜色 3 7 13" xfId="5963"/>
    <cellStyle name="40% - 强调文字颜色 3 7 14" xfId="5964"/>
    <cellStyle name="40% - 强调文字颜色 3 7 15" xfId="5965"/>
    <cellStyle name="40% - 强调文字颜色 3 7 16" xfId="5966"/>
    <cellStyle name="40% - 强调文字颜色 3 7 17" xfId="5967"/>
    <cellStyle name="40% - 强调文字颜色 3 7 18" xfId="5968"/>
    <cellStyle name="40% - 强调文字颜色 3 7 19" xfId="5969"/>
    <cellStyle name="40% - 强调文字颜色 3 7 2" xfId="5970"/>
    <cellStyle name="40% - 强调文字颜色 3 7 2 10" xfId="5971"/>
    <cellStyle name="40% - 强调文字颜色 3 7 2 11" xfId="5972"/>
    <cellStyle name="40% - 强调文字颜色 3 7 2 12" xfId="5973"/>
    <cellStyle name="40% - 强调文字颜色 3 7 2 13" xfId="5974"/>
    <cellStyle name="40% - 强调文字颜色 3 7 2 14" xfId="5975"/>
    <cellStyle name="40% - 强调文字颜色 3 7 2 15" xfId="5976"/>
    <cellStyle name="40% - 强调文字颜色 3 7 2 16" xfId="5977"/>
    <cellStyle name="40% - 强调文字颜色 3 7 2 17" xfId="5978"/>
    <cellStyle name="40% - 强调文字颜色 3 7 2 18" xfId="5979"/>
    <cellStyle name="40% - 强调文字颜色 3 7 2 19" xfId="5980"/>
    <cellStyle name="40% - 强调文字颜色 3 7 2 2" xfId="5981"/>
    <cellStyle name="40% - 强调文字颜色 3 7 2 20" xfId="5982"/>
    <cellStyle name="40% - 强调文字颜色 3 7 2 21" xfId="5983"/>
    <cellStyle name="40% - 强调文字颜色 3 7 2 22" xfId="5984"/>
    <cellStyle name="40% - 强调文字颜色 3 7 2 23" xfId="5985"/>
    <cellStyle name="40% - 强调文字颜色 3 7 2 24" xfId="5986"/>
    <cellStyle name="40% - 强调文字颜色 3 7 2 25" xfId="5987"/>
    <cellStyle name="40% - 强调文字颜色 3 7 2 26" xfId="5988"/>
    <cellStyle name="40% - 强调文字颜色 3 7 2 27" xfId="5989"/>
    <cellStyle name="40% - 强调文字颜色 3 7 2 3" xfId="5990"/>
    <cellStyle name="40% - 强调文字颜色 3 7 2 4" xfId="5991"/>
    <cellStyle name="40% - 强调文字颜色 3 7 2 5" xfId="5992"/>
    <cellStyle name="40% - 强调文字颜色 3 7 2 6" xfId="5993"/>
    <cellStyle name="40% - 强调文字颜色 3 7 2 7" xfId="5994"/>
    <cellStyle name="40% - 强调文字颜色 3 7 2 8" xfId="5995"/>
    <cellStyle name="40% - 强调文字颜色 3 7 2 9" xfId="5996"/>
    <cellStyle name="40% - 强调文字颜色 3 7 20" xfId="5997"/>
    <cellStyle name="40% - 强调文字颜色 3 7 21" xfId="5998"/>
    <cellStyle name="40% - 强调文字颜色 3 7 22" xfId="5999"/>
    <cellStyle name="40% - 强调文字颜色 3 7 23" xfId="6000"/>
    <cellStyle name="40% - 强调文字颜色 3 7 24" xfId="6001"/>
    <cellStyle name="40% - 强调文字颜色 3 7 25" xfId="6002"/>
    <cellStyle name="40% - 强调文字颜色 3 7 26" xfId="6003"/>
    <cellStyle name="40% - 强调文字颜色 3 7 27" xfId="6004"/>
    <cellStyle name="40% - 强调文字颜色 3 7 28" xfId="6005"/>
    <cellStyle name="40% - 强调文字颜色 3 7 3" xfId="6006"/>
    <cellStyle name="40% - 强调文字颜色 3 7 4" xfId="6007"/>
    <cellStyle name="40% - 强调文字颜色 3 7 5" xfId="6008"/>
    <cellStyle name="40% - 强调文字颜色 3 7 6" xfId="6009"/>
    <cellStyle name="40% - 强调文字颜色 3 7 7" xfId="6010"/>
    <cellStyle name="40% - 强调文字颜色 3 7 8" xfId="6011"/>
    <cellStyle name="40% - 强调文字颜色 3 7 9" xfId="6012"/>
    <cellStyle name="40% - 强调文字颜色 3 8" xfId="6013"/>
    <cellStyle name="40% - 强调文字颜色 3 8 10" xfId="6014"/>
    <cellStyle name="40% - 强调文字颜色 3 8 11" xfId="6015"/>
    <cellStyle name="40% - 强调文字颜色 3 8 12" xfId="6016"/>
    <cellStyle name="40% - 强调文字颜色 3 8 13" xfId="6017"/>
    <cellStyle name="40% - 强调文字颜色 3 8 14" xfId="6018"/>
    <cellStyle name="40% - 强调文字颜色 3 8 15" xfId="6019"/>
    <cellStyle name="40% - 强调文字颜色 3 8 16" xfId="6020"/>
    <cellStyle name="40% - 强调文字颜色 3 8 17" xfId="6021"/>
    <cellStyle name="40% - 强调文字颜色 3 8 18" xfId="6022"/>
    <cellStyle name="40% - 强调文字颜色 3 8 19" xfId="6023"/>
    <cellStyle name="40% - 强调文字颜色 3 8 2" xfId="6024"/>
    <cellStyle name="40% - 强调文字颜色 3 8 2 10" xfId="6025"/>
    <cellStyle name="40% - 强调文字颜色 3 8 2 11" xfId="6026"/>
    <cellStyle name="40% - 强调文字颜色 3 8 2 12" xfId="6027"/>
    <cellStyle name="40% - 强调文字颜色 3 8 2 13" xfId="6028"/>
    <cellStyle name="40% - 强调文字颜色 3 8 2 14" xfId="6029"/>
    <cellStyle name="40% - 强调文字颜色 3 8 2 15" xfId="6030"/>
    <cellStyle name="40% - 强调文字颜色 3 8 2 16" xfId="6031"/>
    <cellStyle name="40% - 强调文字颜色 3 8 2 17" xfId="6032"/>
    <cellStyle name="40% - 强调文字颜色 3 8 2 18" xfId="6033"/>
    <cellStyle name="40% - 强调文字颜色 3 8 2 19" xfId="6034"/>
    <cellStyle name="40% - 强调文字颜色 3 8 2 2" xfId="6035"/>
    <cellStyle name="40% - 强调文字颜色 3 8 2 20" xfId="6036"/>
    <cellStyle name="40% - 强调文字颜色 3 8 2 21" xfId="6037"/>
    <cellStyle name="40% - 强调文字颜色 3 8 2 22" xfId="6038"/>
    <cellStyle name="40% - 强调文字颜色 3 8 2 23" xfId="6039"/>
    <cellStyle name="40% - 强调文字颜色 3 8 2 24" xfId="6040"/>
    <cellStyle name="40% - 强调文字颜色 3 8 2 25" xfId="6041"/>
    <cellStyle name="40% - 强调文字颜色 3 8 2 26" xfId="6042"/>
    <cellStyle name="40% - 强调文字颜色 3 8 2 27" xfId="6043"/>
    <cellStyle name="40% - 强调文字颜色 3 8 2 3" xfId="6044"/>
    <cellStyle name="40% - 强调文字颜色 3 8 2 4" xfId="6045"/>
    <cellStyle name="40% - 强调文字颜色 3 8 2 5" xfId="6046"/>
    <cellStyle name="40% - 强调文字颜色 3 8 2 6" xfId="6047"/>
    <cellStyle name="40% - 强调文字颜色 3 8 2 7" xfId="6048"/>
    <cellStyle name="40% - 强调文字颜色 3 8 2 8" xfId="6049"/>
    <cellStyle name="40% - 强调文字颜色 3 8 2 9" xfId="6050"/>
    <cellStyle name="40% - 强调文字颜色 3 8 20" xfId="6051"/>
    <cellStyle name="40% - 强调文字颜色 3 8 21" xfId="6052"/>
    <cellStyle name="40% - 强调文字颜色 3 8 22" xfId="6053"/>
    <cellStyle name="40% - 强调文字颜色 3 8 23" xfId="6054"/>
    <cellStyle name="40% - 强调文字颜色 3 8 24" xfId="6055"/>
    <cellStyle name="40% - 强调文字颜色 3 8 25" xfId="6056"/>
    <cellStyle name="40% - 强调文字颜色 3 8 26" xfId="6057"/>
    <cellStyle name="40% - 强调文字颜色 3 8 27" xfId="6058"/>
    <cellStyle name="40% - 强调文字颜色 3 8 28" xfId="6059"/>
    <cellStyle name="40% - 强调文字颜色 3 8 3" xfId="6060"/>
    <cellStyle name="40% - 强调文字颜色 3 8 4" xfId="6061"/>
    <cellStyle name="40% - 强调文字颜色 3 8 5" xfId="6062"/>
    <cellStyle name="40% - 强调文字颜色 3 8 6" xfId="6063"/>
    <cellStyle name="40% - 强调文字颜色 3 8 7" xfId="6064"/>
    <cellStyle name="40% - 强调文字颜色 3 8 8" xfId="6065"/>
    <cellStyle name="40% - 强调文字颜色 3 8 9" xfId="6066"/>
    <cellStyle name="40% - 强调文字颜色 3 9" xfId="6067"/>
    <cellStyle name="40% - 强调文字颜色 3 9 10" xfId="6068"/>
    <cellStyle name="40% - 强调文字颜色 3 9 11" xfId="6069"/>
    <cellStyle name="40% - 强调文字颜色 3 9 12" xfId="6070"/>
    <cellStyle name="40% - 强调文字颜色 3 9 13" xfId="6071"/>
    <cellStyle name="40% - 强调文字颜色 3 9 14" xfId="6072"/>
    <cellStyle name="40% - 强调文字颜色 3 9 15" xfId="6073"/>
    <cellStyle name="40% - 强调文字颜色 3 9 16" xfId="6074"/>
    <cellStyle name="40% - 强调文字颜色 3 9 17" xfId="6075"/>
    <cellStyle name="40% - 强调文字颜色 3 9 18" xfId="6076"/>
    <cellStyle name="40% - 强调文字颜色 3 9 19" xfId="6077"/>
    <cellStyle name="40% - 强调文字颜色 3 9 2" xfId="6078"/>
    <cellStyle name="40% - 强调文字颜色 3 9 2 10" xfId="6079"/>
    <cellStyle name="40% - 强调文字颜色 3 9 2 11" xfId="6080"/>
    <cellStyle name="40% - 强调文字颜色 3 9 2 12" xfId="6081"/>
    <cellStyle name="40% - 强调文字颜色 3 9 2 13" xfId="6082"/>
    <cellStyle name="40% - 强调文字颜色 3 9 2 14" xfId="6083"/>
    <cellStyle name="40% - 强调文字颜色 3 9 2 15" xfId="6084"/>
    <cellStyle name="40% - 强调文字颜色 3 9 2 16" xfId="6085"/>
    <cellStyle name="40% - 强调文字颜色 3 9 2 17" xfId="6086"/>
    <cellStyle name="40% - 强调文字颜色 3 9 2 18" xfId="6087"/>
    <cellStyle name="40% - 强调文字颜色 3 9 2 19" xfId="6088"/>
    <cellStyle name="40% - 强调文字颜色 3 9 2 2" xfId="6089"/>
    <cellStyle name="40% - 强调文字颜色 3 9 2 20" xfId="6090"/>
    <cellStyle name="40% - 强调文字颜色 3 9 2 21" xfId="6091"/>
    <cellStyle name="40% - 强调文字颜色 3 9 2 22" xfId="6092"/>
    <cellStyle name="40% - 强调文字颜色 3 9 2 23" xfId="6093"/>
    <cellStyle name="40% - 强调文字颜色 3 9 2 24" xfId="6094"/>
    <cellStyle name="40% - 强调文字颜色 3 9 2 25" xfId="6095"/>
    <cellStyle name="40% - 强调文字颜色 3 9 2 26" xfId="6096"/>
    <cellStyle name="40% - 强调文字颜色 3 9 2 27" xfId="6097"/>
    <cellStyle name="40% - 强调文字颜色 3 9 2 3" xfId="6098"/>
    <cellStyle name="40% - 强调文字颜色 3 9 2 4" xfId="6099"/>
    <cellStyle name="40% - 强调文字颜色 3 9 2 5" xfId="6100"/>
    <cellStyle name="40% - 强调文字颜色 3 9 2 6" xfId="6101"/>
    <cellStyle name="40% - 强调文字颜色 3 9 2 7" xfId="6102"/>
    <cellStyle name="40% - 强调文字颜色 3 9 2 8" xfId="6103"/>
    <cellStyle name="40% - 强调文字颜色 3 9 2 9" xfId="6104"/>
    <cellStyle name="40% - 强调文字颜色 3 9 20" xfId="6105"/>
    <cellStyle name="40% - 强调文字颜色 3 9 21" xfId="6106"/>
    <cellStyle name="40% - 强调文字颜色 3 9 22" xfId="6107"/>
    <cellStyle name="40% - 强调文字颜色 3 9 23" xfId="6108"/>
    <cellStyle name="40% - 强调文字颜色 3 9 24" xfId="6109"/>
    <cellStyle name="40% - 强调文字颜色 3 9 25" xfId="6110"/>
    <cellStyle name="40% - 强调文字颜色 3 9 26" xfId="6111"/>
    <cellStyle name="40% - 强调文字颜色 3 9 27" xfId="6112"/>
    <cellStyle name="40% - 强调文字颜色 3 9 28" xfId="6113"/>
    <cellStyle name="40% - 强调文字颜色 3 9 3" xfId="6114"/>
    <cellStyle name="40% - 强调文字颜色 3 9 4" xfId="6115"/>
    <cellStyle name="40% - 强调文字颜色 3 9 5" xfId="6116"/>
    <cellStyle name="40% - 强调文字颜色 3 9 6" xfId="6117"/>
    <cellStyle name="40% - 强调文字颜色 3 9 7" xfId="6118"/>
    <cellStyle name="40% - 强调文字颜色 3 9 8" xfId="6119"/>
    <cellStyle name="40% - 强调文字颜色 3 9 9" xfId="6120"/>
    <cellStyle name="40% - 强调文字颜色 4 10" xfId="6121"/>
    <cellStyle name="40% - 强调文字颜色 4 10 10" xfId="6122"/>
    <cellStyle name="40% - 强调文字颜色 4 10 11" xfId="6123"/>
    <cellStyle name="40% - 强调文字颜色 4 10 12" xfId="6124"/>
    <cellStyle name="40% - 强调文字颜色 4 10 13" xfId="6125"/>
    <cellStyle name="40% - 强调文字颜色 4 10 14" xfId="6126"/>
    <cellStyle name="40% - 强调文字颜色 4 10 15" xfId="6127"/>
    <cellStyle name="40% - 强调文字颜色 4 10 16" xfId="6128"/>
    <cellStyle name="40% - 强调文字颜色 4 10 17" xfId="6129"/>
    <cellStyle name="40% - 强调文字颜色 4 10 18" xfId="6130"/>
    <cellStyle name="40% - 强调文字颜色 4 10 19" xfId="6131"/>
    <cellStyle name="40% - 强调文字颜色 4 10 2" xfId="6132"/>
    <cellStyle name="40% - 强调文字颜色 4 10 2 10" xfId="6133"/>
    <cellStyle name="40% - 强调文字颜色 4 10 2 11" xfId="6134"/>
    <cellStyle name="40% - 强调文字颜色 4 10 2 12" xfId="6135"/>
    <cellStyle name="40% - 强调文字颜色 4 10 2 13" xfId="6136"/>
    <cellStyle name="40% - 强调文字颜色 4 10 2 14" xfId="6137"/>
    <cellStyle name="40% - 强调文字颜色 4 10 2 15" xfId="6138"/>
    <cellStyle name="40% - 强调文字颜色 4 10 2 16" xfId="6139"/>
    <cellStyle name="40% - 强调文字颜色 4 10 2 17" xfId="6140"/>
    <cellStyle name="40% - 强调文字颜色 4 10 2 18" xfId="6141"/>
    <cellStyle name="40% - 强调文字颜色 4 10 2 19" xfId="6142"/>
    <cellStyle name="40% - 强调文字颜色 4 10 2 2" xfId="6143"/>
    <cellStyle name="40% - 强调文字颜色 4 10 2 20" xfId="6144"/>
    <cellStyle name="40% - 强调文字颜色 4 10 2 21" xfId="6145"/>
    <cellStyle name="40% - 强调文字颜色 4 10 2 22" xfId="6146"/>
    <cellStyle name="40% - 强调文字颜色 4 10 2 23" xfId="6147"/>
    <cellStyle name="40% - 强调文字颜色 4 10 2 24" xfId="6148"/>
    <cellStyle name="40% - 强调文字颜色 4 10 2 25" xfId="6149"/>
    <cellStyle name="40% - 强调文字颜色 4 10 2 26" xfId="6150"/>
    <cellStyle name="40% - 强调文字颜色 4 10 2 27" xfId="6151"/>
    <cellStyle name="40% - 强调文字颜色 4 10 2 3" xfId="6152"/>
    <cellStyle name="40% - 强调文字颜色 4 10 2 4" xfId="6153"/>
    <cellStyle name="40% - 强调文字颜色 4 10 2 5" xfId="6154"/>
    <cellStyle name="40% - 强调文字颜色 4 10 2 6" xfId="6155"/>
    <cellStyle name="40% - 强调文字颜色 4 10 2 7" xfId="6156"/>
    <cellStyle name="40% - 强调文字颜色 4 10 2 8" xfId="6157"/>
    <cellStyle name="40% - 强调文字颜色 4 10 2 9" xfId="6158"/>
    <cellStyle name="40% - 强调文字颜色 4 10 20" xfId="6159"/>
    <cellStyle name="40% - 强调文字颜色 4 10 21" xfId="6160"/>
    <cellStyle name="40% - 强调文字颜色 4 10 22" xfId="6161"/>
    <cellStyle name="40% - 强调文字颜色 4 10 23" xfId="6162"/>
    <cellStyle name="40% - 强调文字颜色 4 10 24" xfId="6163"/>
    <cellStyle name="40% - 强调文字颜色 4 10 25" xfId="6164"/>
    <cellStyle name="40% - 强调文字颜色 4 10 26" xfId="6165"/>
    <cellStyle name="40% - 强调文字颜色 4 10 27" xfId="6166"/>
    <cellStyle name="40% - 强调文字颜色 4 10 28" xfId="6167"/>
    <cellStyle name="40% - 强调文字颜色 4 10 3" xfId="6168"/>
    <cellStyle name="40% - 强调文字颜色 4 10 4" xfId="6169"/>
    <cellStyle name="40% - 强调文字颜色 4 10 5" xfId="6170"/>
    <cellStyle name="40% - 强调文字颜色 4 10 6" xfId="6171"/>
    <cellStyle name="40% - 强调文字颜色 4 10 7" xfId="6172"/>
    <cellStyle name="40% - 强调文字颜色 4 10 8" xfId="6173"/>
    <cellStyle name="40% - 强调文字颜色 4 10 9" xfId="6174"/>
    <cellStyle name="40% - 强调文字颜色 4 11" xfId="6175"/>
    <cellStyle name="40% - 强调文字颜色 4 11 10" xfId="6176"/>
    <cellStyle name="40% - 强调文字颜色 4 11 11" xfId="6177"/>
    <cellStyle name="40% - 强调文字颜色 4 11 12" xfId="6178"/>
    <cellStyle name="40% - 强调文字颜色 4 11 13" xfId="6179"/>
    <cellStyle name="40% - 强调文字颜色 4 11 14" xfId="6180"/>
    <cellStyle name="40% - 强调文字颜色 4 11 15" xfId="6181"/>
    <cellStyle name="40% - 强调文字颜色 4 11 16" xfId="6182"/>
    <cellStyle name="40% - 强调文字颜色 4 11 17" xfId="6183"/>
    <cellStyle name="40% - 强调文字颜色 4 11 18" xfId="6184"/>
    <cellStyle name="40% - 强调文字颜色 4 11 19" xfId="6185"/>
    <cellStyle name="40% - 强调文字颜色 4 11 2" xfId="6186"/>
    <cellStyle name="40% - 强调文字颜色 4 11 2 10" xfId="6187"/>
    <cellStyle name="40% - 强调文字颜色 4 11 2 11" xfId="6188"/>
    <cellStyle name="40% - 强调文字颜色 4 11 2 12" xfId="6189"/>
    <cellStyle name="40% - 强调文字颜色 4 11 2 13" xfId="6190"/>
    <cellStyle name="40% - 强调文字颜色 4 11 2 14" xfId="6191"/>
    <cellStyle name="40% - 强调文字颜色 4 11 2 15" xfId="6192"/>
    <cellStyle name="40% - 强调文字颜色 4 11 2 16" xfId="6193"/>
    <cellStyle name="40% - 强调文字颜色 4 11 2 17" xfId="6194"/>
    <cellStyle name="40% - 强调文字颜色 4 11 2 18" xfId="6195"/>
    <cellStyle name="40% - 强调文字颜色 4 11 2 19" xfId="6196"/>
    <cellStyle name="40% - 强调文字颜色 4 11 2 2" xfId="6197"/>
    <cellStyle name="40% - 强调文字颜色 4 11 2 20" xfId="6198"/>
    <cellStyle name="40% - 强调文字颜色 4 11 2 21" xfId="6199"/>
    <cellStyle name="40% - 强调文字颜色 4 11 2 22" xfId="6200"/>
    <cellStyle name="40% - 强调文字颜色 4 11 2 23" xfId="6201"/>
    <cellStyle name="40% - 强调文字颜色 4 11 2 24" xfId="6202"/>
    <cellStyle name="40% - 强调文字颜色 4 11 2 25" xfId="6203"/>
    <cellStyle name="40% - 强调文字颜色 4 11 2 26" xfId="6204"/>
    <cellStyle name="40% - 强调文字颜色 4 11 2 27" xfId="6205"/>
    <cellStyle name="40% - 强调文字颜色 4 11 2 3" xfId="6206"/>
    <cellStyle name="40% - 强调文字颜色 4 11 2 4" xfId="6207"/>
    <cellStyle name="40% - 强调文字颜色 4 11 2 5" xfId="6208"/>
    <cellStyle name="40% - 强调文字颜色 4 11 2 6" xfId="6209"/>
    <cellStyle name="40% - 强调文字颜色 4 11 2 7" xfId="6210"/>
    <cellStyle name="40% - 强调文字颜色 4 11 2 8" xfId="6211"/>
    <cellStyle name="40% - 强调文字颜色 4 11 2 9" xfId="6212"/>
    <cellStyle name="40% - 强调文字颜色 4 11 20" xfId="6213"/>
    <cellStyle name="40% - 强调文字颜色 4 11 21" xfId="6214"/>
    <cellStyle name="40% - 强调文字颜色 4 11 22" xfId="6215"/>
    <cellStyle name="40% - 强调文字颜色 4 11 23" xfId="6216"/>
    <cellStyle name="40% - 强调文字颜色 4 11 24" xfId="6217"/>
    <cellStyle name="40% - 强调文字颜色 4 11 25" xfId="6218"/>
    <cellStyle name="40% - 强调文字颜色 4 11 26" xfId="6219"/>
    <cellStyle name="40% - 强调文字颜色 4 11 27" xfId="6220"/>
    <cellStyle name="40% - 强调文字颜色 4 11 28" xfId="6221"/>
    <cellStyle name="40% - 强调文字颜色 4 11 3" xfId="6222"/>
    <cellStyle name="40% - 强调文字颜色 4 11 4" xfId="6223"/>
    <cellStyle name="40% - 强调文字颜色 4 11 5" xfId="6224"/>
    <cellStyle name="40% - 强调文字颜色 4 11 6" xfId="6225"/>
    <cellStyle name="40% - 强调文字颜色 4 11 7" xfId="6226"/>
    <cellStyle name="40% - 强调文字颜色 4 11 8" xfId="6227"/>
    <cellStyle name="40% - 强调文字颜色 4 11 9" xfId="6228"/>
    <cellStyle name="40% - 强调文字颜色 4 12" xfId="6229"/>
    <cellStyle name="40% - 强调文字颜色 4 13" xfId="6230"/>
    <cellStyle name="40% - 强调文字颜色 4 14" xfId="6231"/>
    <cellStyle name="40% - 强调文字颜色 4 15" xfId="6232"/>
    <cellStyle name="40% - 强调文字颜色 4 16" xfId="6233"/>
    <cellStyle name="40% - 强调文字颜色 4 17" xfId="6234"/>
    <cellStyle name="40% - 强调文字颜色 4 18" xfId="6235"/>
    <cellStyle name="40% - 强调文字颜色 4 19" xfId="6236"/>
    <cellStyle name="40% - 强调文字颜色 4 2" xfId="6237"/>
    <cellStyle name="40% - 强调文字颜色 4 2 10" xfId="6238"/>
    <cellStyle name="40% - 强调文字颜色 4 2 11" xfId="6239"/>
    <cellStyle name="40% - 强调文字颜色 4 2 12" xfId="6240"/>
    <cellStyle name="40% - 强调文字颜色 4 2 13" xfId="6241"/>
    <cellStyle name="40% - 强调文字颜色 4 2 14" xfId="6242"/>
    <cellStyle name="40% - 强调文字颜色 4 2 15" xfId="6243"/>
    <cellStyle name="40% - 强调文字颜色 4 2 16" xfId="6244"/>
    <cellStyle name="40% - 强调文字颜色 4 2 17" xfId="6245"/>
    <cellStyle name="40% - 强调文字颜色 4 2 18" xfId="6246"/>
    <cellStyle name="40% - 强调文字颜色 4 2 19" xfId="6247"/>
    <cellStyle name="40% - 强调文字颜色 4 2 2" xfId="6248"/>
    <cellStyle name="40% - 强调文字颜色 4 2 2 10" xfId="6249"/>
    <cellStyle name="40% - 强调文字颜色 4 2 2 11" xfId="6250"/>
    <cellStyle name="40% - 强调文字颜色 4 2 2 12" xfId="6251"/>
    <cellStyle name="40% - 强调文字颜色 4 2 2 13" xfId="6252"/>
    <cellStyle name="40% - 强调文字颜色 4 2 2 14" xfId="6253"/>
    <cellStyle name="40% - 强调文字颜色 4 2 2 15" xfId="6254"/>
    <cellStyle name="40% - 强调文字颜色 4 2 2 16" xfId="6255"/>
    <cellStyle name="40% - 强调文字颜色 4 2 2 17" xfId="6256"/>
    <cellStyle name="40% - 强调文字颜色 4 2 2 18" xfId="6257"/>
    <cellStyle name="40% - 强调文字颜色 4 2 2 19" xfId="6258"/>
    <cellStyle name="40% - 强调文字颜色 4 2 2 2" xfId="6259"/>
    <cellStyle name="40% - 强调文字颜色 4 2 2 2 10" xfId="6260"/>
    <cellStyle name="40% - 强调文字颜色 4 2 2 2 11" xfId="6261"/>
    <cellStyle name="40% - 强调文字颜色 4 2 2 2 12" xfId="6262"/>
    <cellStyle name="40% - 强调文字颜色 4 2 2 2 13" xfId="6263"/>
    <cellStyle name="40% - 强调文字颜色 4 2 2 2 14" xfId="6264"/>
    <cellStyle name="40% - 强调文字颜色 4 2 2 2 15" xfId="6265"/>
    <cellStyle name="40% - 强调文字颜色 4 2 2 2 16" xfId="6266"/>
    <cellStyle name="40% - 强调文字颜色 4 2 2 2 17" xfId="6267"/>
    <cellStyle name="40% - 强调文字颜色 4 2 2 2 18" xfId="6268"/>
    <cellStyle name="40% - 强调文字颜色 4 2 2 2 19" xfId="6269"/>
    <cellStyle name="40% - 强调文字颜色 4 2 2 2 2" xfId="6270"/>
    <cellStyle name="40% - 强调文字颜色 4 2 2 2 20" xfId="6271"/>
    <cellStyle name="40% - 强调文字颜色 4 2 2 2 21" xfId="6272"/>
    <cellStyle name="40% - 强调文字颜色 4 2 2 2 22" xfId="6273"/>
    <cellStyle name="40% - 强调文字颜色 4 2 2 2 23" xfId="6274"/>
    <cellStyle name="40% - 强调文字颜色 4 2 2 2 24" xfId="6275"/>
    <cellStyle name="40% - 强调文字颜色 4 2 2 2 25" xfId="6276"/>
    <cellStyle name="40% - 强调文字颜色 4 2 2 2 26" xfId="6277"/>
    <cellStyle name="40% - 强调文字颜色 4 2 2 2 27" xfId="6278"/>
    <cellStyle name="40% - 强调文字颜色 4 2 2 2 3" xfId="6279"/>
    <cellStyle name="40% - 强调文字颜色 4 2 2 2 4" xfId="6280"/>
    <cellStyle name="40% - 强调文字颜色 4 2 2 2 5" xfId="6281"/>
    <cellStyle name="40% - 强调文字颜色 4 2 2 2 6" xfId="6282"/>
    <cellStyle name="40% - 强调文字颜色 4 2 2 2 7" xfId="6283"/>
    <cellStyle name="40% - 强调文字颜色 4 2 2 2 8" xfId="6284"/>
    <cellStyle name="40% - 强调文字颜色 4 2 2 2 9" xfId="6285"/>
    <cellStyle name="40% - 强调文字颜色 4 2 2 20" xfId="6286"/>
    <cellStyle name="40% - 强调文字颜色 4 2 2 21" xfId="6287"/>
    <cellStyle name="40% - 强调文字颜色 4 2 2 22" xfId="6288"/>
    <cellStyle name="40% - 强调文字颜色 4 2 2 23" xfId="6289"/>
    <cellStyle name="40% - 强调文字颜色 4 2 2 24" xfId="6290"/>
    <cellStyle name="40% - 强调文字颜色 4 2 2 25" xfId="6291"/>
    <cellStyle name="40% - 强调文字颜色 4 2 2 26" xfId="6292"/>
    <cellStyle name="40% - 强调文字颜色 4 2 2 27" xfId="6293"/>
    <cellStyle name="40% - 强调文字颜色 4 2 2 28" xfId="6294"/>
    <cellStyle name="40% - 强调文字颜色 4 2 2 3" xfId="6295"/>
    <cellStyle name="40% - 强调文字颜色 4 2 2 4" xfId="6296"/>
    <cellStyle name="40% - 强调文字颜色 4 2 2 5" xfId="6297"/>
    <cellStyle name="40% - 强调文字颜色 4 2 2 6" xfId="6298"/>
    <cellStyle name="40% - 强调文字颜色 4 2 2 7" xfId="6299"/>
    <cellStyle name="40% - 强调文字颜色 4 2 2 8" xfId="6300"/>
    <cellStyle name="40% - 强调文字颜色 4 2 2 9" xfId="6301"/>
    <cellStyle name="40% - 强调文字颜色 4 2 20" xfId="6302"/>
    <cellStyle name="40% - 强调文字颜色 4 2 21" xfId="6303"/>
    <cellStyle name="40% - 强调文字颜色 4 2 22" xfId="6304"/>
    <cellStyle name="40% - 强调文字颜色 4 2 23" xfId="6305"/>
    <cellStyle name="40% - 强调文字颜色 4 2 24" xfId="6306"/>
    <cellStyle name="40% - 强调文字颜色 4 2 25" xfId="6307"/>
    <cellStyle name="40% - 强调文字颜色 4 2 26" xfId="6308"/>
    <cellStyle name="40% - 强调文字颜色 4 2 27" xfId="6309"/>
    <cellStyle name="40% - 强调文字颜色 4 2 28" xfId="6310"/>
    <cellStyle name="40% - 强调文字颜色 4 2 29" xfId="6311"/>
    <cellStyle name="40% - 强调文字颜色 4 2 3" xfId="6312"/>
    <cellStyle name="40% - 强调文字颜色 4 2 3 10" xfId="6313"/>
    <cellStyle name="40% - 强调文字颜色 4 2 3 11" xfId="6314"/>
    <cellStyle name="40% - 强调文字颜色 4 2 3 12" xfId="6315"/>
    <cellStyle name="40% - 强调文字颜色 4 2 3 13" xfId="6316"/>
    <cellStyle name="40% - 强调文字颜色 4 2 3 14" xfId="6317"/>
    <cellStyle name="40% - 强调文字颜色 4 2 3 15" xfId="6318"/>
    <cellStyle name="40% - 强调文字颜色 4 2 3 16" xfId="6319"/>
    <cellStyle name="40% - 强调文字颜色 4 2 3 17" xfId="6320"/>
    <cellStyle name="40% - 强调文字颜色 4 2 3 18" xfId="6321"/>
    <cellStyle name="40% - 强调文字颜色 4 2 3 19" xfId="6322"/>
    <cellStyle name="40% - 强调文字颜色 4 2 3 2" xfId="6323"/>
    <cellStyle name="40% - 强调文字颜色 4 2 3 2 10" xfId="6324"/>
    <cellStyle name="40% - 强调文字颜色 4 2 3 2 11" xfId="6325"/>
    <cellStyle name="40% - 强调文字颜色 4 2 3 2 12" xfId="6326"/>
    <cellStyle name="40% - 强调文字颜色 4 2 3 2 13" xfId="6327"/>
    <cellStyle name="40% - 强调文字颜色 4 2 3 2 14" xfId="6328"/>
    <cellStyle name="40% - 强调文字颜色 4 2 3 2 15" xfId="6329"/>
    <cellStyle name="40% - 强调文字颜色 4 2 3 2 16" xfId="6330"/>
    <cellStyle name="40% - 强调文字颜色 4 2 3 2 17" xfId="6331"/>
    <cellStyle name="40% - 强调文字颜色 4 2 3 2 18" xfId="6332"/>
    <cellStyle name="40% - 强调文字颜色 4 2 3 2 19" xfId="6333"/>
    <cellStyle name="40% - 强调文字颜色 4 2 3 2 2" xfId="6334"/>
    <cellStyle name="40% - 强调文字颜色 4 2 3 2 20" xfId="6335"/>
    <cellStyle name="40% - 强调文字颜色 4 2 3 2 21" xfId="6336"/>
    <cellStyle name="40% - 强调文字颜色 4 2 3 2 22" xfId="6337"/>
    <cellStyle name="40% - 强调文字颜色 4 2 3 2 23" xfId="6338"/>
    <cellStyle name="40% - 强调文字颜色 4 2 3 2 24" xfId="6339"/>
    <cellStyle name="40% - 强调文字颜色 4 2 3 2 25" xfId="6340"/>
    <cellStyle name="40% - 强调文字颜色 4 2 3 2 26" xfId="6341"/>
    <cellStyle name="40% - 强调文字颜色 4 2 3 2 27" xfId="6342"/>
    <cellStyle name="40% - 强调文字颜色 4 2 3 2 3" xfId="6343"/>
    <cellStyle name="40% - 强调文字颜色 4 2 3 2 4" xfId="6344"/>
    <cellStyle name="40% - 强调文字颜色 4 2 3 2 5" xfId="6345"/>
    <cellStyle name="40% - 强调文字颜色 4 2 3 2 6" xfId="6346"/>
    <cellStyle name="40% - 强调文字颜色 4 2 3 2 7" xfId="6347"/>
    <cellStyle name="40% - 强调文字颜色 4 2 3 2 8" xfId="6348"/>
    <cellStyle name="40% - 强调文字颜色 4 2 3 2 9" xfId="6349"/>
    <cellStyle name="40% - 强调文字颜色 4 2 3 20" xfId="6350"/>
    <cellStyle name="40% - 强调文字颜色 4 2 3 21" xfId="6351"/>
    <cellStyle name="40% - 强调文字颜色 4 2 3 22" xfId="6352"/>
    <cellStyle name="40% - 强调文字颜色 4 2 3 23" xfId="6353"/>
    <cellStyle name="40% - 强调文字颜色 4 2 3 24" xfId="6354"/>
    <cellStyle name="40% - 强调文字颜色 4 2 3 25" xfId="6355"/>
    <cellStyle name="40% - 强调文字颜色 4 2 3 26" xfId="6356"/>
    <cellStyle name="40% - 强调文字颜色 4 2 3 27" xfId="6357"/>
    <cellStyle name="40% - 强调文字颜色 4 2 3 28" xfId="6358"/>
    <cellStyle name="40% - 强调文字颜色 4 2 3 3" xfId="6359"/>
    <cellStyle name="40% - 强调文字颜色 4 2 3 4" xfId="6360"/>
    <cellStyle name="40% - 强调文字颜色 4 2 3 5" xfId="6361"/>
    <cellStyle name="40% - 强调文字颜色 4 2 3 6" xfId="6362"/>
    <cellStyle name="40% - 强调文字颜色 4 2 3 7" xfId="6363"/>
    <cellStyle name="40% - 强调文字颜色 4 2 3 8" xfId="6364"/>
    <cellStyle name="40% - 强调文字颜色 4 2 3 9" xfId="6365"/>
    <cellStyle name="40% - 强调文字颜色 4 2 30" xfId="6366"/>
    <cellStyle name="40% - 强调文字颜色 4 2 31" xfId="6367"/>
    <cellStyle name="40% - 强调文字颜色 4 2 32" xfId="6368"/>
    <cellStyle name="40% - 强调文字颜色 4 2 33" xfId="6369"/>
    <cellStyle name="40% - 强调文字颜色 4 2 4" xfId="6370"/>
    <cellStyle name="40% - 强调文字颜色 4 2 4 10" xfId="6371"/>
    <cellStyle name="40% - 强调文字颜色 4 2 4 11" xfId="6372"/>
    <cellStyle name="40% - 强调文字颜色 4 2 4 12" xfId="6373"/>
    <cellStyle name="40% - 强调文字颜色 4 2 4 13" xfId="6374"/>
    <cellStyle name="40% - 强调文字颜色 4 2 4 14" xfId="6375"/>
    <cellStyle name="40% - 强调文字颜色 4 2 4 15" xfId="6376"/>
    <cellStyle name="40% - 强调文字颜色 4 2 4 16" xfId="6377"/>
    <cellStyle name="40% - 强调文字颜色 4 2 4 17" xfId="6378"/>
    <cellStyle name="40% - 强调文字颜色 4 2 4 18" xfId="6379"/>
    <cellStyle name="40% - 强调文字颜色 4 2 4 19" xfId="6380"/>
    <cellStyle name="40% - 强调文字颜色 4 2 4 2" xfId="6381"/>
    <cellStyle name="40% - 强调文字颜色 4 2 4 20" xfId="6382"/>
    <cellStyle name="40% - 强调文字颜色 4 2 4 21" xfId="6383"/>
    <cellStyle name="40% - 强调文字颜色 4 2 4 22" xfId="6384"/>
    <cellStyle name="40% - 强调文字颜色 4 2 4 23" xfId="6385"/>
    <cellStyle name="40% - 强调文字颜色 4 2 4 24" xfId="6386"/>
    <cellStyle name="40% - 强调文字颜色 4 2 4 25" xfId="6387"/>
    <cellStyle name="40% - 强调文字颜色 4 2 4 26" xfId="6388"/>
    <cellStyle name="40% - 强调文字颜色 4 2 4 27" xfId="6389"/>
    <cellStyle name="40% - 强调文字颜色 4 2 4 3" xfId="6390"/>
    <cellStyle name="40% - 强调文字颜色 4 2 4 4" xfId="6391"/>
    <cellStyle name="40% - 强调文字颜色 4 2 4 5" xfId="6392"/>
    <cellStyle name="40% - 强调文字颜色 4 2 4 6" xfId="6393"/>
    <cellStyle name="40% - 强调文字颜色 4 2 4 7" xfId="6394"/>
    <cellStyle name="40% - 强调文字颜色 4 2 4 8" xfId="6395"/>
    <cellStyle name="40% - 强调文字颜色 4 2 4 9" xfId="6396"/>
    <cellStyle name="40% - 强调文字颜色 4 2 5" xfId="6397"/>
    <cellStyle name="40% - 强调文字颜色 4 2 6" xfId="6398"/>
    <cellStyle name="40% - 强调文字颜色 4 2 7" xfId="6399"/>
    <cellStyle name="40% - 强调文字颜色 4 2 8" xfId="6400"/>
    <cellStyle name="40% - 强调文字颜色 4 2 9" xfId="6401"/>
    <cellStyle name="40% - 强调文字颜色 4 20" xfId="6402"/>
    <cellStyle name="40% - 强调文字颜色 4 21" xfId="6403"/>
    <cellStyle name="40% - 强调文字颜色 4 22" xfId="6404"/>
    <cellStyle name="40% - 强调文字颜色 4 23" xfId="6405"/>
    <cellStyle name="40% - 强调文字颜色 4 24" xfId="6406"/>
    <cellStyle name="40% - 强调文字颜色 4 25" xfId="6407"/>
    <cellStyle name="40% - 强调文字颜色 4 26" xfId="6408"/>
    <cellStyle name="40% - 强调文字颜色 4 27" xfId="6409"/>
    <cellStyle name="40% - 强调文字颜色 4 28" xfId="6410"/>
    <cellStyle name="40% - 强调文字颜色 4 29" xfId="6411"/>
    <cellStyle name="40% - 强调文字颜色 4 3" xfId="6412"/>
    <cellStyle name="40% - 强调文字颜色 4 3 10" xfId="6413"/>
    <cellStyle name="40% - 强调文字颜色 4 3 11" xfId="6414"/>
    <cellStyle name="40% - 强调文字颜色 4 3 12" xfId="6415"/>
    <cellStyle name="40% - 强调文字颜色 4 3 13" xfId="6416"/>
    <cellStyle name="40% - 强调文字颜色 4 3 14" xfId="6417"/>
    <cellStyle name="40% - 强调文字颜色 4 3 15" xfId="6418"/>
    <cellStyle name="40% - 强调文字颜色 4 3 16" xfId="6419"/>
    <cellStyle name="40% - 强调文字颜色 4 3 17" xfId="6420"/>
    <cellStyle name="40% - 强调文字颜色 4 3 18" xfId="6421"/>
    <cellStyle name="40% - 强调文字颜色 4 3 19" xfId="6422"/>
    <cellStyle name="40% - 强调文字颜色 4 3 2" xfId="6423"/>
    <cellStyle name="40% - 强调文字颜色 4 3 2 10" xfId="6424"/>
    <cellStyle name="40% - 强调文字颜色 4 3 2 11" xfId="6425"/>
    <cellStyle name="40% - 强调文字颜色 4 3 2 12" xfId="6426"/>
    <cellStyle name="40% - 强调文字颜色 4 3 2 13" xfId="6427"/>
    <cellStyle name="40% - 强调文字颜色 4 3 2 14" xfId="6428"/>
    <cellStyle name="40% - 强调文字颜色 4 3 2 15" xfId="6429"/>
    <cellStyle name="40% - 强调文字颜色 4 3 2 16" xfId="6430"/>
    <cellStyle name="40% - 强调文字颜色 4 3 2 17" xfId="6431"/>
    <cellStyle name="40% - 强调文字颜色 4 3 2 18" xfId="6432"/>
    <cellStyle name="40% - 强调文字颜色 4 3 2 19" xfId="6433"/>
    <cellStyle name="40% - 强调文字颜色 4 3 2 2" xfId="6434"/>
    <cellStyle name="40% - 强调文字颜色 4 3 2 20" xfId="6435"/>
    <cellStyle name="40% - 强调文字颜色 4 3 2 21" xfId="6436"/>
    <cellStyle name="40% - 强调文字颜色 4 3 2 22" xfId="6437"/>
    <cellStyle name="40% - 强调文字颜色 4 3 2 23" xfId="6438"/>
    <cellStyle name="40% - 强调文字颜色 4 3 2 24" xfId="6439"/>
    <cellStyle name="40% - 强调文字颜色 4 3 2 25" xfId="6440"/>
    <cellStyle name="40% - 强调文字颜色 4 3 2 26" xfId="6441"/>
    <cellStyle name="40% - 强调文字颜色 4 3 2 27" xfId="6442"/>
    <cellStyle name="40% - 强调文字颜色 4 3 2 3" xfId="6443"/>
    <cellStyle name="40% - 强调文字颜色 4 3 2 4" xfId="6444"/>
    <cellStyle name="40% - 强调文字颜色 4 3 2 5" xfId="6445"/>
    <cellStyle name="40% - 强调文字颜色 4 3 2 6" xfId="6446"/>
    <cellStyle name="40% - 强调文字颜色 4 3 2 7" xfId="6447"/>
    <cellStyle name="40% - 强调文字颜色 4 3 2 8" xfId="6448"/>
    <cellStyle name="40% - 强调文字颜色 4 3 2 9" xfId="6449"/>
    <cellStyle name="40% - 强调文字颜色 4 3 20" xfId="6450"/>
    <cellStyle name="40% - 强调文字颜色 4 3 21" xfId="6451"/>
    <cellStyle name="40% - 强调文字颜色 4 3 22" xfId="6452"/>
    <cellStyle name="40% - 强调文字颜色 4 3 23" xfId="6453"/>
    <cellStyle name="40% - 强调文字颜色 4 3 24" xfId="6454"/>
    <cellStyle name="40% - 强调文字颜色 4 3 25" xfId="6455"/>
    <cellStyle name="40% - 强调文字颜色 4 3 26" xfId="6456"/>
    <cellStyle name="40% - 强调文字颜色 4 3 27" xfId="6457"/>
    <cellStyle name="40% - 强调文字颜色 4 3 28" xfId="6458"/>
    <cellStyle name="40% - 强调文字颜色 4 3 3" xfId="6459"/>
    <cellStyle name="40% - 强调文字颜色 4 3 4" xfId="6460"/>
    <cellStyle name="40% - 强调文字颜色 4 3 5" xfId="6461"/>
    <cellStyle name="40% - 强调文字颜色 4 3 6" xfId="6462"/>
    <cellStyle name="40% - 强调文字颜色 4 3 7" xfId="6463"/>
    <cellStyle name="40% - 强调文字颜色 4 3 8" xfId="6464"/>
    <cellStyle name="40% - 强调文字颜色 4 3 9" xfId="6465"/>
    <cellStyle name="40% - 强调文字颜色 4 30" xfId="6466"/>
    <cellStyle name="40% - 强调文字颜色 4 31" xfId="6467"/>
    <cellStyle name="40% - 强调文字颜色 4 32" xfId="6468"/>
    <cellStyle name="40% - 强调文字颜色 4 33" xfId="6469"/>
    <cellStyle name="40% - 强调文字颜色 4 34" xfId="6470"/>
    <cellStyle name="40% - 强调文字颜色 4 35" xfId="6471"/>
    <cellStyle name="40% - 强调文字颜色 4 36" xfId="6472"/>
    <cellStyle name="40% - 强调文字颜色 4 37" xfId="6473"/>
    <cellStyle name="40% - 强调文字颜色 4 38" xfId="6474"/>
    <cellStyle name="40% - 强调文字颜色 4 39" xfId="6475"/>
    <cellStyle name="40% - 强调文字颜色 4 4" xfId="6476"/>
    <cellStyle name="40% - 强调文字颜色 4 4 10" xfId="6477"/>
    <cellStyle name="40% - 强调文字颜色 4 4 11" xfId="6478"/>
    <cellStyle name="40% - 强调文字颜色 4 4 12" xfId="6479"/>
    <cellStyle name="40% - 强调文字颜色 4 4 13" xfId="6480"/>
    <cellStyle name="40% - 强调文字颜色 4 4 14" xfId="6481"/>
    <cellStyle name="40% - 强调文字颜色 4 4 15" xfId="6482"/>
    <cellStyle name="40% - 强调文字颜色 4 4 16" xfId="6483"/>
    <cellStyle name="40% - 强调文字颜色 4 4 17" xfId="6484"/>
    <cellStyle name="40% - 强调文字颜色 4 4 18" xfId="6485"/>
    <cellStyle name="40% - 强调文字颜色 4 4 19" xfId="6486"/>
    <cellStyle name="40% - 强调文字颜色 4 4 2" xfId="6487"/>
    <cellStyle name="40% - 强调文字颜色 4 4 2 10" xfId="6488"/>
    <cellStyle name="40% - 强调文字颜色 4 4 2 11" xfId="6489"/>
    <cellStyle name="40% - 强调文字颜色 4 4 2 12" xfId="6490"/>
    <cellStyle name="40% - 强调文字颜色 4 4 2 13" xfId="6491"/>
    <cellStyle name="40% - 强调文字颜色 4 4 2 14" xfId="6492"/>
    <cellStyle name="40% - 强调文字颜色 4 4 2 15" xfId="6493"/>
    <cellStyle name="40% - 强调文字颜色 4 4 2 16" xfId="6494"/>
    <cellStyle name="40% - 强调文字颜色 4 4 2 17" xfId="6495"/>
    <cellStyle name="40% - 强调文字颜色 4 4 2 18" xfId="6496"/>
    <cellStyle name="40% - 强调文字颜色 4 4 2 19" xfId="6497"/>
    <cellStyle name="40% - 强调文字颜色 4 4 2 2" xfId="6498"/>
    <cellStyle name="40% - 强调文字颜色 4 4 2 20" xfId="6499"/>
    <cellStyle name="40% - 强调文字颜色 4 4 2 21" xfId="6500"/>
    <cellStyle name="40% - 强调文字颜色 4 4 2 22" xfId="6501"/>
    <cellStyle name="40% - 强调文字颜色 4 4 2 23" xfId="6502"/>
    <cellStyle name="40% - 强调文字颜色 4 4 2 24" xfId="6503"/>
    <cellStyle name="40% - 强调文字颜色 4 4 2 25" xfId="6504"/>
    <cellStyle name="40% - 强调文字颜色 4 4 2 26" xfId="6505"/>
    <cellStyle name="40% - 强调文字颜色 4 4 2 27" xfId="6506"/>
    <cellStyle name="40% - 强调文字颜色 4 4 2 3" xfId="6507"/>
    <cellStyle name="40% - 强调文字颜色 4 4 2 4" xfId="6508"/>
    <cellStyle name="40% - 强调文字颜色 4 4 2 5" xfId="6509"/>
    <cellStyle name="40% - 强调文字颜色 4 4 2 6" xfId="6510"/>
    <cellStyle name="40% - 强调文字颜色 4 4 2 7" xfId="6511"/>
    <cellStyle name="40% - 强调文字颜色 4 4 2 8" xfId="6512"/>
    <cellStyle name="40% - 强调文字颜色 4 4 2 9" xfId="6513"/>
    <cellStyle name="40% - 强调文字颜色 4 4 20" xfId="6514"/>
    <cellStyle name="40% - 强调文字颜色 4 4 21" xfId="6515"/>
    <cellStyle name="40% - 强调文字颜色 4 4 22" xfId="6516"/>
    <cellStyle name="40% - 强调文字颜色 4 4 23" xfId="6517"/>
    <cellStyle name="40% - 强调文字颜色 4 4 24" xfId="6518"/>
    <cellStyle name="40% - 强调文字颜色 4 4 25" xfId="6519"/>
    <cellStyle name="40% - 强调文字颜色 4 4 26" xfId="6520"/>
    <cellStyle name="40% - 强调文字颜色 4 4 27" xfId="6521"/>
    <cellStyle name="40% - 强调文字颜色 4 4 28" xfId="6522"/>
    <cellStyle name="40% - 强调文字颜色 4 4 3" xfId="6523"/>
    <cellStyle name="40% - 强调文字颜色 4 4 4" xfId="6524"/>
    <cellStyle name="40% - 强调文字颜色 4 4 5" xfId="6525"/>
    <cellStyle name="40% - 强调文字颜色 4 4 6" xfId="6526"/>
    <cellStyle name="40% - 强调文字颜色 4 4 7" xfId="6527"/>
    <cellStyle name="40% - 强调文字颜色 4 4 8" xfId="6528"/>
    <cellStyle name="40% - 强调文字颜色 4 4 9" xfId="6529"/>
    <cellStyle name="40% - 强调文字颜色 4 40" xfId="6530"/>
    <cellStyle name="40% - 强调文字颜色 4 5" xfId="6531"/>
    <cellStyle name="40% - 强调文字颜色 4 5 10" xfId="6532"/>
    <cellStyle name="40% - 强调文字颜色 4 5 11" xfId="6533"/>
    <cellStyle name="40% - 强调文字颜色 4 5 12" xfId="6534"/>
    <cellStyle name="40% - 强调文字颜色 4 5 13" xfId="6535"/>
    <cellStyle name="40% - 强调文字颜色 4 5 14" xfId="6536"/>
    <cellStyle name="40% - 强调文字颜色 4 5 15" xfId="6537"/>
    <cellStyle name="40% - 强调文字颜色 4 5 16" xfId="6538"/>
    <cellStyle name="40% - 强调文字颜色 4 5 17" xfId="6539"/>
    <cellStyle name="40% - 强调文字颜色 4 5 18" xfId="6540"/>
    <cellStyle name="40% - 强调文字颜色 4 5 19" xfId="6541"/>
    <cellStyle name="40% - 强调文字颜色 4 5 2" xfId="6542"/>
    <cellStyle name="40% - 强调文字颜色 4 5 2 10" xfId="6543"/>
    <cellStyle name="40% - 强调文字颜色 4 5 2 11" xfId="6544"/>
    <cellStyle name="40% - 强调文字颜色 4 5 2 12" xfId="6545"/>
    <cellStyle name="40% - 强调文字颜色 4 5 2 13" xfId="6546"/>
    <cellStyle name="40% - 强调文字颜色 4 5 2 14" xfId="6547"/>
    <cellStyle name="40% - 强调文字颜色 4 5 2 15" xfId="6548"/>
    <cellStyle name="40% - 强调文字颜色 4 5 2 16" xfId="6549"/>
    <cellStyle name="40% - 强调文字颜色 4 5 2 17" xfId="6550"/>
    <cellStyle name="40% - 强调文字颜色 4 5 2 18" xfId="6551"/>
    <cellStyle name="40% - 强调文字颜色 4 5 2 19" xfId="6552"/>
    <cellStyle name="40% - 强调文字颜色 4 5 2 2" xfId="6553"/>
    <cellStyle name="40% - 强调文字颜色 4 5 2 20" xfId="6554"/>
    <cellStyle name="40% - 强调文字颜色 4 5 2 21" xfId="6555"/>
    <cellStyle name="40% - 强调文字颜色 4 5 2 22" xfId="6556"/>
    <cellStyle name="40% - 强调文字颜色 4 5 2 23" xfId="6557"/>
    <cellStyle name="40% - 强调文字颜色 4 5 2 24" xfId="6558"/>
    <cellStyle name="40% - 强调文字颜色 4 5 2 25" xfId="6559"/>
    <cellStyle name="40% - 强调文字颜色 4 5 2 26" xfId="6560"/>
    <cellStyle name="40% - 强调文字颜色 4 5 2 27" xfId="6561"/>
    <cellStyle name="40% - 强调文字颜色 4 5 2 3" xfId="6562"/>
    <cellStyle name="40% - 强调文字颜色 4 5 2 4" xfId="6563"/>
    <cellStyle name="40% - 强调文字颜色 4 5 2 5" xfId="6564"/>
    <cellStyle name="40% - 强调文字颜色 4 5 2 6" xfId="6565"/>
    <cellStyle name="40% - 强调文字颜色 4 5 2 7" xfId="6566"/>
    <cellStyle name="40% - 强调文字颜色 4 5 2 8" xfId="6567"/>
    <cellStyle name="40% - 强调文字颜色 4 5 2 9" xfId="6568"/>
    <cellStyle name="40% - 强调文字颜色 4 5 20" xfId="6569"/>
    <cellStyle name="40% - 强调文字颜色 4 5 21" xfId="6570"/>
    <cellStyle name="40% - 强调文字颜色 4 5 22" xfId="6571"/>
    <cellStyle name="40% - 强调文字颜色 4 5 23" xfId="6572"/>
    <cellStyle name="40% - 强调文字颜色 4 5 24" xfId="6573"/>
    <cellStyle name="40% - 强调文字颜色 4 5 25" xfId="6574"/>
    <cellStyle name="40% - 强调文字颜色 4 5 26" xfId="6575"/>
    <cellStyle name="40% - 强调文字颜色 4 5 27" xfId="6576"/>
    <cellStyle name="40% - 强调文字颜色 4 5 28" xfId="6577"/>
    <cellStyle name="40% - 强调文字颜色 4 5 3" xfId="6578"/>
    <cellStyle name="40% - 强调文字颜色 4 5 4" xfId="6579"/>
    <cellStyle name="40% - 强调文字颜色 4 5 5" xfId="6580"/>
    <cellStyle name="40% - 强调文字颜色 4 5 6" xfId="6581"/>
    <cellStyle name="40% - 强调文字颜色 4 5 7" xfId="6582"/>
    <cellStyle name="40% - 强调文字颜色 4 5 8" xfId="6583"/>
    <cellStyle name="40% - 强调文字颜色 4 5 9" xfId="6584"/>
    <cellStyle name="40% - 强调文字颜色 4 6" xfId="6585"/>
    <cellStyle name="40% - 强调文字颜色 4 6 10" xfId="6586"/>
    <cellStyle name="40% - 强调文字颜色 4 6 11" xfId="6587"/>
    <cellStyle name="40% - 强调文字颜色 4 6 12" xfId="6588"/>
    <cellStyle name="40% - 强调文字颜色 4 6 13" xfId="6589"/>
    <cellStyle name="40% - 强调文字颜色 4 6 14" xfId="6590"/>
    <cellStyle name="40% - 强调文字颜色 4 6 15" xfId="6591"/>
    <cellStyle name="40% - 强调文字颜色 4 6 16" xfId="6592"/>
    <cellStyle name="40% - 强调文字颜色 4 6 17" xfId="6593"/>
    <cellStyle name="40% - 强调文字颜色 4 6 18" xfId="6594"/>
    <cellStyle name="40% - 强调文字颜色 4 6 19" xfId="6595"/>
    <cellStyle name="40% - 强调文字颜色 4 6 2" xfId="6596"/>
    <cellStyle name="40% - 强调文字颜色 4 6 2 10" xfId="6597"/>
    <cellStyle name="40% - 强调文字颜色 4 6 2 11" xfId="6598"/>
    <cellStyle name="40% - 强调文字颜色 4 6 2 12" xfId="6599"/>
    <cellStyle name="40% - 强调文字颜色 4 6 2 13" xfId="6600"/>
    <cellStyle name="40% - 强调文字颜色 4 6 2 14" xfId="6601"/>
    <cellStyle name="40% - 强调文字颜色 4 6 2 15" xfId="6602"/>
    <cellStyle name="40% - 强调文字颜色 4 6 2 16" xfId="6603"/>
    <cellStyle name="40% - 强调文字颜色 4 6 2 17" xfId="6604"/>
    <cellStyle name="40% - 强调文字颜色 4 6 2 18" xfId="6605"/>
    <cellStyle name="40% - 强调文字颜色 4 6 2 19" xfId="6606"/>
    <cellStyle name="40% - 强调文字颜色 4 6 2 2" xfId="6607"/>
    <cellStyle name="40% - 强调文字颜色 4 6 2 20" xfId="6608"/>
    <cellStyle name="40% - 强调文字颜色 4 6 2 21" xfId="6609"/>
    <cellStyle name="40% - 强调文字颜色 4 6 2 22" xfId="6610"/>
    <cellStyle name="40% - 强调文字颜色 4 6 2 23" xfId="6611"/>
    <cellStyle name="40% - 强调文字颜色 4 6 2 24" xfId="6612"/>
    <cellStyle name="40% - 强调文字颜色 4 6 2 25" xfId="6613"/>
    <cellStyle name="40% - 强调文字颜色 4 6 2 26" xfId="6614"/>
    <cellStyle name="40% - 强调文字颜色 4 6 2 27" xfId="6615"/>
    <cellStyle name="40% - 强调文字颜色 4 6 2 3" xfId="6616"/>
    <cellStyle name="40% - 强调文字颜色 4 6 2 4" xfId="6617"/>
    <cellStyle name="40% - 强调文字颜色 4 6 2 5" xfId="6618"/>
    <cellStyle name="40% - 强调文字颜色 4 6 2 6" xfId="6619"/>
    <cellStyle name="40% - 强调文字颜色 4 6 2 7" xfId="6620"/>
    <cellStyle name="40% - 强调文字颜色 4 6 2 8" xfId="6621"/>
    <cellStyle name="40% - 强调文字颜色 4 6 2 9" xfId="6622"/>
    <cellStyle name="40% - 强调文字颜色 4 6 20" xfId="6623"/>
    <cellStyle name="40% - 强调文字颜色 4 6 21" xfId="6624"/>
    <cellStyle name="40% - 强调文字颜色 4 6 22" xfId="6625"/>
    <cellStyle name="40% - 强调文字颜色 4 6 23" xfId="6626"/>
    <cellStyle name="40% - 强调文字颜色 4 6 24" xfId="6627"/>
    <cellStyle name="40% - 强调文字颜色 4 6 25" xfId="6628"/>
    <cellStyle name="40% - 强调文字颜色 4 6 26" xfId="6629"/>
    <cellStyle name="40% - 强调文字颜色 4 6 27" xfId="6630"/>
    <cellStyle name="40% - 强调文字颜色 4 6 28" xfId="6631"/>
    <cellStyle name="40% - 强调文字颜色 4 6 3" xfId="6632"/>
    <cellStyle name="40% - 强调文字颜色 4 6 4" xfId="6633"/>
    <cellStyle name="40% - 强调文字颜色 4 6 5" xfId="6634"/>
    <cellStyle name="40% - 强调文字颜色 4 6 6" xfId="6635"/>
    <cellStyle name="40% - 强调文字颜色 4 6 7" xfId="6636"/>
    <cellStyle name="40% - 强调文字颜色 4 6 8" xfId="6637"/>
    <cellStyle name="40% - 强调文字颜色 4 6 9" xfId="6638"/>
    <cellStyle name="40% - 强调文字颜色 4 7" xfId="6639"/>
    <cellStyle name="40% - 强调文字颜色 4 7 10" xfId="6640"/>
    <cellStyle name="40% - 强调文字颜色 4 7 11" xfId="6641"/>
    <cellStyle name="40% - 强调文字颜色 4 7 12" xfId="6642"/>
    <cellStyle name="40% - 强调文字颜色 4 7 13" xfId="6643"/>
    <cellStyle name="40% - 强调文字颜色 4 7 14" xfId="6644"/>
    <cellStyle name="40% - 强调文字颜色 4 7 15" xfId="6645"/>
    <cellStyle name="40% - 强调文字颜色 4 7 16" xfId="6646"/>
    <cellStyle name="40% - 强调文字颜色 4 7 17" xfId="6647"/>
    <cellStyle name="40% - 强调文字颜色 4 7 18" xfId="6648"/>
    <cellStyle name="40% - 强调文字颜色 4 7 19" xfId="6649"/>
    <cellStyle name="40% - 强调文字颜色 4 7 2" xfId="6650"/>
    <cellStyle name="40% - 强调文字颜色 4 7 2 10" xfId="6651"/>
    <cellStyle name="40% - 强调文字颜色 4 7 2 11" xfId="6652"/>
    <cellStyle name="40% - 强调文字颜色 4 7 2 12" xfId="6653"/>
    <cellStyle name="40% - 强调文字颜色 4 7 2 13" xfId="6654"/>
    <cellStyle name="40% - 强调文字颜色 4 7 2 14" xfId="6655"/>
    <cellStyle name="40% - 强调文字颜色 4 7 2 15" xfId="6656"/>
    <cellStyle name="40% - 强调文字颜色 4 7 2 16" xfId="6657"/>
    <cellStyle name="40% - 强调文字颜色 4 7 2 17" xfId="6658"/>
    <cellStyle name="40% - 强调文字颜色 4 7 2 18" xfId="6659"/>
    <cellStyle name="40% - 强调文字颜色 4 7 2 19" xfId="6660"/>
    <cellStyle name="40% - 强调文字颜色 4 7 2 2" xfId="6661"/>
    <cellStyle name="40% - 强调文字颜色 4 7 2 20" xfId="6662"/>
    <cellStyle name="40% - 强调文字颜色 4 7 2 21" xfId="6663"/>
    <cellStyle name="40% - 强调文字颜色 4 7 2 22" xfId="6664"/>
    <cellStyle name="40% - 强调文字颜色 4 7 2 23" xfId="6665"/>
    <cellStyle name="40% - 强调文字颜色 4 7 2 24" xfId="6666"/>
    <cellStyle name="40% - 强调文字颜色 4 7 2 25" xfId="6667"/>
    <cellStyle name="40% - 强调文字颜色 4 7 2 26" xfId="6668"/>
    <cellStyle name="40% - 强调文字颜色 4 7 2 27" xfId="6669"/>
    <cellStyle name="40% - 强调文字颜色 4 7 2 3" xfId="6670"/>
    <cellStyle name="40% - 强调文字颜色 4 7 2 4" xfId="6671"/>
    <cellStyle name="40% - 强调文字颜色 4 7 2 5" xfId="6672"/>
    <cellStyle name="40% - 强调文字颜色 4 7 2 6" xfId="6673"/>
    <cellStyle name="40% - 强调文字颜色 4 7 2 7" xfId="6674"/>
    <cellStyle name="40% - 强调文字颜色 4 7 2 8" xfId="6675"/>
    <cellStyle name="40% - 强调文字颜色 4 7 2 9" xfId="6676"/>
    <cellStyle name="40% - 强调文字颜色 4 7 20" xfId="6677"/>
    <cellStyle name="40% - 强调文字颜色 4 7 21" xfId="6678"/>
    <cellStyle name="40% - 强调文字颜色 4 7 22" xfId="6679"/>
    <cellStyle name="40% - 强调文字颜色 4 7 23" xfId="6680"/>
    <cellStyle name="40% - 强调文字颜色 4 7 24" xfId="6681"/>
    <cellStyle name="40% - 强调文字颜色 4 7 25" xfId="6682"/>
    <cellStyle name="40% - 强调文字颜色 4 7 26" xfId="6683"/>
    <cellStyle name="40% - 强调文字颜色 4 7 27" xfId="6684"/>
    <cellStyle name="40% - 强调文字颜色 4 7 28" xfId="6685"/>
    <cellStyle name="40% - 强调文字颜色 4 7 3" xfId="6686"/>
    <cellStyle name="40% - 强调文字颜色 4 7 4" xfId="6687"/>
    <cellStyle name="40% - 强调文字颜色 4 7 5" xfId="6688"/>
    <cellStyle name="40% - 强调文字颜色 4 7 6" xfId="6689"/>
    <cellStyle name="40% - 强调文字颜色 4 7 7" xfId="6690"/>
    <cellStyle name="40% - 强调文字颜色 4 7 8" xfId="6691"/>
    <cellStyle name="40% - 强调文字颜色 4 7 9" xfId="6692"/>
    <cellStyle name="40% - 强调文字颜色 4 8" xfId="6693"/>
    <cellStyle name="40% - 强调文字颜色 4 8 10" xfId="6694"/>
    <cellStyle name="40% - 强调文字颜色 4 8 11" xfId="6695"/>
    <cellStyle name="40% - 强调文字颜色 4 8 12" xfId="6696"/>
    <cellStyle name="40% - 强调文字颜色 4 8 13" xfId="6697"/>
    <cellStyle name="40% - 强调文字颜色 4 8 14" xfId="6698"/>
    <cellStyle name="40% - 强调文字颜色 4 8 15" xfId="6699"/>
    <cellStyle name="40% - 强调文字颜色 4 8 16" xfId="6700"/>
    <cellStyle name="40% - 强调文字颜色 4 8 17" xfId="6701"/>
    <cellStyle name="40% - 强调文字颜色 4 8 18" xfId="6702"/>
    <cellStyle name="40% - 强调文字颜色 4 8 19" xfId="6703"/>
    <cellStyle name="40% - 强调文字颜色 4 8 2" xfId="6704"/>
    <cellStyle name="40% - 强调文字颜色 4 8 2 10" xfId="6705"/>
    <cellStyle name="40% - 强调文字颜色 4 8 2 11" xfId="6706"/>
    <cellStyle name="40% - 强调文字颜色 4 8 2 12" xfId="6707"/>
    <cellStyle name="40% - 强调文字颜色 4 8 2 13" xfId="6708"/>
    <cellStyle name="40% - 强调文字颜色 4 8 2 14" xfId="6709"/>
    <cellStyle name="40% - 强调文字颜色 4 8 2 15" xfId="6710"/>
    <cellStyle name="40% - 强调文字颜色 4 8 2 16" xfId="6711"/>
    <cellStyle name="40% - 强调文字颜色 4 8 2 17" xfId="6712"/>
    <cellStyle name="40% - 强调文字颜色 4 8 2 18" xfId="6713"/>
    <cellStyle name="40% - 强调文字颜色 4 8 2 19" xfId="6714"/>
    <cellStyle name="40% - 强调文字颜色 4 8 2 2" xfId="6715"/>
    <cellStyle name="40% - 强调文字颜色 4 8 2 20" xfId="6716"/>
    <cellStyle name="40% - 强调文字颜色 4 8 2 21" xfId="6717"/>
    <cellStyle name="40% - 强调文字颜色 4 8 2 22" xfId="6718"/>
    <cellStyle name="40% - 强调文字颜色 4 8 2 23" xfId="6719"/>
    <cellStyle name="40% - 强调文字颜色 4 8 2 24" xfId="6720"/>
    <cellStyle name="40% - 强调文字颜色 4 8 2 25" xfId="6721"/>
    <cellStyle name="40% - 强调文字颜色 4 8 2 26" xfId="6722"/>
    <cellStyle name="40% - 强调文字颜色 4 8 2 27" xfId="6723"/>
    <cellStyle name="40% - 强调文字颜色 4 8 2 3" xfId="6724"/>
    <cellStyle name="40% - 强调文字颜色 4 8 2 4" xfId="6725"/>
    <cellStyle name="40% - 强调文字颜色 4 8 2 5" xfId="6726"/>
    <cellStyle name="40% - 强调文字颜色 4 8 2 6" xfId="6727"/>
    <cellStyle name="40% - 强调文字颜色 4 8 2 7" xfId="6728"/>
    <cellStyle name="40% - 强调文字颜色 4 8 2 8" xfId="6729"/>
    <cellStyle name="40% - 强调文字颜色 4 8 2 9" xfId="6730"/>
    <cellStyle name="40% - 强调文字颜色 4 8 20" xfId="6731"/>
    <cellStyle name="40% - 强调文字颜色 4 8 21" xfId="6732"/>
    <cellStyle name="40% - 强调文字颜色 4 8 22" xfId="6733"/>
    <cellStyle name="40% - 强调文字颜色 4 8 23" xfId="6734"/>
    <cellStyle name="40% - 强调文字颜色 4 8 24" xfId="6735"/>
    <cellStyle name="40% - 强调文字颜色 4 8 25" xfId="6736"/>
    <cellStyle name="40% - 强调文字颜色 4 8 26" xfId="6737"/>
    <cellStyle name="40% - 强调文字颜色 4 8 27" xfId="6738"/>
    <cellStyle name="40% - 强调文字颜色 4 8 28" xfId="6739"/>
    <cellStyle name="40% - 强调文字颜色 4 8 3" xfId="6740"/>
    <cellStyle name="40% - 强调文字颜色 4 8 4" xfId="6741"/>
    <cellStyle name="40% - 强调文字颜色 4 8 5" xfId="6742"/>
    <cellStyle name="40% - 强调文字颜色 4 8 6" xfId="6743"/>
    <cellStyle name="40% - 强调文字颜色 4 8 7" xfId="6744"/>
    <cellStyle name="40% - 强调文字颜色 4 8 8" xfId="6745"/>
    <cellStyle name="40% - 强调文字颜色 4 8 9" xfId="6746"/>
    <cellStyle name="40% - 强调文字颜色 4 9" xfId="6747"/>
    <cellStyle name="40% - 强调文字颜色 4 9 10" xfId="6748"/>
    <cellStyle name="40% - 强调文字颜色 4 9 11" xfId="6749"/>
    <cellStyle name="40% - 强调文字颜色 4 9 12" xfId="6750"/>
    <cellStyle name="40% - 强调文字颜色 4 9 13" xfId="6751"/>
    <cellStyle name="40% - 强调文字颜色 4 9 14" xfId="6752"/>
    <cellStyle name="40% - 强调文字颜色 4 9 15" xfId="6753"/>
    <cellStyle name="40% - 强调文字颜色 4 9 16" xfId="6754"/>
    <cellStyle name="40% - 强调文字颜色 4 9 17" xfId="6755"/>
    <cellStyle name="40% - 强调文字颜色 4 9 18" xfId="6756"/>
    <cellStyle name="40% - 强调文字颜色 4 9 19" xfId="6757"/>
    <cellStyle name="40% - 强调文字颜色 4 9 2" xfId="6758"/>
    <cellStyle name="40% - 强调文字颜色 4 9 2 10" xfId="6759"/>
    <cellStyle name="40% - 强调文字颜色 4 9 2 11" xfId="6760"/>
    <cellStyle name="40% - 强调文字颜色 4 9 2 12" xfId="6761"/>
    <cellStyle name="40% - 强调文字颜色 4 9 2 13" xfId="6762"/>
    <cellStyle name="40% - 强调文字颜色 4 9 2 14" xfId="6763"/>
    <cellStyle name="40% - 强调文字颜色 4 9 2 15" xfId="6764"/>
    <cellStyle name="40% - 强调文字颜色 4 9 2 16" xfId="6765"/>
    <cellStyle name="40% - 强调文字颜色 4 9 2 17" xfId="6766"/>
    <cellStyle name="40% - 强调文字颜色 4 9 2 18" xfId="6767"/>
    <cellStyle name="40% - 强调文字颜色 4 9 2 19" xfId="6768"/>
    <cellStyle name="40% - 强调文字颜色 4 9 2 2" xfId="6769"/>
    <cellStyle name="40% - 强调文字颜色 4 9 2 20" xfId="6770"/>
    <cellStyle name="40% - 强调文字颜色 4 9 2 21" xfId="6771"/>
    <cellStyle name="40% - 强调文字颜色 4 9 2 22" xfId="6772"/>
    <cellStyle name="40% - 强调文字颜色 4 9 2 23" xfId="6773"/>
    <cellStyle name="40% - 强调文字颜色 4 9 2 24" xfId="6774"/>
    <cellStyle name="40% - 强调文字颜色 4 9 2 25" xfId="6775"/>
    <cellStyle name="40% - 强调文字颜色 4 9 2 26" xfId="6776"/>
    <cellStyle name="40% - 强调文字颜色 4 9 2 27" xfId="6777"/>
    <cellStyle name="40% - 强调文字颜色 4 9 2 3" xfId="6778"/>
    <cellStyle name="40% - 强调文字颜色 4 9 2 4" xfId="6779"/>
    <cellStyle name="40% - 强调文字颜色 4 9 2 5" xfId="6780"/>
    <cellStyle name="40% - 强调文字颜色 4 9 2 6" xfId="6781"/>
    <cellStyle name="40% - 强调文字颜色 4 9 2 7" xfId="6782"/>
    <cellStyle name="40% - 强调文字颜色 4 9 2 8" xfId="6783"/>
    <cellStyle name="40% - 强调文字颜色 4 9 2 9" xfId="6784"/>
    <cellStyle name="40% - 强调文字颜色 4 9 20" xfId="6785"/>
    <cellStyle name="40% - 强调文字颜色 4 9 21" xfId="6786"/>
    <cellStyle name="40% - 强调文字颜色 4 9 22" xfId="6787"/>
    <cellStyle name="40% - 强调文字颜色 4 9 23" xfId="6788"/>
    <cellStyle name="40% - 强调文字颜色 4 9 24" xfId="6789"/>
    <cellStyle name="40% - 强调文字颜色 4 9 25" xfId="6790"/>
    <cellStyle name="40% - 强调文字颜色 4 9 26" xfId="6791"/>
    <cellStyle name="40% - 强调文字颜色 4 9 27" xfId="6792"/>
    <cellStyle name="40% - 强调文字颜色 4 9 28" xfId="6793"/>
    <cellStyle name="40% - 强调文字颜色 4 9 3" xfId="6794"/>
    <cellStyle name="40% - 强调文字颜色 4 9 4" xfId="6795"/>
    <cellStyle name="40% - 强调文字颜色 4 9 5" xfId="6796"/>
    <cellStyle name="40% - 强调文字颜色 4 9 6" xfId="6797"/>
    <cellStyle name="40% - 强调文字颜色 4 9 7" xfId="6798"/>
    <cellStyle name="40% - 强调文字颜色 4 9 8" xfId="6799"/>
    <cellStyle name="40% - 强调文字颜色 4 9 9" xfId="6800"/>
    <cellStyle name="40% - 强调文字颜色 5 10" xfId="6801"/>
    <cellStyle name="40% - 强调文字颜色 5 10 10" xfId="6802"/>
    <cellStyle name="40% - 强调文字颜色 5 10 11" xfId="6803"/>
    <cellStyle name="40% - 强调文字颜色 5 10 12" xfId="6804"/>
    <cellStyle name="40% - 强调文字颜色 5 10 13" xfId="6805"/>
    <cellStyle name="40% - 强调文字颜色 5 10 14" xfId="6806"/>
    <cellStyle name="40% - 强调文字颜色 5 10 15" xfId="6807"/>
    <cellStyle name="40% - 强调文字颜色 5 10 16" xfId="6808"/>
    <cellStyle name="40% - 强调文字颜色 5 10 17" xfId="6809"/>
    <cellStyle name="40% - 强调文字颜色 5 10 18" xfId="6810"/>
    <cellStyle name="40% - 强调文字颜色 5 10 19" xfId="6811"/>
    <cellStyle name="40% - 强调文字颜色 5 10 2" xfId="6812"/>
    <cellStyle name="40% - 强调文字颜色 5 10 2 10" xfId="6813"/>
    <cellStyle name="40% - 强调文字颜色 5 10 2 11" xfId="6814"/>
    <cellStyle name="40% - 强调文字颜色 5 10 2 12" xfId="6815"/>
    <cellStyle name="40% - 强调文字颜色 5 10 2 13" xfId="6816"/>
    <cellStyle name="40% - 强调文字颜色 5 10 2 14" xfId="6817"/>
    <cellStyle name="40% - 强调文字颜色 5 10 2 15" xfId="6818"/>
    <cellStyle name="40% - 强调文字颜色 5 10 2 16" xfId="6819"/>
    <cellStyle name="40% - 强调文字颜色 5 10 2 17" xfId="6820"/>
    <cellStyle name="40% - 强调文字颜色 5 10 2 18" xfId="6821"/>
    <cellStyle name="40% - 强调文字颜色 5 10 2 19" xfId="6822"/>
    <cellStyle name="40% - 强调文字颜色 5 10 2 2" xfId="6823"/>
    <cellStyle name="40% - 强调文字颜色 5 10 2 20" xfId="6824"/>
    <cellStyle name="40% - 强调文字颜色 5 10 2 21" xfId="6825"/>
    <cellStyle name="40% - 强调文字颜色 5 10 2 22" xfId="6826"/>
    <cellStyle name="40% - 强调文字颜色 5 10 2 23" xfId="6827"/>
    <cellStyle name="40% - 强调文字颜色 5 10 2 24" xfId="6828"/>
    <cellStyle name="40% - 强调文字颜色 5 10 2 25" xfId="6829"/>
    <cellStyle name="40% - 强调文字颜色 5 10 2 26" xfId="6830"/>
    <cellStyle name="40% - 强调文字颜色 5 10 2 27" xfId="6831"/>
    <cellStyle name="40% - 强调文字颜色 5 10 2 3" xfId="6832"/>
    <cellStyle name="40% - 强调文字颜色 5 10 2 4" xfId="6833"/>
    <cellStyle name="40% - 强调文字颜色 5 10 2 5" xfId="6834"/>
    <cellStyle name="40% - 强调文字颜色 5 10 2 6" xfId="6835"/>
    <cellStyle name="40% - 强调文字颜色 5 10 2 7" xfId="6836"/>
    <cellStyle name="40% - 强调文字颜色 5 10 2 8" xfId="6837"/>
    <cellStyle name="40% - 强调文字颜色 5 10 2 9" xfId="6838"/>
    <cellStyle name="40% - 强调文字颜色 5 10 20" xfId="6839"/>
    <cellStyle name="40% - 强调文字颜色 5 10 21" xfId="6840"/>
    <cellStyle name="40% - 强调文字颜色 5 10 22" xfId="6841"/>
    <cellStyle name="40% - 强调文字颜色 5 10 23" xfId="6842"/>
    <cellStyle name="40% - 强调文字颜色 5 10 24" xfId="6843"/>
    <cellStyle name="40% - 强调文字颜色 5 10 25" xfId="6844"/>
    <cellStyle name="40% - 强调文字颜色 5 10 26" xfId="6845"/>
    <cellStyle name="40% - 强调文字颜色 5 10 27" xfId="6846"/>
    <cellStyle name="40% - 强调文字颜色 5 10 28" xfId="6847"/>
    <cellStyle name="40% - 强调文字颜色 5 10 3" xfId="6848"/>
    <cellStyle name="40% - 强调文字颜色 5 10 4" xfId="6849"/>
    <cellStyle name="40% - 强调文字颜色 5 10 5" xfId="6850"/>
    <cellStyle name="40% - 强调文字颜色 5 10 6" xfId="6851"/>
    <cellStyle name="40% - 强调文字颜色 5 10 7" xfId="6852"/>
    <cellStyle name="40% - 强调文字颜色 5 10 8" xfId="6853"/>
    <cellStyle name="40% - 强调文字颜色 5 10 9" xfId="6854"/>
    <cellStyle name="40% - 强调文字颜色 5 11" xfId="6855"/>
    <cellStyle name="40% - 强调文字颜色 5 11 10" xfId="6856"/>
    <cellStyle name="40% - 强调文字颜色 5 11 11" xfId="6857"/>
    <cellStyle name="40% - 强调文字颜色 5 11 12" xfId="6858"/>
    <cellStyle name="40% - 强调文字颜色 5 11 13" xfId="6859"/>
    <cellStyle name="40% - 强调文字颜色 5 11 14" xfId="6860"/>
    <cellStyle name="40% - 强调文字颜色 5 11 15" xfId="6861"/>
    <cellStyle name="40% - 强调文字颜色 5 11 16" xfId="6862"/>
    <cellStyle name="40% - 强调文字颜色 5 11 17" xfId="6863"/>
    <cellStyle name="40% - 强调文字颜色 5 11 18" xfId="6864"/>
    <cellStyle name="40% - 强调文字颜色 5 11 19" xfId="6865"/>
    <cellStyle name="40% - 强调文字颜色 5 11 2" xfId="6866"/>
    <cellStyle name="40% - 强调文字颜色 5 11 2 10" xfId="6867"/>
    <cellStyle name="40% - 强调文字颜色 5 11 2 11" xfId="6868"/>
    <cellStyle name="40% - 强调文字颜色 5 11 2 12" xfId="6869"/>
    <cellStyle name="40% - 强调文字颜色 5 11 2 13" xfId="6870"/>
    <cellStyle name="40% - 强调文字颜色 5 11 2 14" xfId="6871"/>
    <cellStyle name="40% - 强调文字颜色 5 11 2 15" xfId="6872"/>
    <cellStyle name="40% - 强调文字颜色 5 11 2 16" xfId="6873"/>
    <cellStyle name="40% - 强调文字颜色 5 11 2 17" xfId="6874"/>
    <cellStyle name="40% - 强调文字颜色 5 11 2 18" xfId="6875"/>
    <cellStyle name="40% - 强调文字颜色 5 11 2 19" xfId="6876"/>
    <cellStyle name="40% - 强调文字颜色 5 11 2 2" xfId="6877"/>
    <cellStyle name="40% - 强调文字颜色 5 11 2 20" xfId="6878"/>
    <cellStyle name="40% - 强调文字颜色 5 11 2 21" xfId="6879"/>
    <cellStyle name="40% - 强调文字颜色 5 11 2 22" xfId="6880"/>
    <cellStyle name="40% - 强调文字颜色 5 11 2 23" xfId="6881"/>
    <cellStyle name="40% - 强调文字颜色 5 11 2 24" xfId="6882"/>
    <cellStyle name="40% - 强调文字颜色 5 11 2 25" xfId="6883"/>
    <cellStyle name="40% - 强调文字颜色 5 11 2 26" xfId="6884"/>
    <cellStyle name="40% - 强调文字颜色 5 11 2 27" xfId="6885"/>
    <cellStyle name="40% - 强调文字颜色 5 11 2 3" xfId="6886"/>
    <cellStyle name="40% - 强调文字颜色 5 11 2 4" xfId="6887"/>
    <cellStyle name="40% - 强调文字颜色 5 11 2 5" xfId="6888"/>
    <cellStyle name="40% - 强调文字颜色 5 11 2 6" xfId="6889"/>
    <cellStyle name="40% - 强调文字颜色 5 11 2 7" xfId="6890"/>
    <cellStyle name="40% - 强调文字颜色 5 11 2 8" xfId="6891"/>
    <cellStyle name="40% - 强调文字颜色 5 11 2 9" xfId="6892"/>
    <cellStyle name="40% - 强调文字颜色 5 11 20" xfId="6893"/>
    <cellStyle name="40% - 强调文字颜色 5 11 21" xfId="6894"/>
    <cellStyle name="40% - 强调文字颜色 5 11 22" xfId="6895"/>
    <cellStyle name="40% - 强调文字颜色 5 11 23" xfId="6896"/>
    <cellStyle name="40% - 强调文字颜色 5 11 24" xfId="6897"/>
    <cellStyle name="40% - 强调文字颜色 5 11 25" xfId="6898"/>
    <cellStyle name="40% - 强调文字颜色 5 11 26" xfId="6899"/>
    <cellStyle name="40% - 强调文字颜色 5 11 27" xfId="6900"/>
    <cellStyle name="40% - 强调文字颜色 5 11 28" xfId="6901"/>
    <cellStyle name="40% - 强调文字颜色 5 11 3" xfId="6902"/>
    <cellStyle name="40% - 强调文字颜色 5 11 4" xfId="6903"/>
    <cellStyle name="40% - 强调文字颜色 5 11 5" xfId="6904"/>
    <cellStyle name="40% - 强调文字颜色 5 11 6" xfId="6905"/>
    <cellStyle name="40% - 强调文字颜色 5 11 7" xfId="6906"/>
    <cellStyle name="40% - 强调文字颜色 5 11 8" xfId="6907"/>
    <cellStyle name="40% - 强调文字颜色 5 11 9" xfId="6908"/>
    <cellStyle name="40% - 强调文字颜色 5 12" xfId="6909"/>
    <cellStyle name="40% - 强调文字颜色 5 13" xfId="6910"/>
    <cellStyle name="40% - 强调文字颜色 5 14" xfId="6911"/>
    <cellStyle name="40% - 强调文字颜色 5 15" xfId="6912"/>
    <cellStyle name="40% - 强调文字颜色 5 16" xfId="6913"/>
    <cellStyle name="40% - 强调文字颜色 5 17" xfId="6914"/>
    <cellStyle name="40% - 强调文字颜色 5 18" xfId="6915"/>
    <cellStyle name="40% - 强调文字颜色 5 19" xfId="6916"/>
    <cellStyle name="40% - 强调文字颜色 5 2" xfId="6917"/>
    <cellStyle name="40% - 强调文字颜色 5 2 10" xfId="6918"/>
    <cellStyle name="40% - 强调文字颜色 5 2 11" xfId="6919"/>
    <cellStyle name="40% - 强调文字颜色 5 2 12" xfId="6920"/>
    <cellStyle name="40% - 强调文字颜色 5 2 13" xfId="6921"/>
    <cellStyle name="40% - 强调文字颜色 5 2 14" xfId="6922"/>
    <cellStyle name="40% - 强调文字颜色 5 2 15" xfId="6923"/>
    <cellStyle name="40% - 强调文字颜色 5 2 16" xfId="6924"/>
    <cellStyle name="40% - 强调文字颜色 5 2 17" xfId="6925"/>
    <cellStyle name="40% - 强调文字颜色 5 2 18" xfId="6926"/>
    <cellStyle name="40% - 强调文字颜色 5 2 19" xfId="6927"/>
    <cellStyle name="40% - 强调文字颜色 5 2 2" xfId="6928"/>
    <cellStyle name="40% - 强调文字颜色 5 2 2 10" xfId="6929"/>
    <cellStyle name="40% - 强调文字颜色 5 2 2 11" xfId="6930"/>
    <cellStyle name="40% - 强调文字颜色 5 2 2 12" xfId="6931"/>
    <cellStyle name="40% - 强调文字颜色 5 2 2 13" xfId="6932"/>
    <cellStyle name="40% - 强调文字颜色 5 2 2 14" xfId="6933"/>
    <cellStyle name="40% - 强调文字颜色 5 2 2 15" xfId="6934"/>
    <cellStyle name="40% - 强调文字颜色 5 2 2 16" xfId="6935"/>
    <cellStyle name="40% - 强调文字颜色 5 2 2 17" xfId="6936"/>
    <cellStyle name="40% - 强调文字颜色 5 2 2 18" xfId="6937"/>
    <cellStyle name="40% - 强调文字颜色 5 2 2 19" xfId="6938"/>
    <cellStyle name="40% - 强调文字颜色 5 2 2 2" xfId="6939"/>
    <cellStyle name="40% - 强调文字颜色 5 2 2 2 10" xfId="6940"/>
    <cellStyle name="40% - 强调文字颜色 5 2 2 2 11" xfId="6941"/>
    <cellStyle name="40% - 强调文字颜色 5 2 2 2 12" xfId="6942"/>
    <cellStyle name="40% - 强调文字颜色 5 2 2 2 13" xfId="6943"/>
    <cellStyle name="40% - 强调文字颜色 5 2 2 2 14" xfId="6944"/>
    <cellStyle name="40% - 强调文字颜色 5 2 2 2 15" xfId="6945"/>
    <cellStyle name="40% - 强调文字颜色 5 2 2 2 16" xfId="6946"/>
    <cellStyle name="40% - 强调文字颜色 5 2 2 2 17" xfId="6947"/>
    <cellStyle name="40% - 强调文字颜色 5 2 2 2 18" xfId="6948"/>
    <cellStyle name="40% - 强调文字颜色 5 2 2 2 19" xfId="6949"/>
    <cellStyle name="40% - 强调文字颜色 5 2 2 2 2" xfId="6950"/>
    <cellStyle name="40% - 强调文字颜色 5 2 2 2 20" xfId="6951"/>
    <cellStyle name="40% - 强调文字颜色 5 2 2 2 21" xfId="6952"/>
    <cellStyle name="40% - 强调文字颜色 5 2 2 2 22" xfId="6953"/>
    <cellStyle name="40% - 强调文字颜色 5 2 2 2 23" xfId="6954"/>
    <cellStyle name="40% - 强调文字颜色 5 2 2 2 24" xfId="6955"/>
    <cellStyle name="40% - 强调文字颜色 5 2 2 2 25" xfId="6956"/>
    <cellStyle name="40% - 强调文字颜色 5 2 2 2 26" xfId="6957"/>
    <cellStyle name="40% - 强调文字颜色 5 2 2 2 27" xfId="6958"/>
    <cellStyle name="40% - 强调文字颜色 5 2 2 2 3" xfId="6959"/>
    <cellStyle name="40% - 强调文字颜色 5 2 2 2 4" xfId="6960"/>
    <cellStyle name="40% - 强调文字颜色 5 2 2 2 5" xfId="6961"/>
    <cellStyle name="40% - 强调文字颜色 5 2 2 2 6" xfId="6962"/>
    <cellStyle name="40% - 强调文字颜色 5 2 2 2 7" xfId="6963"/>
    <cellStyle name="40% - 强调文字颜色 5 2 2 2 8" xfId="6964"/>
    <cellStyle name="40% - 强调文字颜色 5 2 2 2 9" xfId="6965"/>
    <cellStyle name="40% - 强调文字颜色 5 2 2 20" xfId="6966"/>
    <cellStyle name="40% - 强调文字颜色 5 2 2 21" xfId="6967"/>
    <cellStyle name="40% - 强调文字颜色 5 2 2 22" xfId="6968"/>
    <cellStyle name="40% - 强调文字颜色 5 2 2 23" xfId="6969"/>
    <cellStyle name="40% - 强调文字颜色 5 2 2 24" xfId="6970"/>
    <cellStyle name="40% - 强调文字颜色 5 2 2 25" xfId="6971"/>
    <cellStyle name="40% - 强调文字颜色 5 2 2 26" xfId="6972"/>
    <cellStyle name="40% - 强调文字颜色 5 2 2 27" xfId="6973"/>
    <cellStyle name="40% - 强调文字颜色 5 2 2 28" xfId="6974"/>
    <cellStyle name="40% - 强调文字颜色 5 2 2 3" xfId="6975"/>
    <cellStyle name="40% - 强调文字颜色 5 2 2 4" xfId="6976"/>
    <cellStyle name="40% - 强调文字颜色 5 2 2 5" xfId="6977"/>
    <cellStyle name="40% - 强调文字颜色 5 2 2 6" xfId="6978"/>
    <cellStyle name="40% - 强调文字颜色 5 2 2 7" xfId="6979"/>
    <cellStyle name="40% - 强调文字颜色 5 2 2 8" xfId="6980"/>
    <cellStyle name="40% - 强调文字颜色 5 2 2 9" xfId="6981"/>
    <cellStyle name="40% - 强调文字颜色 5 2 20" xfId="6982"/>
    <cellStyle name="40% - 强调文字颜色 5 2 21" xfId="6983"/>
    <cellStyle name="40% - 强调文字颜色 5 2 22" xfId="6984"/>
    <cellStyle name="40% - 强调文字颜色 5 2 23" xfId="6985"/>
    <cellStyle name="40% - 强调文字颜色 5 2 24" xfId="6986"/>
    <cellStyle name="40% - 强调文字颜色 5 2 25" xfId="6987"/>
    <cellStyle name="40% - 强调文字颜色 5 2 26" xfId="6988"/>
    <cellStyle name="40% - 强调文字颜色 5 2 27" xfId="6989"/>
    <cellStyle name="40% - 强调文字颜色 5 2 28" xfId="6990"/>
    <cellStyle name="40% - 强调文字颜色 5 2 29" xfId="6991"/>
    <cellStyle name="40% - 强调文字颜色 5 2 3" xfId="6992"/>
    <cellStyle name="40% - 强调文字颜色 5 2 3 10" xfId="6993"/>
    <cellStyle name="40% - 强调文字颜色 5 2 3 11" xfId="6994"/>
    <cellStyle name="40% - 强调文字颜色 5 2 3 12" xfId="6995"/>
    <cellStyle name="40% - 强调文字颜色 5 2 3 13" xfId="6996"/>
    <cellStyle name="40% - 强调文字颜色 5 2 3 14" xfId="6997"/>
    <cellStyle name="40% - 强调文字颜色 5 2 3 15" xfId="6998"/>
    <cellStyle name="40% - 强调文字颜色 5 2 3 16" xfId="6999"/>
    <cellStyle name="40% - 强调文字颜色 5 2 3 17" xfId="7000"/>
    <cellStyle name="40% - 强调文字颜色 5 2 3 18" xfId="7001"/>
    <cellStyle name="40% - 强调文字颜色 5 2 3 19" xfId="7002"/>
    <cellStyle name="40% - 强调文字颜色 5 2 3 2" xfId="7003"/>
    <cellStyle name="40% - 强调文字颜色 5 2 3 2 10" xfId="7004"/>
    <cellStyle name="40% - 强调文字颜色 5 2 3 2 11" xfId="7005"/>
    <cellStyle name="40% - 强调文字颜色 5 2 3 2 12" xfId="7006"/>
    <cellStyle name="40% - 强调文字颜色 5 2 3 2 13" xfId="7007"/>
    <cellStyle name="40% - 强调文字颜色 5 2 3 2 14" xfId="7008"/>
    <cellStyle name="40% - 强调文字颜色 5 2 3 2 15" xfId="7009"/>
    <cellStyle name="40% - 强调文字颜色 5 2 3 2 16" xfId="7010"/>
    <cellStyle name="40% - 强调文字颜色 5 2 3 2 17" xfId="7011"/>
    <cellStyle name="40% - 强调文字颜色 5 2 3 2 18" xfId="7012"/>
    <cellStyle name="40% - 强调文字颜色 5 2 3 2 19" xfId="7013"/>
    <cellStyle name="40% - 强调文字颜色 5 2 3 2 2" xfId="7014"/>
    <cellStyle name="40% - 强调文字颜色 5 2 3 2 20" xfId="7015"/>
    <cellStyle name="40% - 强调文字颜色 5 2 3 2 21" xfId="7016"/>
    <cellStyle name="40% - 强调文字颜色 5 2 3 2 22" xfId="7017"/>
    <cellStyle name="40% - 强调文字颜色 5 2 3 2 23" xfId="7018"/>
    <cellStyle name="40% - 强调文字颜色 5 2 3 2 24" xfId="7019"/>
    <cellStyle name="40% - 强调文字颜色 5 2 3 2 25" xfId="7020"/>
    <cellStyle name="40% - 强调文字颜色 5 2 3 2 26" xfId="7021"/>
    <cellStyle name="40% - 强调文字颜色 5 2 3 2 27" xfId="7022"/>
    <cellStyle name="40% - 强调文字颜色 5 2 3 2 3" xfId="7023"/>
    <cellStyle name="40% - 强调文字颜色 5 2 3 2 4" xfId="7024"/>
    <cellStyle name="40% - 强调文字颜色 5 2 3 2 5" xfId="7025"/>
    <cellStyle name="40% - 强调文字颜色 5 2 3 2 6" xfId="7026"/>
    <cellStyle name="40% - 强调文字颜色 5 2 3 2 7" xfId="7027"/>
    <cellStyle name="40% - 强调文字颜色 5 2 3 2 8" xfId="7028"/>
    <cellStyle name="40% - 强调文字颜色 5 2 3 2 9" xfId="7029"/>
    <cellStyle name="40% - 强调文字颜色 5 2 3 20" xfId="7030"/>
    <cellStyle name="40% - 强调文字颜色 5 2 3 21" xfId="7031"/>
    <cellStyle name="40% - 强调文字颜色 5 2 3 22" xfId="7032"/>
    <cellStyle name="40% - 强调文字颜色 5 2 3 23" xfId="7033"/>
    <cellStyle name="40% - 强调文字颜色 5 2 3 24" xfId="7034"/>
    <cellStyle name="40% - 强调文字颜色 5 2 3 25" xfId="7035"/>
    <cellStyle name="40% - 强调文字颜色 5 2 3 26" xfId="7036"/>
    <cellStyle name="40% - 强调文字颜色 5 2 3 27" xfId="7037"/>
    <cellStyle name="40% - 强调文字颜色 5 2 3 28" xfId="7038"/>
    <cellStyle name="40% - 强调文字颜色 5 2 3 3" xfId="7039"/>
    <cellStyle name="40% - 强调文字颜色 5 2 3 4" xfId="7040"/>
    <cellStyle name="40% - 强调文字颜色 5 2 3 5" xfId="7041"/>
    <cellStyle name="40% - 强调文字颜色 5 2 3 6" xfId="7042"/>
    <cellStyle name="40% - 强调文字颜色 5 2 3 7" xfId="7043"/>
    <cellStyle name="40% - 强调文字颜色 5 2 3 8" xfId="7044"/>
    <cellStyle name="40% - 强调文字颜色 5 2 3 9" xfId="7045"/>
    <cellStyle name="40% - 强调文字颜色 5 2 30" xfId="7046"/>
    <cellStyle name="40% - 强调文字颜色 5 2 31" xfId="7047"/>
    <cellStyle name="40% - 强调文字颜色 5 2 32" xfId="7048"/>
    <cellStyle name="40% - 强调文字颜色 5 2 33" xfId="7049"/>
    <cellStyle name="40% - 强调文字颜色 5 2 4" xfId="7050"/>
    <cellStyle name="40% - 强调文字颜色 5 2 4 10" xfId="7051"/>
    <cellStyle name="40% - 强调文字颜色 5 2 4 11" xfId="7052"/>
    <cellStyle name="40% - 强调文字颜色 5 2 4 12" xfId="7053"/>
    <cellStyle name="40% - 强调文字颜色 5 2 4 13" xfId="7054"/>
    <cellStyle name="40% - 强调文字颜色 5 2 4 14" xfId="7055"/>
    <cellStyle name="40% - 强调文字颜色 5 2 4 15" xfId="7056"/>
    <cellStyle name="40% - 强调文字颜色 5 2 4 16" xfId="7057"/>
    <cellStyle name="40% - 强调文字颜色 5 2 4 17" xfId="7058"/>
    <cellStyle name="40% - 强调文字颜色 5 2 4 18" xfId="7059"/>
    <cellStyle name="40% - 强调文字颜色 5 2 4 19" xfId="7060"/>
    <cellStyle name="40% - 强调文字颜色 5 2 4 2" xfId="7061"/>
    <cellStyle name="40% - 强调文字颜色 5 2 4 20" xfId="7062"/>
    <cellStyle name="40% - 强调文字颜色 5 2 4 21" xfId="7063"/>
    <cellStyle name="40% - 强调文字颜色 5 2 4 22" xfId="7064"/>
    <cellStyle name="40% - 强调文字颜色 5 2 4 23" xfId="7065"/>
    <cellStyle name="40% - 强调文字颜色 5 2 4 24" xfId="7066"/>
    <cellStyle name="40% - 强调文字颜色 5 2 4 25" xfId="7067"/>
    <cellStyle name="40% - 强调文字颜色 5 2 4 26" xfId="7068"/>
    <cellStyle name="40% - 强调文字颜色 5 2 4 27" xfId="7069"/>
    <cellStyle name="40% - 强调文字颜色 5 2 4 3" xfId="7070"/>
    <cellStyle name="40% - 强调文字颜色 5 2 4 4" xfId="7071"/>
    <cellStyle name="40% - 强调文字颜色 5 2 4 5" xfId="7072"/>
    <cellStyle name="40% - 强调文字颜色 5 2 4 6" xfId="7073"/>
    <cellStyle name="40% - 强调文字颜色 5 2 4 7" xfId="7074"/>
    <cellStyle name="40% - 强调文字颜色 5 2 4 8" xfId="7075"/>
    <cellStyle name="40% - 强调文字颜色 5 2 4 9" xfId="7076"/>
    <cellStyle name="40% - 强调文字颜色 5 2 5" xfId="7077"/>
    <cellStyle name="40% - 强调文字颜色 5 2 6" xfId="7078"/>
    <cellStyle name="40% - 强调文字颜色 5 2 7" xfId="7079"/>
    <cellStyle name="40% - 强调文字颜色 5 2 8" xfId="7080"/>
    <cellStyle name="40% - 强调文字颜色 5 2 9" xfId="7081"/>
    <cellStyle name="40% - 强调文字颜色 5 20" xfId="7082"/>
    <cellStyle name="40% - 强调文字颜色 5 21" xfId="7083"/>
    <cellStyle name="40% - 强调文字颜色 5 22" xfId="7084"/>
    <cellStyle name="40% - 强调文字颜色 5 23" xfId="7085"/>
    <cellStyle name="40% - 强调文字颜色 5 24" xfId="7086"/>
    <cellStyle name="40% - 强调文字颜色 5 25" xfId="7087"/>
    <cellStyle name="40% - 强调文字颜色 5 26" xfId="7088"/>
    <cellStyle name="40% - 强调文字颜色 5 27" xfId="7089"/>
    <cellStyle name="40% - 强调文字颜色 5 28" xfId="7090"/>
    <cellStyle name="40% - 强调文字颜色 5 29" xfId="7091"/>
    <cellStyle name="40% - 强调文字颜色 5 3" xfId="7092"/>
    <cellStyle name="40% - 强调文字颜色 5 3 10" xfId="7093"/>
    <cellStyle name="40% - 强调文字颜色 5 3 11" xfId="7094"/>
    <cellStyle name="40% - 强调文字颜色 5 3 12" xfId="7095"/>
    <cellStyle name="40% - 强调文字颜色 5 3 13" xfId="7096"/>
    <cellStyle name="40% - 强调文字颜色 5 3 14" xfId="7097"/>
    <cellStyle name="40% - 强调文字颜色 5 3 15" xfId="7098"/>
    <cellStyle name="40% - 强调文字颜色 5 3 16" xfId="7099"/>
    <cellStyle name="40% - 强调文字颜色 5 3 17" xfId="7100"/>
    <cellStyle name="40% - 强调文字颜色 5 3 18" xfId="7101"/>
    <cellStyle name="40% - 强调文字颜色 5 3 19" xfId="7102"/>
    <cellStyle name="40% - 强调文字颜色 5 3 2" xfId="7103"/>
    <cellStyle name="40% - 强调文字颜色 5 3 2 10" xfId="7104"/>
    <cellStyle name="40% - 强调文字颜色 5 3 2 11" xfId="7105"/>
    <cellStyle name="40% - 强调文字颜色 5 3 2 12" xfId="7106"/>
    <cellStyle name="40% - 强调文字颜色 5 3 2 13" xfId="7107"/>
    <cellStyle name="40% - 强调文字颜色 5 3 2 14" xfId="7108"/>
    <cellStyle name="40% - 强调文字颜色 5 3 2 15" xfId="7109"/>
    <cellStyle name="40% - 强调文字颜色 5 3 2 16" xfId="7110"/>
    <cellStyle name="40% - 强调文字颜色 5 3 2 17" xfId="7111"/>
    <cellStyle name="40% - 强调文字颜色 5 3 2 18" xfId="7112"/>
    <cellStyle name="40% - 强调文字颜色 5 3 2 19" xfId="7113"/>
    <cellStyle name="40% - 强调文字颜色 5 3 2 2" xfId="7114"/>
    <cellStyle name="40% - 强调文字颜色 5 3 2 20" xfId="7115"/>
    <cellStyle name="40% - 强调文字颜色 5 3 2 21" xfId="7116"/>
    <cellStyle name="40% - 强调文字颜色 5 3 2 22" xfId="7117"/>
    <cellStyle name="40% - 强调文字颜色 5 3 2 23" xfId="7118"/>
    <cellStyle name="40% - 强调文字颜色 5 3 2 24" xfId="7119"/>
    <cellStyle name="40% - 强调文字颜色 5 3 2 25" xfId="7120"/>
    <cellStyle name="40% - 强调文字颜色 5 3 2 26" xfId="7121"/>
    <cellStyle name="40% - 强调文字颜色 5 3 2 27" xfId="7122"/>
    <cellStyle name="40% - 强调文字颜色 5 3 2 3" xfId="7123"/>
    <cellStyle name="40% - 强调文字颜色 5 3 2 4" xfId="7124"/>
    <cellStyle name="40% - 强调文字颜色 5 3 2 5" xfId="7125"/>
    <cellStyle name="40% - 强调文字颜色 5 3 2 6" xfId="7126"/>
    <cellStyle name="40% - 强调文字颜色 5 3 2 7" xfId="7127"/>
    <cellStyle name="40% - 强调文字颜色 5 3 2 8" xfId="7128"/>
    <cellStyle name="40% - 强调文字颜色 5 3 2 9" xfId="7129"/>
    <cellStyle name="40% - 强调文字颜色 5 3 20" xfId="7130"/>
    <cellStyle name="40% - 强调文字颜色 5 3 21" xfId="7131"/>
    <cellStyle name="40% - 强调文字颜色 5 3 22" xfId="7132"/>
    <cellStyle name="40% - 强调文字颜色 5 3 23" xfId="7133"/>
    <cellStyle name="40% - 强调文字颜色 5 3 24" xfId="7134"/>
    <cellStyle name="40% - 强调文字颜色 5 3 25" xfId="7135"/>
    <cellStyle name="40% - 强调文字颜色 5 3 26" xfId="7136"/>
    <cellStyle name="40% - 强调文字颜色 5 3 27" xfId="7137"/>
    <cellStyle name="40% - 强调文字颜色 5 3 28" xfId="7138"/>
    <cellStyle name="40% - 强调文字颜色 5 3 3" xfId="7139"/>
    <cellStyle name="40% - 强调文字颜色 5 3 4" xfId="7140"/>
    <cellStyle name="40% - 强调文字颜色 5 3 5" xfId="7141"/>
    <cellStyle name="40% - 强调文字颜色 5 3 6" xfId="7142"/>
    <cellStyle name="40% - 强调文字颜色 5 3 7" xfId="7143"/>
    <cellStyle name="40% - 强调文字颜色 5 3 8" xfId="7144"/>
    <cellStyle name="40% - 强调文字颜色 5 3 9" xfId="7145"/>
    <cellStyle name="40% - 强调文字颜色 5 30" xfId="7146"/>
    <cellStyle name="40% - 强调文字颜色 5 31" xfId="7147"/>
    <cellStyle name="40% - 强调文字颜色 5 32" xfId="7148"/>
    <cellStyle name="40% - 强调文字颜色 5 33" xfId="7149"/>
    <cellStyle name="40% - 强调文字颜色 5 34" xfId="7150"/>
    <cellStyle name="40% - 强调文字颜色 5 35" xfId="7151"/>
    <cellStyle name="40% - 强调文字颜色 5 36" xfId="7152"/>
    <cellStyle name="40% - 强调文字颜色 5 37" xfId="7153"/>
    <cellStyle name="40% - 强调文字颜色 5 38" xfId="7154"/>
    <cellStyle name="40% - 强调文字颜色 5 39" xfId="7155"/>
    <cellStyle name="40% - 强调文字颜色 5 4" xfId="7156"/>
    <cellStyle name="40% - 强调文字颜色 5 4 10" xfId="7157"/>
    <cellStyle name="40% - 强调文字颜色 5 4 11" xfId="7158"/>
    <cellStyle name="40% - 强调文字颜色 5 4 12" xfId="7159"/>
    <cellStyle name="40% - 强调文字颜色 5 4 13" xfId="7160"/>
    <cellStyle name="40% - 强调文字颜色 5 4 14" xfId="7161"/>
    <cellStyle name="40% - 强调文字颜色 5 4 15" xfId="7162"/>
    <cellStyle name="40% - 强调文字颜色 5 4 16" xfId="7163"/>
    <cellStyle name="40% - 强调文字颜色 5 4 17" xfId="7164"/>
    <cellStyle name="40% - 强调文字颜色 5 4 18" xfId="7165"/>
    <cellStyle name="40% - 强调文字颜色 5 4 19" xfId="7166"/>
    <cellStyle name="40% - 强调文字颜色 5 4 2" xfId="7167"/>
    <cellStyle name="40% - 强调文字颜色 5 4 2 10" xfId="7168"/>
    <cellStyle name="40% - 强调文字颜色 5 4 2 11" xfId="7169"/>
    <cellStyle name="40% - 强调文字颜色 5 4 2 12" xfId="7170"/>
    <cellStyle name="40% - 强调文字颜色 5 4 2 13" xfId="7171"/>
    <cellStyle name="40% - 强调文字颜色 5 4 2 14" xfId="7172"/>
    <cellStyle name="40% - 强调文字颜色 5 4 2 15" xfId="7173"/>
    <cellStyle name="40% - 强调文字颜色 5 4 2 16" xfId="7174"/>
    <cellStyle name="40% - 强调文字颜色 5 4 2 17" xfId="7175"/>
    <cellStyle name="40% - 强调文字颜色 5 4 2 18" xfId="7176"/>
    <cellStyle name="40% - 强调文字颜色 5 4 2 19" xfId="7177"/>
    <cellStyle name="40% - 强调文字颜色 5 4 2 2" xfId="7178"/>
    <cellStyle name="40% - 强调文字颜色 5 4 2 20" xfId="7179"/>
    <cellStyle name="40% - 强调文字颜色 5 4 2 21" xfId="7180"/>
    <cellStyle name="40% - 强调文字颜色 5 4 2 22" xfId="7181"/>
    <cellStyle name="40% - 强调文字颜色 5 4 2 23" xfId="7182"/>
    <cellStyle name="40% - 强调文字颜色 5 4 2 24" xfId="7183"/>
    <cellStyle name="40% - 强调文字颜色 5 4 2 25" xfId="7184"/>
    <cellStyle name="40% - 强调文字颜色 5 4 2 26" xfId="7185"/>
    <cellStyle name="40% - 强调文字颜色 5 4 2 27" xfId="7186"/>
    <cellStyle name="40% - 强调文字颜色 5 4 2 3" xfId="7187"/>
    <cellStyle name="40% - 强调文字颜色 5 4 2 4" xfId="7188"/>
    <cellStyle name="40% - 强调文字颜色 5 4 2 5" xfId="7189"/>
    <cellStyle name="40% - 强调文字颜色 5 4 2 6" xfId="7190"/>
    <cellStyle name="40% - 强调文字颜色 5 4 2 7" xfId="7191"/>
    <cellStyle name="40% - 强调文字颜色 5 4 2 8" xfId="7192"/>
    <cellStyle name="40% - 强调文字颜色 5 4 2 9" xfId="7193"/>
    <cellStyle name="40% - 强调文字颜色 5 4 20" xfId="7194"/>
    <cellStyle name="40% - 强调文字颜色 5 4 21" xfId="7195"/>
    <cellStyle name="40% - 强调文字颜色 5 4 22" xfId="7196"/>
    <cellStyle name="40% - 强调文字颜色 5 4 23" xfId="7197"/>
    <cellStyle name="40% - 强调文字颜色 5 4 24" xfId="7198"/>
    <cellStyle name="40% - 强调文字颜色 5 4 25" xfId="7199"/>
    <cellStyle name="40% - 强调文字颜色 5 4 26" xfId="7200"/>
    <cellStyle name="40% - 强调文字颜色 5 4 27" xfId="7201"/>
    <cellStyle name="40% - 强调文字颜色 5 4 28" xfId="7202"/>
    <cellStyle name="40% - 强调文字颜色 5 4 3" xfId="7203"/>
    <cellStyle name="40% - 强调文字颜色 5 4 4" xfId="7204"/>
    <cellStyle name="40% - 强调文字颜色 5 4 5" xfId="7205"/>
    <cellStyle name="40% - 强调文字颜色 5 4 6" xfId="7206"/>
    <cellStyle name="40% - 强调文字颜色 5 4 7" xfId="7207"/>
    <cellStyle name="40% - 强调文字颜色 5 4 8" xfId="7208"/>
    <cellStyle name="40% - 强调文字颜色 5 4 9" xfId="7209"/>
    <cellStyle name="40% - 强调文字颜色 5 40" xfId="7210"/>
    <cellStyle name="40% - 强调文字颜色 5 5" xfId="7211"/>
    <cellStyle name="40% - 强调文字颜色 5 5 10" xfId="7212"/>
    <cellStyle name="40% - 强调文字颜色 5 5 11" xfId="7213"/>
    <cellStyle name="40% - 强调文字颜色 5 5 12" xfId="7214"/>
    <cellStyle name="40% - 强调文字颜色 5 5 13" xfId="7215"/>
    <cellStyle name="40% - 强调文字颜色 5 5 14" xfId="7216"/>
    <cellStyle name="40% - 强调文字颜色 5 5 15" xfId="7217"/>
    <cellStyle name="40% - 强调文字颜色 5 5 16" xfId="7218"/>
    <cellStyle name="40% - 强调文字颜色 5 5 17" xfId="7219"/>
    <cellStyle name="40% - 强调文字颜色 5 5 18" xfId="7220"/>
    <cellStyle name="40% - 强调文字颜色 5 5 19" xfId="7221"/>
    <cellStyle name="40% - 强调文字颜色 5 5 2" xfId="7222"/>
    <cellStyle name="40% - 强调文字颜色 5 5 2 10" xfId="7223"/>
    <cellStyle name="40% - 强调文字颜色 5 5 2 11" xfId="7224"/>
    <cellStyle name="40% - 强调文字颜色 5 5 2 12" xfId="7225"/>
    <cellStyle name="40% - 强调文字颜色 5 5 2 13" xfId="7226"/>
    <cellStyle name="40% - 强调文字颜色 5 5 2 14" xfId="7227"/>
    <cellStyle name="40% - 强调文字颜色 5 5 2 15" xfId="7228"/>
    <cellStyle name="40% - 强调文字颜色 5 5 2 16" xfId="7229"/>
    <cellStyle name="40% - 强调文字颜色 5 5 2 17" xfId="7230"/>
    <cellStyle name="40% - 强调文字颜色 5 5 2 18" xfId="7231"/>
    <cellStyle name="40% - 强调文字颜色 5 5 2 19" xfId="7232"/>
    <cellStyle name="40% - 强调文字颜色 5 5 2 2" xfId="7233"/>
    <cellStyle name="40% - 强调文字颜色 5 5 2 20" xfId="7234"/>
    <cellStyle name="40% - 强调文字颜色 5 5 2 21" xfId="7235"/>
    <cellStyle name="40% - 强调文字颜色 5 5 2 22" xfId="7236"/>
    <cellStyle name="40% - 强调文字颜色 5 5 2 23" xfId="7237"/>
    <cellStyle name="40% - 强调文字颜色 5 5 2 24" xfId="7238"/>
    <cellStyle name="40% - 强调文字颜色 5 5 2 25" xfId="7239"/>
    <cellStyle name="40% - 强调文字颜色 5 5 2 26" xfId="7240"/>
    <cellStyle name="40% - 强调文字颜色 5 5 2 27" xfId="7241"/>
    <cellStyle name="40% - 强调文字颜色 5 5 2 3" xfId="7242"/>
    <cellStyle name="40% - 强调文字颜色 5 5 2 4" xfId="7243"/>
    <cellStyle name="40% - 强调文字颜色 5 5 2 5" xfId="7244"/>
    <cellStyle name="40% - 强调文字颜色 5 5 2 6" xfId="7245"/>
    <cellStyle name="40% - 强调文字颜色 5 5 2 7" xfId="7246"/>
    <cellStyle name="40% - 强调文字颜色 5 5 2 8" xfId="7247"/>
    <cellStyle name="40% - 强调文字颜色 5 5 2 9" xfId="7248"/>
    <cellStyle name="40% - 强调文字颜色 5 5 20" xfId="7249"/>
    <cellStyle name="40% - 强调文字颜色 5 5 21" xfId="7250"/>
    <cellStyle name="40% - 强调文字颜色 5 5 22" xfId="7251"/>
    <cellStyle name="40% - 强调文字颜色 5 5 23" xfId="7252"/>
    <cellStyle name="40% - 强调文字颜色 5 5 24" xfId="7253"/>
    <cellStyle name="40% - 强调文字颜色 5 5 25" xfId="7254"/>
    <cellStyle name="40% - 强调文字颜色 5 5 26" xfId="7255"/>
    <cellStyle name="40% - 强调文字颜色 5 5 27" xfId="7256"/>
    <cellStyle name="40% - 强调文字颜色 5 5 28" xfId="7257"/>
    <cellStyle name="40% - 强调文字颜色 5 5 3" xfId="7258"/>
    <cellStyle name="40% - 强调文字颜色 5 5 4" xfId="7259"/>
    <cellStyle name="40% - 强调文字颜色 5 5 5" xfId="7260"/>
    <cellStyle name="40% - 强调文字颜色 5 5 6" xfId="7261"/>
    <cellStyle name="40% - 强调文字颜色 5 5 7" xfId="7262"/>
    <cellStyle name="40% - 强调文字颜色 5 5 8" xfId="7263"/>
    <cellStyle name="40% - 强调文字颜色 5 5 9" xfId="7264"/>
    <cellStyle name="40% - 强调文字颜色 5 6" xfId="7265"/>
    <cellStyle name="40% - 强调文字颜色 5 6 10" xfId="7266"/>
    <cellStyle name="40% - 强调文字颜色 5 6 11" xfId="7267"/>
    <cellStyle name="40% - 强调文字颜色 5 6 12" xfId="7268"/>
    <cellStyle name="40% - 强调文字颜色 5 6 13" xfId="7269"/>
    <cellStyle name="40% - 强调文字颜色 5 6 14" xfId="7270"/>
    <cellStyle name="40% - 强调文字颜色 5 6 15" xfId="7271"/>
    <cellStyle name="40% - 强调文字颜色 5 6 16" xfId="7272"/>
    <cellStyle name="40% - 强调文字颜色 5 6 17" xfId="7273"/>
    <cellStyle name="40% - 强调文字颜色 5 6 18" xfId="7274"/>
    <cellStyle name="40% - 强调文字颜色 5 6 19" xfId="7275"/>
    <cellStyle name="40% - 强调文字颜色 5 6 2" xfId="7276"/>
    <cellStyle name="40% - 强调文字颜色 5 6 2 10" xfId="7277"/>
    <cellStyle name="40% - 强调文字颜色 5 6 2 11" xfId="7278"/>
    <cellStyle name="40% - 强调文字颜色 5 6 2 12" xfId="7279"/>
    <cellStyle name="40% - 强调文字颜色 5 6 2 13" xfId="7280"/>
    <cellStyle name="40% - 强调文字颜色 5 6 2 14" xfId="7281"/>
    <cellStyle name="40% - 强调文字颜色 5 6 2 15" xfId="7282"/>
    <cellStyle name="40% - 强调文字颜色 5 6 2 16" xfId="7283"/>
    <cellStyle name="40% - 强调文字颜色 5 6 2 17" xfId="7284"/>
    <cellStyle name="40% - 强调文字颜色 5 6 2 18" xfId="7285"/>
    <cellStyle name="40% - 强调文字颜色 5 6 2 19" xfId="7286"/>
    <cellStyle name="40% - 强调文字颜色 5 6 2 2" xfId="7287"/>
    <cellStyle name="40% - 强调文字颜色 5 6 2 20" xfId="7288"/>
    <cellStyle name="40% - 强调文字颜色 5 6 2 21" xfId="7289"/>
    <cellStyle name="40% - 强调文字颜色 5 6 2 22" xfId="7290"/>
    <cellStyle name="40% - 强调文字颜色 5 6 2 23" xfId="7291"/>
    <cellStyle name="40% - 强调文字颜色 5 6 2 24" xfId="7292"/>
    <cellStyle name="40% - 强调文字颜色 5 6 2 25" xfId="7293"/>
    <cellStyle name="40% - 强调文字颜色 5 6 2 26" xfId="7294"/>
    <cellStyle name="40% - 强调文字颜色 5 6 2 27" xfId="7295"/>
    <cellStyle name="40% - 强调文字颜色 5 6 2 3" xfId="7296"/>
    <cellStyle name="40% - 强调文字颜色 5 6 2 4" xfId="7297"/>
    <cellStyle name="40% - 强调文字颜色 5 6 2 5" xfId="7298"/>
    <cellStyle name="40% - 强调文字颜色 5 6 2 6" xfId="7299"/>
    <cellStyle name="40% - 强调文字颜色 5 6 2 7" xfId="7300"/>
    <cellStyle name="40% - 强调文字颜色 5 6 2 8" xfId="7301"/>
    <cellStyle name="40% - 强调文字颜色 5 6 2 9" xfId="7302"/>
    <cellStyle name="40% - 强调文字颜色 5 6 20" xfId="7303"/>
    <cellStyle name="40% - 强调文字颜色 5 6 21" xfId="7304"/>
    <cellStyle name="40% - 强调文字颜色 5 6 22" xfId="7305"/>
    <cellStyle name="40% - 强调文字颜色 5 6 23" xfId="7306"/>
    <cellStyle name="40% - 强调文字颜色 5 6 24" xfId="7307"/>
    <cellStyle name="40% - 强调文字颜色 5 6 25" xfId="7308"/>
    <cellStyle name="40% - 强调文字颜色 5 6 26" xfId="7309"/>
    <cellStyle name="40% - 强调文字颜色 5 6 27" xfId="7310"/>
    <cellStyle name="40% - 强调文字颜色 5 6 28" xfId="7311"/>
    <cellStyle name="40% - 强调文字颜色 5 6 3" xfId="7312"/>
    <cellStyle name="40% - 强调文字颜色 5 6 4" xfId="7313"/>
    <cellStyle name="40% - 强调文字颜色 5 6 5" xfId="7314"/>
    <cellStyle name="40% - 强调文字颜色 5 6 6" xfId="7315"/>
    <cellStyle name="40% - 强调文字颜色 5 6 7" xfId="7316"/>
    <cellStyle name="40% - 强调文字颜色 5 6 8" xfId="7317"/>
    <cellStyle name="40% - 强调文字颜色 5 6 9" xfId="7318"/>
    <cellStyle name="40% - 强调文字颜色 5 7" xfId="7319"/>
    <cellStyle name="40% - 强调文字颜色 5 7 10" xfId="7320"/>
    <cellStyle name="40% - 强调文字颜色 5 7 11" xfId="7321"/>
    <cellStyle name="40% - 强调文字颜色 5 7 12" xfId="7322"/>
    <cellStyle name="40% - 强调文字颜色 5 7 13" xfId="7323"/>
    <cellStyle name="40% - 强调文字颜色 5 7 14" xfId="7324"/>
    <cellStyle name="40% - 强调文字颜色 5 7 15" xfId="7325"/>
    <cellStyle name="40% - 强调文字颜色 5 7 16" xfId="7326"/>
    <cellStyle name="40% - 强调文字颜色 5 7 17" xfId="7327"/>
    <cellStyle name="40% - 强调文字颜色 5 7 18" xfId="7328"/>
    <cellStyle name="40% - 强调文字颜色 5 7 19" xfId="7329"/>
    <cellStyle name="40% - 强调文字颜色 5 7 2" xfId="7330"/>
    <cellStyle name="40% - 强调文字颜色 5 7 2 10" xfId="7331"/>
    <cellStyle name="40% - 强调文字颜色 5 7 2 11" xfId="7332"/>
    <cellStyle name="40% - 强调文字颜色 5 7 2 12" xfId="7333"/>
    <cellStyle name="40% - 强调文字颜色 5 7 2 13" xfId="7334"/>
    <cellStyle name="40% - 强调文字颜色 5 7 2 14" xfId="7335"/>
    <cellStyle name="40% - 强调文字颜色 5 7 2 15" xfId="7336"/>
    <cellStyle name="40% - 强调文字颜色 5 7 2 16" xfId="7337"/>
    <cellStyle name="40% - 强调文字颜色 5 7 2 17" xfId="7338"/>
    <cellStyle name="40% - 强调文字颜色 5 7 2 18" xfId="7339"/>
    <cellStyle name="40% - 强调文字颜色 5 7 2 19" xfId="7340"/>
    <cellStyle name="40% - 强调文字颜色 5 7 2 2" xfId="7341"/>
    <cellStyle name="40% - 强调文字颜色 5 7 2 20" xfId="7342"/>
    <cellStyle name="40% - 强调文字颜色 5 7 2 21" xfId="7343"/>
    <cellStyle name="40% - 强调文字颜色 5 7 2 22" xfId="7344"/>
    <cellStyle name="40% - 强调文字颜色 5 7 2 23" xfId="7345"/>
    <cellStyle name="40% - 强调文字颜色 5 7 2 24" xfId="7346"/>
    <cellStyle name="40% - 强调文字颜色 5 7 2 25" xfId="7347"/>
    <cellStyle name="40% - 强调文字颜色 5 7 2 26" xfId="7348"/>
    <cellStyle name="40% - 强调文字颜色 5 7 2 27" xfId="7349"/>
    <cellStyle name="40% - 强调文字颜色 5 7 2 3" xfId="7350"/>
    <cellStyle name="40% - 强调文字颜色 5 7 2 4" xfId="7351"/>
    <cellStyle name="40% - 强调文字颜色 5 7 2 5" xfId="7352"/>
    <cellStyle name="40% - 强调文字颜色 5 7 2 6" xfId="7353"/>
    <cellStyle name="40% - 强调文字颜色 5 7 2 7" xfId="7354"/>
    <cellStyle name="40% - 强调文字颜色 5 7 2 8" xfId="7355"/>
    <cellStyle name="40% - 强调文字颜色 5 7 2 9" xfId="7356"/>
    <cellStyle name="40% - 强调文字颜色 5 7 20" xfId="7357"/>
    <cellStyle name="40% - 强调文字颜色 5 7 21" xfId="7358"/>
    <cellStyle name="40% - 强调文字颜色 5 7 22" xfId="7359"/>
    <cellStyle name="40% - 强调文字颜色 5 7 23" xfId="7360"/>
    <cellStyle name="40% - 强调文字颜色 5 7 24" xfId="7361"/>
    <cellStyle name="40% - 强调文字颜色 5 7 25" xfId="7362"/>
    <cellStyle name="40% - 强调文字颜色 5 7 26" xfId="7363"/>
    <cellStyle name="40% - 强调文字颜色 5 7 27" xfId="7364"/>
    <cellStyle name="40% - 强调文字颜色 5 7 28" xfId="7365"/>
    <cellStyle name="40% - 强调文字颜色 5 7 3" xfId="7366"/>
    <cellStyle name="40% - 强调文字颜色 5 7 4" xfId="7367"/>
    <cellStyle name="40% - 强调文字颜色 5 7 5" xfId="7368"/>
    <cellStyle name="40% - 强调文字颜色 5 7 6" xfId="7369"/>
    <cellStyle name="40% - 强调文字颜色 5 7 7" xfId="7370"/>
    <cellStyle name="40% - 强调文字颜色 5 7 8" xfId="7371"/>
    <cellStyle name="40% - 强调文字颜色 5 7 9" xfId="7372"/>
    <cellStyle name="40% - 强调文字颜色 5 8" xfId="7373"/>
    <cellStyle name="40% - 强调文字颜色 5 8 10" xfId="7374"/>
    <cellStyle name="40% - 强调文字颜色 5 8 11" xfId="7375"/>
    <cellStyle name="40% - 强调文字颜色 5 8 12" xfId="7376"/>
    <cellStyle name="40% - 强调文字颜色 5 8 13" xfId="7377"/>
    <cellStyle name="40% - 强调文字颜色 5 8 14" xfId="7378"/>
    <cellStyle name="40% - 强调文字颜色 5 8 15" xfId="7379"/>
    <cellStyle name="40% - 强调文字颜色 5 8 16" xfId="7380"/>
    <cellStyle name="40% - 强调文字颜色 5 8 17" xfId="7381"/>
    <cellStyle name="40% - 强调文字颜色 5 8 18" xfId="7382"/>
    <cellStyle name="40% - 强调文字颜色 5 8 19" xfId="7383"/>
    <cellStyle name="40% - 强调文字颜色 5 8 2" xfId="7384"/>
    <cellStyle name="40% - 强调文字颜色 5 8 2 10" xfId="7385"/>
    <cellStyle name="40% - 强调文字颜色 5 8 2 11" xfId="7386"/>
    <cellStyle name="40% - 强调文字颜色 5 8 2 12" xfId="7387"/>
    <cellStyle name="40% - 强调文字颜色 5 8 2 13" xfId="7388"/>
    <cellStyle name="40% - 强调文字颜色 5 8 2 14" xfId="7389"/>
    <cellStyle name="40% - 强调文字颜色 5 8 2 15" xfId="7390"/>
    <cellStyle name="40% - 强调文字颜色 5 8 2 16" xfId="7391"/>
    <cellStyle name="40% - 强调文字颜色 5 8 2 17" xfId="7392"/>
    <cellStyle name="40% - 强调文字颜色 5 8 2 18" xfId="7393"/>
    <cellStyle name="40% - 强调文字颜色 5 8 2 19" xfId="7394"/>
    <cellStyle name="40% - 强调文字颜色 5 8 2 2" xfId="7395"/>
    <cellStyle name="40% - 强调文字颜色 5 8 2 20" xfId="7396"/>
    <cellStyle name="40% - 强调文字颜色 5 8 2 21" xfId="7397"/>
    <cellStyle name="40% - 强调文字颜色 5 8 2 22" xfId="7398"/>
    <cellStyle name="40% - 强调文字颜色 5 8 2 23" xfId="7399"/>
    <cellStyle name="40% - 强调文字颜色 5 8 2 24" xfId="7400"/>
    <cellStyle name="40% - 强调文字颜色 5 8 2 25" xfId="7401"/>
    <cellStyle name="40% - 强调文字颜色 5 8 2 26" xfId="7402"/>
    <cellStyle name="40% - 强调文字颜色 5 8 2 27" xfId="7403"/>
    <cellStyle name="40% - 强调文字颜色 5 8 2 3" xfId="7404"/>
    <cellStyle name="40% - 强调文字颜色 5 8 2 4" xfId="7405"/>
    <cellStyle name="40% - 强调文字颜色 5 8 2 5" xfId="7406"/>
    <cellStyle name="40% - 强调文字颜色 5 8 2 6" xfId="7407"/>
    <cellStyle name="40% - 强调文字颜色 5 8 2 7" xfId="7408"/>
    <cellStyle name="40% - 强调文字颜色 5 8 2 8" xfId="7409"/>
    <cellStyle name="40% - 强调文字颜色 5 8 2 9" xfId="7410"/>
    <cellStyle name="40% - 强调文字颜色 5 8 20" xfId="7411"/>
    <cellStyle name="40% - 强调文字颜色 5 8 21" xfId="7412"/>
    <cellStyle name="40% - 强调文字颜色 5 8 22" xfId="7413"/>
    <cellStyle name="40% - 强调文字颜色 5 8 23" xfId="7414"/>
    <cellStyle name="40% - 强调文字颜色 5 8 24" xfId="7415"/>
    <cellStyle name="40% - 强调文字颜色 5 8 25" xfId="7416"/>
    <cellStyle name="40% - 强调文字颜色 5 8 26" xfId="7417"/>
    <cellStyle name="40% - 强调文字颜色 5 8 27" xfId="7418"/>
    <cellStyle name="40% - 强调文字颜色 5 8 28" xfId="7419"/>
    <cellStyle name="40% - 强调文字颜色 5 8 3" xfId="7420"/>
    <cellStyle name="40% - 强调文字颜色 5 8 4" xfId="7421"/>
    <cellStyle name="40% - 强调文字颜色 5 8 5" xfId="7422"/>
    <cellStyle name="40% - 强调文字颜色 5 8 6" xfId="7423"/>
    <cellStyle name="40% - 强调文字颜色 5 8 7" xfId="7424"/>
    <cellStyle name="40% - 强调文字颜色 5 8 8" xfId="7425"/>
    <cellStyle name="40% - 强调文字颜色 5 8 9" xfId="7426"/>
    <cellStyle name="40% - 强调文字颜色 5 9" xfId="7427"/>
    <cellStyle name="40% - 强调文字颜色 5 9 10" xfId="7428"/>
    <cellStyle name="40% - 强调文字颜色 5 9 11" xfId="7429"/>
    <cellStyle name="40% - 强调文字颜色 5 9 12" xfId="7430"/>
    <cellStyle name="40% - 强调文字颜色 5 9 13" xfId="7431"/>
    <cellStyle name="40% - 强调文字颜色 5 9 14" xfId="7432"/>
    <cellStyle name="40% - 强调文字颜色 5 9 15" xfId="7433"/>
    <cellStyle name="40% - 强调文字颜色 5 9 16" xfId="7434"/>
    <cellStyle name="40% - 强调文字颜色 5 9 17" xfId="7435"/>
    <cellStyle name="40% - 强调文字颜色 5 9 18" xfId="7436"/>
    <cellStyle name="40% - 强调文字颜色 5 9 19" xfId="7437"/>
    <cellStyle name="40% - 强调文字颜色 5 9 2" xfId="7438"/>
    <cellStyle name="40% - 强调文字颜色 5 9 2 10" xfId="7439"/>
    <cellStyle name="40% - 强调文字颜色 5 9 2 11" xfId="7440"/>
    <cellStyle name="40% - 强调文字颜色 5 9 2 12" xfId="7441"/>
    <cellStyle name="40% - 强调文字颜色 5 9 2 13" xfId="7442"/>
    <cellStyle name="40% - 强调文字颜色 5 9 2 14" xfId="7443"/>
    <cellStyle name="40% - 强调文字颜色 5 9 2 15" xfId="7444"/>
    <cellStyle name="40% - 强调文字颜色 5 9 2 16" xfId="7445"/>
    <cellStyle name="40% - 强调文字颜色 5 9 2 17" xfId="7446"/>
    <cellStyle name="40% - 强调文字颜色 5 9 2 18" xfId="7447"/>
    <cellStyle name="40% - 强调文字颜色 5 9 2 19" xfId="7448"/>
    <cellStyle name="40% - 强调文字颜色 5 9 2 2" xfId="7449"/>
    <cellStyle name="40% - 强调文字颜色 5 9 2 20" xfId="7450"/>
    <cellStyle name="40% - 强调文字颜色 5 9 2 21" xfId="7451"/>
    <cellStyle name="40% - 强调文字颜色 5 9 2 22" xfId="7452"/>
    <cellStyle name="40% - 强调文字颜色 5 9 2 23" xfId="7453"/>
    <cellStyle name="40% - 强调文字颜色 5 9 2 24" xfId="7454"/>
    <cellStyle name="40% - 强调文字颜色 5 9 2 25" xfId="7455"/>
    <cellStyle name="40% - 强调文字颜色 5 9 2 26" xfId="7456"/>
    <cellStyle name="40% - 强调文字颜色 5 9 2 27" xfId="7457"/>
    <cellStyle name="40% - 强调文字颜色 5 9 2 3" xfId="7458"/>
    <cellStyle name="40% - 强调文字颜色 5 9 2 4" xfId="7459"/>
    <cellStyle name="40% - 强调文字颜色 5 9 2 5" xfId="7460"/>
    <cellStyle name="40% - 强调文字颜色 5 9 2 6" xfId="7461"/>
    <cellStyle name="40% - 强调文字颜色 5 9 2 7" xfId="7462"/>
    <cellStyle name="40% - 强调文字颜色 5 9 2 8" xfId="7463"/>
    <cellStyle name="40% - 强调文字颜色 5 9 2 9" xfId="7464"/>
    <cellStyle name="40% - 强调文字颜色 5 9 20" xfId="7465"/>
    <cellStyle name="40% - 强调文字颜色 5 9 21" xfId="7466"/>
    <cellStyle name="40% - 强调文字颜色 5 9 22" xfId="7467"/>
    <cellStyle name="40% - 强调文字颜色 5 9 23" xfId="7468"/>
    <cellStyle name="40% - 强调文字颜色 5 9 24" xfId="7469"/>
    <cellStyle name="40% - 强调文字颜色 5 9 25" xfId="7470"/>
    <cellStyle name="40% - 强调文字颜色 5 9 26" xfId="7471"/>
    <cellStyle name="40% - 强调文字颜色 5 9 27" xfId="7472"/>
    <cellStyle name="40% - 强调文字颜色 5 9 28" xfId="7473"/>
    <cellStyle name="40% - 强调文字颜色 5 9 3" xfId="7474"/>
    <cellStyle name="40% - 强调文字颜色 5 9 4" xfId="7475"/>
    <cellStyle name="40% - 强调文字颜色 5 9 5" xfId="7476"/>
    <cellStyle name="40% - 强调文字颜色 5 9 6" xfId="7477"/>
    <cellStyle name="40% - 强调文字颜色 5 9 7" xfId="7478"/>
    <cellStyle name="40% - 强调文字颜色 5 9 8" xfId="7479"/>
    <cellStyle name="40% - 强调文字颜色 5 9 9" xfId="7480"/>
    <cellStyle name="40% - 强调文字颜色 6 10" xfId="7481"/>
    <cellStyle name="40% - 强调文字颜色 6 10 10" xfId="7482"/>
    <cellStyle name="40% - 强调文字颜色 6 10 11" xfId="7483"/>
    <cellStyle name="40% - 强调文字颜色 6 10 12" xfId="7484"/>
    <cellStyle name="40% - 强调文字颜色 6 10 13" xfId="7485"/>
    <cellStyle name="40% - 强调文字颜色 6 10 14" xfId="7486"/>
    <cellStyle name="40% - 强调文字颜色 6 10 15" xfId="7487"/>
    <cellStyle name="40% - 强调文字颜色 6 10 16" xfId="7488"/>
    <cellStyle name="40% - 强调文字颜色 6 10 17" xfId="7489"/>
    <cellStyle name="40% - 强调文字颜色 6 10 18" xfId="7490"/>
    <cellStyle name="40% - 强调文字颜色 6 10 19" xfId="7491"/>
    <cellStyle name="40% - 强调文字颜色 6 10 2" xfId="7492"/>
    <cellStyle name="40% - 强调文字颜色 6 10 2 10" xfId="7493"/>
    <cellStyle name="40% - 强调文字颜色 6 10 2 11" xfId="7494"/>
    <cellStyle name="40% - 强调文字颜色 6 10 2 12" xfId="7495"/>
    <cellStyle name="40% - 强调文字颜色 6 10 2 13" xfId="7496"/>
    <cellStyle name="40% - 强调文字颜色 6 10 2 14" xfId="7497"/>
    <cellStyle name="40% - 强调文字颜色 6 10 2 15" xfId="7498"/>
    <cellStyle name="40% - 强调文字颜色 6 10 2 16" xfId="7499"/>
    <cellStyle name="40% - 强调文字颜色 6 10 2 17" xfId="7500"/>
    <cellStyle name="40% - 强调文字颜色 6 10 2 18" xfId="7501"/>
    <cellStyle name="40% - 强调文字颜色 6 10 2 19" xfId="7502"/>
    <cellStyle name="40% - 强调文字颜色 6 10 2 2" xfId="7503"/>
    <cellStyle name="40% - 强调文字颜色 6 10 2 20" xfId="7504"/>
    <cellStyle name="40% - 强调文字颜色 6 10 2 21" xfId="7505"/>
    <cellStyle name="40% - 强调文字颜色 6 10 2 22" xfId="7506"/>
    <cellStyle name="40% - 强调文字颜色 6 10 2 23" xfId="7507"/>
    <cellStyle name="40% - 强调文字颜色 6 10 2 24" xfId="7508"/>
    <cellStyle name="40% - 强调文字颜色 6 10 2 25" xfId="7509"/>
    <cellStyle name="40% - 强调文字颜色 6 10 2 26" xfId="7510"/>
    <cellStyle name="40% - 强调文字颜色 6 10 2 27" xfId="7511"/>
    <cellStyle name="40% - 强调文字颜色 6 10 2 3" xfId="7512"/>
    <cellStyle name="40% - 强调文字颜色 6 10 2 4" xfId="7513"/>
    <cellStyle name="40% - 强调文字颜色 6 10 2 5" xfId="7514"/>
    <cellStyle name="40% - 强调文字颜色 6 10 2 6" xfId="7515"/>
    <cellStyle name="40% - 强调文字颜色 6 10 2 7" xfId="7516"/>
    <cellStyle name="40% - 强调文字颜色 6 10 2 8" xfId="7517"/>
    <cellStyle name="40% - 强调文字颜色 6 10 2 9" xfId="7518"/>
    <cellStyle name="40% - 强调文字颜色 6 10 20" xfId="7519"/>
    <cellStyle name="40% - 强调文字颜色 6 10 21" xfId="7520"/>
    <cellStyle name="40% - 强调文字颜色 6 10 22" xfId="7521"/>
    <cellStyle name="40% - 强调文字颜色 6 10 23" xfId="7522"/>
    <cellStyle name="40% - 强调文字颜色 6 10 24" xfId="7523"/>
    <cellStyle name="40% - 强调文字颜色 6 10 25" xfId="7524"/>
    <cellStyle name="40% - 强调文字颜色 6 10 26" xfId="7525"/>
    <cellStyle name="40% - 强调文字颜色 6 10 27" xfId="7526"/>
    <cellStyle name="40% - 强调文字颜色 6 10 28" xfId="7527"/>
    <cellStyle name="40% - 强调文字颜色 6 10 3" xfId="7528"/>
    <cellStyle name="40% - 强调文字颜色 6 10 4" xfId="7529"/>
    <cellStyle name="40% - 强调文字颜色 6 10 5" xfId="7530"/>
    <cellStyle name="40% - 强调文字颜色 6 10 6" xfId="7531"/>
    <cellStyle name="40% - 强调文字颜色 6 10 7" xfId="7532"/>
    <cellStyle name="40% - 强调文字颜色 6 10 8" xfId="7533"/>
    <cellStyle name="40% - 强调文字颜色 6 10 9" xfId="7534"/>
    <cellStyle name="40% - 强调文字颜色 6 11" xfId="7535"/>
    <cellStyle name="40% - 强调文字颜色 6 11 10" xfId="7536"/>
    <cellStyle name="40% - 强调文字颜色 6 11 11" xfId="7537"/>
    <cellStyle name="40% - 强调文字颜色 6 11 12" xfId="7538"/>
    <cellStyle name="40% - 强调文字颜色 6 11 13" xfId="7539"/>
    <cellStyle name="40% - 强调文字颜色 6 11 14" xfId="7540"/>
    <cellStyle name="40% - 强调文字颜色 6 11 15" xfId="7541"/>
    <cellStyle name="40% - 强调文字颜色 6 11 16" xfId="7542"/>
    <cellStyle name="40% - 强调文字颜色 6 11 17" xfId="7543"/>
    <cellStyle name="40% - 强调文字颜色 6 11 18" xfId="7544"/>
    <cellStyle name="40% - 强调文字颜色 6 11 19" xfId="7545"/>
    <cellStyle name="40% - 强调文字颜色 6 11 2" xfId="7546"/>
    <cellStyle name="40% - 强调文字颜色 6 11 2 10" xfId="7547"/>
    <cellStyle name="40% - 强调文字颜色 6 11 2 11" xfId="7548"/>
    <cellStyle name="40% - 强调文字颜色 6 11 2 12" xfId="7549"/>
    <cellStyle name="40% - 强调文字颜色 6 11 2 13" xfId="7550"/>
    <cellStyle name="40% - 强调文字颜色 6 11 2 14" xfId="7551"/>
    <cellStyle name="40% - 强调文字颜色 6 11 2 15" xfId="7552"/>
    <cellStyle name="40% - 强调文字颜色 6 11 2 16" xfId="7553"/>
    <cellStyle name="40% - 强调文字颜色 6 11 2 17" xfId="7554"/>
    <cellStyle name="40% - 强调文字颜色 6 11 2 18" xfId="7555"/>
    <cellStyle name="40% - 强调文字颜色 6 11 2 19" xfId="7556"/>
    <cellStyle name="40% - 强调文字颜色 6 11 2 2" xfId="7557"/>
    <cellStyle name="40% - 强调文字颜色 6 11 2 20" xfId="7558"/>
    <cellStyle name="40% - 强调文字颜色 6 11 2 21" xfId="7559"/>
    <cellStyle name="40% - 强调文字颜色 6 11 2 22" xfId="7560"/>
    <cellStyle name="40% - 强调文字颜色 6 11 2 23" xfId="7561"/>
    <cellStyle name="40% - 强调文字颜色 6 11 2 24" xfId="7562"/>
    <cellStyle name="40% - 强调文字颜色 6 11 2 25" xfId="7563"/>
    <cellStyle name="40% - 强调文字颜色 6 11 2 26" xfId="7564"/>
    <cellStyle name="40% - 强调文字颜色 6 11 2 27" xfId="7565"/>
    <cellStyle name="40% - 强调文字颜色 6 11 2 3" xfId="7566"/>
    <cellStyle name="40% - 强调文字颜色 6 11 2 4" xfId="7567"/>
    <cellStyle name="40% - 强调文字颜色 6 11 2 5" xfId="7568"/>
    <cellStyle name="40% - 强调文字颜色 6 11 2 6" xfId="7569"/>
    <cellStyle name="40% - 强调文字颜色 6 11 2 7" xfId="7570"/>
    <cellStyle name="40% - 强调文字颜色 6 11 2 8" xfId="7571"/>
    <cellStyle name="40% - 强调文字颜色 6 11 2 9" xfId="7572"/>
    <cellStyle name="40% - 强调文字颜色 6 11 20" xfId="7573"/>
    <cellStyle name="40% - 强调文字颜色 6 11 21" xfId="7574"/>
    <cellStyle name="40% - 强调文字颜色 6 11 22" xfId="7575"/>
    <cellStyle name="40% - 强调文字颜色 6 11 23" xfId="7576"/>
    <cellStyle name="40% - 强调文字颜色 6 11 24" xfId="7577"/>
    <cellStyle name="40% - 强调文字颜色 6 11 25" xfId="7578"/>
    <cellStyle name="40% - 强调文字颜色 6 11 26" xfId="7579"/>
    <cellStyle name="40% - 强调文字颜色 6 11 27" xfId="7580"/>
    <cellStyle name="40% - 强调文字颜色 6 11 28" xfId="7581"/>
    <cellStyle name="40% - 强调文字颜色 6 11 3" xfId="7582"/>
    <cellStyle name="40% - 强调文字颜色 6 11 4" xfId="7583"/>
    <cellStyle name="40% - 强调文字颜色 6 11 5" xfId="7584"/>
    <cellStyle name="40% - 强调文字颜色 6 11 6" xfId="7585"/>
    <cellStyle name="40% - 强调文字颜色 6 11 7" xfId="7586"/>
    <cellStyle name="40% - 强调文字颜色 6 11 8" xfId="7587"/>
    <cellStyle name="40% - 强调文字颜色 6 11 9" xfId="7588"/>
    <cellStyle name="40% - 强调文字颜色 6 12" xfId="7589"/>
    <cellStyle name="40% - 强调文字颜色 6 13" xfId="7590"/>
    <cellStyle name="40% - 强调文字颜色 6 14" xfId="7591"/>
    <cellStyle name="40% - 强调文字颜色 6 15" xfId="7592"/>
    <cellStyle name="40% - 强调文字颜色 6 16" xfId="7593"/>
    <cellStyle name="40% - 强调文字颜色 6 17" xfId="7594"/>
    <cellStyle name="40% - 强调文字颜色 6 18" xfId="7595"/>
    <cellStyle name="40% - 强调文字颜色 6 19" xfId="7596"/>
    <cellStyle name="40% - 强调文字颜色 6 2" xfId="7597"/>
    <cellStyle name="40% - 强调文字颜色 6 2 10" xfId="7598"/>
    <cellStyle name="40% - 强调文字颜色 6 2 11" xfId="7599"/>
    <cellStyle name="40% - 强调文字颜色 6 2 12" xfId="7600"/>
    <cellStyle name="40% - 强调文字颜色 6 2 13" xfId="7601"/>
    <cellStyle name="40% - 强调文字颜色 6 2 14" xfId="7602"/>
    <cellStyle name="40% - 强调文字颜色 6 2 15" xfId="7603"/>
    <cellStyle name="40% - 强调文字颜色 6 2 16" xfId="7604"/>
    <cellStyle name="40% - 强调文字颜色 6 2 17" xfId="7605"/>
    <cellStyle name="40% - 强调文字颜色 6 2 18" xfId="7606"/>
    <cellStyle name="40% - 强调文字颜色 6 2 19" xfId="7607"/>
    <cellStyle name="40% - 强调文字颜色 6 2 2" xfId="7608"/>
    <cellStyle name="40% - 强调文字颜色 6 2 2 10" xfId="7609"/>
    <cellStyle name="40% - 强调文字颜色 6 2 2 11" xfId="7610"/>
    <cellStyle name="40% - 强调文字颜色 6 2 2 12" xfId="7611"/>
    <cellStyle name="40% - 强调文字颜色 6 2 2 13" xfId="7612"/>
    <cellStyle name="40% - 强调文字颜色 6 2 2 14" xfId="7613"/>
    <cellStyle name="40% - 强调文字颜色 6 2 2 15" xfId="7614"/>
    <cellStyle name="40% - 强调文字颜色 6 2 2 16" xfId="7615"/>
    <cellStyle name="40% - 强调文字颜色 6 2 2 17" xfId="7616"/>
    <cellStyle name="40% - 强调文字颜色 6 2 2 18" xfId="7617"/>
    <cellStyle name="40% - 强调文字颜色 6 2 2 19" xfId="7618"/>
    <cellStyle name="40% - 强调文字颜色 6 2 2 2" xfId="7619"/>
    <cellStyle name="40% - 强调文字颜色 6 2 2 2 10" xfId="7620"/>
    <cellStyle name="40% - 强调文字颜色 6 2 2 2 11" xfId="7621"/>
    <cellStyle name="40% - 强调文字颜色 6 2 2 2 12" xfId="7622"/>
    <cellStyle name="40% - 强调文字颜色 6 2 2 2 13" xfId="7623"/>
    <cellStyle name="40% - 强调文字颜色 6 2 2 2 14" xfId="7624"/>
    <cellStyle name="40% - 强调文字颜色 6 2 2 2 15" xfId="7625"/>
    <cellStyle name="40% - 强调文字颜色 6 2 2 2 16" xfId="7626"/>
    <cellStyle name="40% - 强调文字颜色 6 2 2 2 17" xfId="7627"/>
    <cellStyle name="40% - 强调文字颜色 6 2 2 2 18" xfId="7628"/>
    <cellStyle name="40% - 强调文字颜色 6 2 2 2 19" xfId="7629"/>
    <cellStyle name="40% - 强调文字颜色 6 2 2 2 2" xfId="7630"/>
    <cellStyle name="40% - 强调文字颜色 6 2 2 2 20" xfId="7631"/>
    <cellStyle name="40% - 强调文字颜色 6 2 2 2 21" xfId="7632"/>
    <cellStyle name="40% - 强调文字颜色 6 2 2 2 22" xfId="7633"/>
    <cellStyle name="40% - 强调文字颜色 6 2 2 2 23" xfId="7634"/>
    <cellStyle name="40% - 强调文字颜色 6 2 2 2 24" xfId="7635"/>
    <cellStyle name="40% - 强调文字颜色 6 2 2 2 25" xfId="7636"/>
    <cellStyle name="40% - 强调文字颜色 6 2 2 2 26" xfId="7637"/>
    <cellStyle name="40% - 强调文字颜色 6 2 2 2 27" xfId="7638"/>
    <cellStyle name="40% - 强调文字颜色 6 2 2 2 3" xfId="7639"/>
    <cellStyle name="40% - 强调文字颜色 6 2 2 2 4" xfId="7640"/>
    <cellStyle name="40% - 强调文字颜色 6 2 2 2 5" xfId="7641"/>
    <cellStyle name="40% - 强调文字颜色 6 2 2 2 6" xfId="7642"/>
    <cellStyle name="40% - 强调文字颜色 6 2 2 2 7" xfId="7643"/>
    <cellStyle name="40% - 强调文字颜色 6 2 2 2 8" xfId="7644"/>
    <cellStyle name="40% - 强调文字颜色 6 2 2 2 9" xfId="7645"/>
    <cellStyle name="40% - 强调文字颜色 6 2 2 20" xfId="7646"/>
    <cellStyle name="40% - 强调文字颜色 6 2 2 21" xfId="7647"/>
    <cellStyle name="40% - 强调文字颜色 6 2 2 22" xfId="7648"/>
    <cellStyle name="40% - 强调文字颜色 6 2 2 23" xfId="7649"/>
    <cellStyle name="40% - 强调文字颜色 6 2 2 24" xfId="7650"/>
    <cellStyle name="40% - 强调文字颜色 6 2 2 25" xfId="7651"/>
    <cellStyle name="40% - 强调文字颜色 6 2 2 26" xfId="7652"/>
    <cellStyle name="40% - 强调文字颜色 6 2 2 27" xfId="7653"/>
    <cellStyle name="40% - 强调文字颜色 6 2 2 28" xfId="7654"/>
    <cellStyle name="40% - 强调文字颜色 6 2 2 3" xfId="7655"/>
    <cellStyle name="40% - 强调文字颜色 6 2 2 4" xfId="7656"/>
    <cellStyle name="40% - 强调文字颜色 6 2 2 5" xfId="7657"/>
    <cellStyle name="40% - 强调文字颜色 6 2 2 6" xfId="7658"/>
    <cellStyle name="40% - 强调文字颜色 6 2 2 7" xfId="7659"/>
    <cellStyle name="40% - 强调文字颜色 6 2 2 8" xfId="7660"/>
    <cellStyle name="40% - 强调文字颜色 6 2 2 9" xfId="7661"/>
    <cellStyle name="40% - 强调文字颜色 6 2 20" xfId="7662"/>
    <cellStyle name="40% - 强调文字颜色 6 2 21" xfId="7663"/>
    <cellStyle name="40% - 强调文字颜色 6 2 22" xfId="7664"/>
    <cellStyle name="40% - 强调文字颜色 6 2 23" xfId="7665"/>
    <cellStyle name="40% - 强调文字颜色 6 2 24" xfId="7666"/>
    <cellStyle name="40% - 强调文字颜色 6 2 25" xfId="7667"/>
    <cellStyle name="40% - 强调文字颜色 6 2 26" xfId="7668"/>
    <cellStyle name="40% - 强调文字颜色 6 2 27" xfId="7669"/>
    <cellStyle name="40% - 强调文字颜色 6 2 28" xfId="7670"/>
    <cellStyle name="40% - 强调文字颜色 6 2 29" xfId="7671"/>
    <cellStyle name="40% - 强调文字颜色 6 2 3" xfId="7672"/>
    <cellStyle name="40% - 强调文字颜色 6 2 3 10" xfId="7673"/>
    <cellStyle name="40% - 强调文字颜色 6 2 3 11" xfId="7674"/>
    <cellStyle name="40% - 强调文字颜色 6 2 3 12" xfId="7675"/>
    <cellStyle name="40% - 强调文字颜色 6 2 3 13" xfId="7676"/>
    <cellStyle name="40% - 强调文字颜色 6 2 3 14" xfId="7677"/>
    <cellStyle name="40% - 强调文字颜色 6 2 3 15" xfId="7678"/>
    <cellStyle name="40% - 强调文字颜色 6 2 3 16" xfId="7679"/>
    <cellStyle name="40% - 强调文字颜色 6 2 3 17" xfId="7680"/>
    <cellStyle name="40% - 强调文字颜色 6 2 3 18" xfId="7681"/>
    <cellStyle name="40% - 强调文字颜色 6 2 3 19" xfId="7682"/>
    <cellStyle name="40% - 强调文字颜色 6 2 3 2" xfId="7683"/>
    <cellStyle name="40% - 强调文字颜色 6 2 3 2 10" xfId="7684"/>
    <cellStyle name="40% - 强调文字颜色 6 2 3 2 11" xfId="7685"/>
    <cellStyle name="40% - 强调文字颜色 6 2 3 2 12" xfId="7686"/>
    <cellStyle name="40% - 强调文字颜色 6 2 3 2 13" xfId="7687"/>
    <cellStyle name="40% - 强调文字颜色 6 2 3 2 14" xfId="7688"/>
    <cellStyle name="40% - 强调文字颜色 6 2 3 2 15" xfId="7689"/>
    <cellStyle name="40% - 强调文字颜色 6 2 3 2 16" xfId="7690"/>
    <cellStyle name="40% - 强调文字颜色 6 2 3 2 17" xfId="7691"/>
    <cellStyle name="40% - 强调文字颜色 6 2 3 2 18" xfId="7692"/>
    <cellStyle name="40% - 强调文字颜色 6 2 3 2 19" xfId="7693"/>
    <cellStyle name="40% - 强调文字颜色 6 2 3 2 2" xfId="7694"/>
    <cellStyle name="40% - 强调文字颜色 6 2 3 2 20" xfId="7695"/>
    <cellStyle name="40% - 强调文字颜色 6 2 3 2 21" xfId="7696"/>
    <cellStyle name="40% - 强调文字颜色 6 2 3 2 22" xfId="7697"/>
    <cellStyle name="40% - 强调文字颜色 6 2 3 2 23" xfId="7698"/>
    <cellStyle name="40% - 强调文字颜色 6 2 3 2 24" xfId="7699"/>
    <cellStyle name="40% - 强调文字颜色 6 2 3 2 25" xfId="7700"/>
    <cellStyle name="40% - 强调文字颜色 6 2 3 2 26" xfId="7701"/>
    <cellStyle name="40% - 强调文字颜色 6 2 3 2 27" xfId="7702"/>
    <cellStyle name="40% - 强调文字颜色 6 2 3 2 3" xfId="7703"/>
    <cellStyle name="40% - 强调文字颜色 6 2 3 2 4" xfId="7704"/>
    <cellStyle name="40% - 强调文字颜色 6 2 3 2 5" xfId="7705"/>
    <cellStyle name="40% - 强调文字颜色 6 2 3 2 6" xfId="7706"/>
    <cellStyle name="40% - 强调文字颜色 6 2 3 2 7" xfId="7707"/>
    <cellStyle name="40% - 强调文字颜色 6 2 3 2 8" xfId="7708"/>
    <cellStyle name="40% - 强调文字颜色 6 2 3 2 9" xfId="7709"/>
    <cellStyle name="40% - 强调文字颜色 6 2 3 20" xfId="7710"/>
    <cellStyle name="40% - 强调文字颜色 6 2 3 21" xfId="7711"/>
    <cellStyle name="40% - 强调文字颜色 6 2 3 22" xfId="7712"/>
    <cellStyle name="40% - 强调文字颜色 6 2 3 23" xfId="7713"/>
    <cellStyle name="40% - 强调文字颜色 6 2 3 24" xfId="7714"/>
    <cellStyle name="40% - 强调文字颜色 6 2 3 25" xfId="7715"/>
    <cellStyle name="40% - 强调文字颜色 6 2 3 26" xfId="7716"/>
    <cellStyle name="40% - 强调文字颜色 6 2 3 27" xfId="7717"/>
    <cellStyle name="40% - 强调文字颜色 6 2 3 28" xfId="7718"/>
    <cellStyle name="40% - 强调文字颜色 6 2 3 3" xfId="7719"/>
    <cellStyle name="40% - 强调文字颜色 6 2 3 4" xfId="7720"/>
    <cellStyle name="40% - 强调文字颜色 6 2 3 5" xfId="7721"/>
    <cellStyle name="40% - 强调文字颜色 6 2 3 6" xfId="7722"/>
    <cellStyle name="40% - 强调文字颜色 6 2 3 7" xfId="7723"/>
    <cellStyle name="40% - 强调文字颜色 6 2 3 8" xfId="7724"/>
    <cellStyle name="40% - 强调文字颜色 6 2 3 9" xfId="7725"/>
    <cellStyle name="40% - 强调文字颜色 6 2 30" xfId="7726"/>
    <cellStyle name="40% - 强调文字颜色 6 2 31" xfId="7727"/>
    <cellStyle name="40% - 强调文字颜色 6 2 32" xfId="7728"/>
    <cellStyle name="40% - 强调文字颜色 6 2 33" xfId="7729"/>
    <cellStyle name="40% - 强调文字颜色 6 2 4" xfId="7730"/>
    <cellStyle name="40% - 强调文字颜色 6 2 4 10" xfId="7731"/>
    <cellStyle name="40% - 强调文字颜色 6 2 4 11" xfId="7732"/>
    <cellStyle name="40% - 强调文字颜色 6 2 4 12" xfId="7733"/>
    <cellStyle name="40% - 强调文字颜色 6 2 4 13" xfId="7734"/>
    <cellStyle name="40% - 强调文字颜色 6 2 4 14" xfId="7735"/>
    <cellStyle name="40% - 强调文字颜色 6 2 4 15" xfId="7736"/>
    <cellStyle name="40% - 强调文字颜色 6 2 4 16" xfId="7737"/>
    <cellStyle name="40% - 强调文字颜色 6 2 4 17" xfId="7738"/>
    <cellStyle name="40% - 强调文字颜色 6 2 4 18" xfId="7739"/>
    <cellStyle name="40% - 强调文字颜色 6 2 4 19" xfId="7740"/>
    <cellStyle name="40% - 强调文字颜色 6 2 4 2" xfId="7741"/>
    <cellStyle name="40% - 强调文字颜色 6 2 4 20" xfId="7742"/>
    <cellStyle name="40% - 强调文字颜色 6 2 4 21" xfId="7743"/>
    <cellStyle name="40% - 强调文字颜色 6 2 4 22" xfId="7744"/>
    <cellStyle name="40% - 强调文字颜色 6 2 4 23" xfId="7745"/>
    <cellStyle name="40% - 强调文字颜色 6 2 4 24" xfId="7746"/>
    <cellStyle name="40% - 强调文字颜色 6 2 4 25" xfId="7747"/>
    <cellStyle name="40% - 强调文字颜色 6 2 4 26" xfId="7748"/>
    <cellStyle name="40% - 强调文字颜色 6 2 4 27" xfId="7749"/>
    <cellStyle name="40% - 强调文字颜色 6 2 4 3" xfId="7750"/>
    <cellStyle name="40% - 强调文字颜色 6 2 4 4" xfId="7751"/>
    <cellStyle name="40% - 强调文字颜色 6 2 4 5" xfId="7752"/>
    <cellStyle name="40% - 强调文字颜色 6 2 4 6" xfId="7753"/>
    <cellStyle name="40% - 强调文字颜色 6 2 4 7" xfId="7754"/>
    <cellStyle name="40% - 强调文字颜色 6 2 4 8" xfId="7755"/>
    <cellStyle name="40% - 强调文字颜色 6 2 4 9" xfId="7756"/>
    <cellStyle name="40% - 强调文字颜色 6 2 5" xfId="7757"/>
    <cellStyle name="40% - 强调文字颜色 6 2 6" xfId="7758"/>
    <cellStyle name="40% - 强调文字颜色 6 2 7" xfId="7759"/>
    <cellStyle name="40% - 强调文字颜色 6 2 8" xfId="7760"/>
    <cellStyle name="40% - 强调文字颜色 6 2 9" xfId="7761"/>
    <cellStyle name="40% - 强调文字颜色 6 20" xfId="7762"/>
    <cellStyle name="40% - 强调文字颜色 6 21" xfId="7763"/>
    <cellStyle name="40% - 强调文字颜色 6 22" xfId="7764"/>
    <cellStyle name="40% - 强调文字颜色 6 23" xfId="7765"/>
    <cellStyle name="40% - 强调文字颜色 6 24" xfId="7766"/>
    <cellStyle name="40% - 强调文字颜色 6 25" xfId="7767"/>
    <cellStyle name="40% - 强调文字颜色 6 26" xfId="7768"/>
    <cellStyle name="40% - 强调文字颜色 6 27" xfId="7769"/>
    <cellStyle name="40% - 强调文字颜色 6 28" xfId="7770"/>
    <cellStyle name="40% - 强调文字颜色 6 29" xfId="7771"/>
    <cellStyle name="40% - 强调文字颜色 6 3" xfId="7772"/>
    <cellStyle name="40% - 强调文字颜色 6 3 10" xfId="7773"/>
    <cellStyle name="40% - 强调文字颜色 6 3 11" xfId="7774"/>
    <cellStyle name="40% - 强调文字颜色 6 3 12" xfId="7775"/>
    <cellStyle name="40% - 强调文字颜色 6 3 13" xfId="7776"/>
    <cellStyle name="40% - 强调文字颜色 6 3 14" xfId="7777"/>
    <cellStyle name="40% - 强调文字颜色 6 3 15" xfId="7778"/>
    <cellStyle name="40% - 强调文字颜色 6 3 16" xfId="7779"/>
    <cellStyle name="40% - 强调文字颜色 6 3 17" xfId="7780"/>
    <cellStyle name="40% - 强调文字颜色 6 3 18" xfId="7781"/>
    <cellStyle name="40% - 强调文字颜色 6 3 19" xfId="7782"/>
    <cellStyle name="40% - 强调文字颜色 6 3 2" xfId="7783"/>
    <cellStyle name="40% - 强调文字颜色 6 3 2 10" xfId="7784"/>
    <cellStyle name="40% - 强调文字颜色 6 3 2 11" xfId="7785"/>
    <cellStyle name="40% - 强调文字颜色 6 3 2 12" xfId="7786"/>
    <cellStyle name="40% - 强调文字颜色 6 3 2 13" xfId="7787"/>
    <cellStyle name="40% - 强调文字颜色 6 3 2 14" xfId="7788"/>
    <cellStyle name="40% - 强调文字颜色 6 3 2 15" xfId="7789"/>
    <cellStyle name="40% - 强调文字颜色 6 3 2 16" xfId="7790"/>
    <cellStyle name="40% - 强调文字颜色 6 3 2 17" xfId="7791"/>
    <cellStyle name="40% - 强调文字颜色 6 3 2 18" xfId="7792"/>
    <cellStyle name="40% - 强调文字颜色 6 3 2 19" xfId="7793"/>
    <cellStyle name="40% - 强调文字颜色 6 3 2 2" xfId="7794"/>
    <cellStyle name="40% - 强调文字颜色 6 3 2 20" xfId="7795"/>
    <cellStyle name="40% - 强调文字颜色 6 3 2 21" xfId="7796"/>
    <cellStyle name="40% - 强调文字颜色 6 3 2 22" xfId="7797"/>
    <cellStyle name="40% - 强调文字颜色 6 3 2 23" xfId="7798"/>
    <cellStyle name="40% - 强调文字颜色 6 3 2 24" xfId="7799"/>
    <cellStyle name="40% - 强调文字颜色 6 3 2 25" xfId="7800"/>
    <cellStyle name="40% - 强调文字颜色 6 3 2 26" xfId="7801"/>
    <cellStyle name="40% - 强调文字颜色 6 3 2 27" xfId="7802"/>
    <cellStyle name="40% - 强调文字颜色 6 3 2 3" xfId="7803"/>
    <cellStyle name="40% - 强调文字颜色 6 3 2 4" xfId="7804"/>
    <cellStyle name="40% - 强调文字颜色 6 3 2 5" xfId="7805"/>
    <cellStyle name="40% - 强调文字颜色 6 3 2 6" xfId="7806"/>
    <cellStyle name="40% - 强调文字颜色 6 3 2 7" xfId="7807"/>
    <cellStyle name="40% - 强调文字颜色 6 3 2 8" xfId="7808"/>
    <cellStyle name="40% - 强调文字颜色 6 3 2 9" xfId="7809"/>
    <cellStyle name="40% - 强调文字颜色 6 3 20" xfId="7810"/>
    <cellStyle name="40% - 强调文字颜色 6 3 21" xfId="7811"/>
    <cellStyle name="40% - 强调文字颜色 6 3 22" xfId="7812"/>
    <cellStyle name="40% - 强调文字颜色 6 3 23" xfId="7813"/>
    <cellStyle name="40% - 强调文字颜色 6 3 24" xfId="7814"/>
    <cellStyle name="40% - 强调文字颜色 6 3 25" xfId="7815"/>
    <cellStyle name="40% - 强调文字颜色 6 3 26" xfId="7816"/>
    <cellStyle name="40% - 强调文字颜色 6 3 27" xfId="7817"/>
    <cellStyle name="40% - 强调文字颜色 6 3 28" xfId="7818"/>
    <cellStyle name="40% - 强调文字颜色 6 3 3" xfId="7819"/>
    <cellStyle name="40% - 强调文字颜色 6 3 4" xfId="7820"/>
    <cellStyle name="40% - 强调文字颜色 6 3 5" xfId="7821"/>
    <cellStyle name="40% - 强调文字颜色 6 3 6" xfId="7822"/>
    <cellStyle name="40% - 强调文字颜色 6 3 7" xfId="7823"/>
    <cellStyle name="40% - 强调文字颜色 6 3 8" xfId="7824"/>
    <cellStyle name="40% - 强调文字颜色 6 3 9" xfId="7825"/>
    <cellStyle name="40% - 强调文字颜色 6 30" xfId="7826"/>
    <cellStyle name="40% - 强调文字颜色 6 31" xfId="7827"/>
    <cellStyle name="40% - 强调文字颜色 6 32" xfId="7828"/>
    <cellStyle name="40% - 强调文字颜色 6 33" xfId="7829"/>
    <cellStyle name="40% - 强调文字颜色 6 34" xfId="7830"/>
    <cellStyle name="40% - 强调文字颜色 6 35" xfId="7831"/>
    <cellStyle name="40% - 强调文字颜色 6 36" xfId="7832"/>
    <cellStyle name="40% - 强调文字颜色 6 37" xfId="7833"/>
    <cellStyle name="40% - 强调文字颜色 6 38" xfId="7834"/>
    <cellStyle name="40% - 强调文字颜色 6 39" xfId="7835"/>
    <cellStyle name="40% - 强调文字颜色 6 4" xfId="7836"/>
    <cellStyle name="40% - 强调文字颜色 6 4 10" xfId="7837"/>
    <cellStyle name="40% - 强调文字颜色 6 4 11" xfId="7838"/>
    <cellStyle name="40% - 强调文字颜色 6 4 12" xfId="7839"/>
    <cellStyle name="40% - 强调文字颜色 6 4 13" xfId="7840"/>
    <cellStyle name="40% - 强调文字颜色 6 4 14" xfId="7841"/>
    <cellStyle name="40% - 强调文字颜色 6 4 15" xfId="7842"/>
    <cellStyle name="40% - 强调文字颜色 6 4 16" xfId="7843"/>
    <cellStyle name="40% - 强调文字颜色 6 4 17" xfId="7844"/>
    <cellStyle name="40% - 强调文字颜色 6 4 18" xfId="7845"/>
    <cellStyle name="40% - 强调文字颜色 6 4 19" xfId="7846"/>
    <cellStyle name="40% - 强调文字颜色 6 4 2" xfId="7847"/>
    <cellStyle name="40% - 强调文字颜色 6 4 2 10" xfId="7848"/>
    <cellStyle name="40% - 强调文字颜色 6 4 2 11" xfId="7849"/>
    <cellStyle name="40% - 强调文字颜色 6 4 2 12" xfId="7850"/>
    <cellStyle name="40% - 强调文字颜色 6 4 2 13" xfId="7851"/>
    <cellStyle name="40% - 强调文字颜色 6 4 2 14" xfId="7852"/>
    <cellStyle name="40% - 强调文字颜色 6 4 2 15" xfId="7853"/>
    <cellStyle name="40% - 强调文字颜色 6 4 2 16" xfId="7854"/>
    <cellStyle name="40% - 强调文字颜色 6 4 2 17" xfId="7855"/>
    <cellStyle name="40% - 强调文字颜色 6 4 2 18" xfId="7856"/>
    <cellStyle name="40% - 强调文字颜色 6 4 2 19" xfId="7857"/>
    <cellStyle name="40% - 强调文字颜色 6 4 2 2" xfId="7858"/>
    <cellStyle name="40% - 强调文字颜色 6 4 2 20" xfId="7859"/>
    <cellStyle name="40% - 强调文字颜色 6 4 2 21" xfId="7860"/>
    <cellStyle name="40% - 强调文字颜色 6 4 2 22" xfId="7861"/>
    <cellStyle name="40% - 强调文字颜色 6 4 2 23" xfId="7862"/>
    <cellStyle name="40% - 强调文字颜色 6 4 2 24" xfId="7863"/>
    <cellStyle name="40% - 强调文字颜色 6 4 2 25" xfId="7864"/>
    <cellStyle name="40% - 强调文字颜色 6 4 2 26" xfId="7865"/>
    <cellStyle name="40% - 强调文字颜色 6 4 2 27" xfId="7866"/>
    <cellStyle name="40% - 强调文字颜色 6 4 2 3" xfId="7867"/>
    <cellStyle name="40% - 强调文字颜色 6 4 2 4" xfId="7868"/>
    <cellStyle name="40% - 强调文字颜色 6 4 2 5" xfId="7869"/>
    <cellStyle name="40% - 强调文字颜色 6 4 2 6" xfId="7870"/>
    <cellStyle name="40% - 强调文字颜色 6 4 2 7" xfId="7871"/>
    <cellStyle name="40% - 强调文字颜色 6 4 2 8" xfId="7872"/>
    <cellStyle name="40% - 强调文字颜色 6 4 2 9" xfId="7873"/>
    <cellStyle name="40% - 强调文字颜色 6 4 20" xfId="7874"/>
    <cellStyle name="40% - 强调文字颜色 6 4 21" xfId="7875"/>
    <cellStyle name="40% - 强调文字颜色 6 4 22" xfId="7876"/>
    <cellStyle name="40% - 强调文字颜色 6 4 23" xfId="7877"/>
    <cellStyle name="40% - 强调文字颜色 6 4 24" xfId="7878"/>
    <cellStyle name="40% - 强调文字颜色 6 4 25" xfId="7879"/>
    <cellStyle name="40% - 强调文字颜色 6 4 26" xfId="7880"/>
    <cellStyle name="40% - 强调文字颜色 6 4 27" xfId="7881"/>
    <cellStyle name="40% - 强调文字颜色 6 4 28" xfId="7882"/>
    <cellStyle name="40% - 强调文字颜色 6 4 3" xfId="7883"/>
    <cellStyle name="40% - 强调文字颜色 6 4 4" xfId="7884"/>
    <cellStyle name="40% - 强调文字颜色 6 4 5" xfId="7885"/>
    <cellStyle name="40% - 强调文字颜色 6 4 6" xfId="7886"/>
    <cellStyle name="40% - 强调文字颜色 6 4 7" xfId="7887"/>
    <cellStyle name="40% - 强调文字颜色 6 4 8" xfId="7888"/>
    <cellStyle name="40% - 强调文字颜色 6 4 9" xfId="7889"/>
    <cellStyle name="40% - 强调文字颜色 6 40" xfId="7890"/>
    <cellStyle name="40% - 强调文字颜色 6 5" xfId="7891"/>
    <cellStyle name="40% - 强调文字颜色 6 5 10" xfId="7892"/>
    <cellStyle name="40% - 强调文字颜色 6 5 11" xfId="7893"/>
    <cellStyle name="40% - 强调文字颜色 6 5 12" xfId="7894"/>
    <cellStyle name="40% - 强调文字颜色 6 5 13" xfId="7895"/>
    <cellStyle name="40% - 强调文字颜色 6 5 14" xfId="7896"/>
    <cellStyle name="40% - 强调文字颜色 6 5 15" xfId="7897"/>
    <cellStyle name="40% - 强调文字颜色 6 5 16" xfId="7898"/>
    <cellStyle name="40% - 强调文字颜色 6 5 17" xfId="7899"/>
    <cellStyle name="40% - 强调文字颜色 6 5 18" xfId="7900"/>
    <cellStyle name="40% - 强调文字颜色 6 5 19" xfId="7901"/>
    <cellStyle name="40% - 强调文字颜色 6 5 2" xfId="7902"/>
    <cellStyle name="40% - 强调文字颜色 6 5 2 10" xfId="7903"/>
    <cellStyle name="40% - 强调文字颜色 6 5 2 11" xfId="7904"/>
    <cellStyle name="40% - 强调文字颜色 6 5 2 12" xfId="7905"/>
    <cellStyle name="40% - 强调文字颜色 6 5 2 13" xfId="7906"/>
    <cellStyle name="40% - 强调文字颜色 6 5 2 14" xfId="7907"/>
    <cellStyle name="40% - 强调文字颜色 6 5 2 15" xfId="7908"/>
    <cellStyle name="40% - 强调文字颜色 6 5 2 16" xfId="7909"/>
    <cellStyle name="40% - 强调文字颜色 6 5 2 17" xfId="7910"/>
    <cellStyle name="40% - 强调文字颜色 6 5 2 18" xfId="7911"/>
    <cellStyle name="40% - 强调文字颜色 6 5 2 19" xfId="7912"/>
    <cellStyle name="40% - 强调文字颜色 6 5 2 2" xfId="7913"/>
    <cellStyle name="40% - 强调文字颜色 6 5 2 20" xfId="7914"/>
    <cellStyle name="40% - 强调文字颜色 6 5 2 21" xfId="7915"/>
    <cellStyle name="40% - 强调文字颜色 6 5 2 22" xfId="7916"/>
    <cellStyle name="40% - 强调文字颜色 6 5 2 23" xfId="7917"/>
    <cellStyle name="40% - 强调文字颜色 6 5 2 24" xfId="7918"/>
    <cellStyle name="40% - 强调文字颜色 6 5 2 25" xfId="7919"/>
    <cellStyle name="40% - 强调文字颜色 6 5 2 26" xfId="7920"/>
    <cellStyle name="40% - 强调文字颜色 6 5 2 27" xfId="7921"/>
    <cellStyle name="40% - 强调文字颜色 6 5 2 3" xfId="7922"/>
    <cellStyle name="40% - 强调文字颜色 6 5 2 4" xfId="7923"/>
    <cellStyle name="40% - 强调文字颜色 6 5 2 5" xfId="7924"/>
    <cellStyle name="40% - 强调文字颜色 6 5 2 6" xfId="7925"/>
    <cellStyle name="40% - 强调文字颜色 6 5 2 7" xfId="7926"/>
    <cellStyle name="40% - 强调文字颜色 6 5 2 8" xfId="7927"/>
    <cellStyle name="40% - 强调文字颜色 6 5 2 9" xfId="7928"/>
    <cellStyle name="40% - 强调文字颜色 6 5 20" xfId="7929"/>
    <cellStyle name="40% - 强调文字颜色 6 5 21" xfId="7930"/>
    <cellStyle name="40% - 强调文字颜色 6 5 22" xfId="7931"/>
    <cellStyle name="40% - 强调文字颜色 6 5 23" xfId="7932"/>
    <cellStyle name="40% - 强调文字颜色 6 5 24" xfId="7933"/>
    <cellStyle name="40% - 强调文字颜色 6 5 25" xfId="7934"/>
    <cellStyle name="40% - 强调文字颜色 6 5 26" xfId="7935"/>
    <cellStyle name="40% - 强调文字颜色 6 5 27" xfId="7936"/>
    <cellStyle name="40% - 强调文字颜色 6 5 28" xfId="7937"/>
    <cellStyle name="40% - 强调文字颜色 6 5 3" xfId="7938"/>
    <cellStyle name="40% - 强调文字颜色 6 5 4" xfId="7939"/>
    <cellStyle name="40% - 强调文字颜色 6 5 5" xfId="7940"/>
    <cellStyle name="40% - 强调文字颜色 6 5 6" xfId="7941"/>
    <cellStyle name="40% - 强调文字颜色 6 5 7" xfId="7942"/>
    <cellStyle name="40% - 强调文字颜色 6 5 8" xfId="7943"/>
    <cellStyle name="40% - 强调文字颜色 6 5 9" xfId="7944"/>
    <cellStyle name="40% - 强调文字颜色 6 6" xfId="7945"/>
    <cellStyle name="40% - 强调文字颜色 6 6 10" xfId="7946"/>
    <cellStyle name="40% - 强调文字颜色 6 6 11" xfId="7947"/>
    <cellStyle name="40% - 强调文字颜色 6 6 12" xfId="7948"/>
    <cellStyle name="40% - 强调文字颜色 6 6 13" xfId="7949"/>
    <cellStyle name="40% - 强调文字颜色 6 6 14" xfId="7950"/>
    <cellStyle name="40% - 强调文字颜色 6 6 15" xfId="7951"/>
    <cellStyle name="40% - 强调文字颜色 6 6 16" xfId="7952"/>
    <cellStyle name="40% - 强调文字颜色 6 6 17" xfId="7953"/>
    <cellStyle name="40% - 强调文字颜色 6 6 18" xfId="7954"/>
    <cellStyle name="40% - 强调文字颜色 6 6 19" xfId="7955"/>
    <cellStyle name="40% - 强调文字颜色 6 6 2" xfId="7956"/>
    <cellStyle name="40% - 强调文字颜色 6 6 2 10" xfId="7957"/>
    <cellStyle name="40% - 强调文字颜色 6 6 2 11" xfId="7958"/>
    <cellStyle name="40% - 强调文字颜色 6 6 2 12" xfId="7959"/>
    <cellStyle name="40% - 强调文字颜色 6 6 2 13" xfId="7960"/>
    <cellStyle name="40% - 强调文字颜色 6 6 2 14" xfId="7961"/>
    <cellStyle name="40% - 强调文字颜色 6 6 2 15" xfId="7962"/>
    <cellStyle name="40% - 强调文字颜色 6 6 2 16" xfId="7963"/>
    <cellStyle name="40% - 强调文字颜色 6 6 2 17" xfId="7964"/>
    <cellStyle name="40% - 强调文字颜色 6 6 2 18" xfId="7965"/>
    <cellStyle name="40% - 强调文字颜色 6 6 2 19" xfId="7966"/>
    <cellStyle name="40% - 强调文字颜色 6 6 2 2" xfId="7967"/>
    <cellStyle name="40% - 强调文字颜色 6 6 2 20" xfId="7968"/>
    <cellStyle name="40% - 强调文字颜色 6 6 2 21" xfId="7969"/>
    <cellStyle name="40% - 强调文字颜色 6 6 2 22" xfId="7970"/>
    <cellStyle name="40% - 强调文字颜色 6 6 2 23" xfId="7971"/>
    <cellStyle name="40% - 强调文字颜色 6 6 2 24" xfId="7972"/>
    <cellStyle name="40% - 强调文字颜色 6 6 2 25" xfId="7973"/>
    <cellStyle name="40% - 强调文字颜色 6 6 2 26" xfId="7974"/>
    <cellStyle name="40% - 强调文字颜色 6 6 2 27" xfId="7975"/>
    <cellStyle name="40% - 强调文字颜色 6 6 2 3" xfId="7976"/>
    <cellStyle name="40% - 强调文字颜色 6 6 2 4" xfId="7977"/>
    <cellStyle name="40% - 强调文字颜色 6 6 2 5" xfId="7978"/>
    <cellStyle name="40% - 强调文字颜色 6 6 2 6" xfId="7979"/>
    <cellStyle name="40% - 强调文字颜色 6 6 2 7" xfId="7980"/>
    <cellStyle name="40% - 强调文字颜色 6 6 2 8" xfId="7981"/>
    <cellStyle name="40% - 强调文字颜色 6 6 2 9" xfId="7982"/>
    <cellStyle name="40% - 强调文字颜色 6 6 20" xfId="7983"/>
    <cellStyle name="40% - 强调文字颜色 6 6 21" xfId="7984"/>
    <cellStyle name="40% - 强调文字颜色 6 6 22" xfId="7985"/>
    <cellStyle name="40% - 强调文字颜色 6 6 23" xfId="7986"/>
    <cellStyle name="40% - 强调文字颜色 6 6 24" xfId="7987"/>
    <cellStyle name="40% - 强调文字颜色 6 6 25" xfId="7988"/>
    <cellStyle name="40% - 强调文字颜色 6 6 26" xfId="7989"/>
    <cellStyle name="40% - 强调文字颜色 6 6 27" xfId="7990"/>
    <cellStyle name="40% - 强调文字颜色 6 6 28" xfId="7991"/>
    <cellStyle name="40% - 强调文字颜色 6 6 3" xfId="7992"/>
    <cellStyle name="40% - 强调文字颜色 6 6 4" xfId="7993"/>
    <cellStyle name="40% - 强调文字颜色 6 6 5" xfId="7994"/>
    <cellStyle name="40% - 强调文字颜色 6 6 6" xfId="7995"/>
    <cellStyle name="40% - 强调文字颜色 6 6 7" xfId="7996"/>
    <cellStyle name="40% - 强调文字颜色 6 6 8" xfId="7997"/>
    <cellStyle name="40% - 强调文字颜色 6 6 9" xfId="7998"/>
    <cellStyle name="40% - 强调文字颜色 6 7" xfId="7999"/>
    <cellStyle name="40% - 强调文字颜色 6 7 10" xfId="8000"/>
    <cellStyle name="40% - 强调文字颜色 6 7 11" xfId="8001"/>
    <cellStyle name="40% - 强调文字颜色 6 7 12" xfId="8002"/>
    <cellStyle name="40% - 强调文字颜色 6 7 13" xfId="8003"/>
    <cellStyle name="40% - 强调文字颜色 6 7 14" xfId="8004"/>
    <cellStyle name="40% - 强调文字颜色 6 7 15" xfId="8005"/>
    <cellStyle name="40% - 强调文字颜色 6 7 16" xfId="8006"/>
    <cellStyle name="40% - 强调文字颜色 6 7 17" xfId="8007"/>
    <cellStyle name="40% - 强调文字颜色 6 7 18" xfId="8008"/>
    <cellStyle name="40% - 强调文字颜色 6 7 19" xfId="8009"/>
    <cellStyle name="40% - 强调文字颜色 6 7 2" xfId="8010"/>
    <cellStyle name="40% - 强调文字颜色 6 7 2 10" xfId="8011"/>
    <cellStyle name="40% - 强调文字颜色 6 7 2 11" xfId="8012"/>
    <cellStyle name="40% - 强调文字颜色 6 7 2 12" xfId="8013"/>
    <cellStyle name="40% - 强调文字颜色 6 7 2 13" xfId="8014"/>
    <cellStyle name="40% - 强调文字颜色 6 7 2 14" xfId="8015"/>
    <cellStyle name="40% - 强调文字颜色 6 7 2 15" xfId="8016"/>
    <cellStyle name="40% - 强调文字颜色 6 7 2 16" xfId="8017"/>
    <cellStyle name="40% - 强调文字颜色 6 7 2 17" xfId="8018"/>
    <cellStyle name="40% - 强调文字颜色 6 7 2 18" xfId="8019"/>
    <cellStyle name="40% - 强调文字颜色 6 7 2 19" xfId="8020"/>
    <cellStyle name="40% - 强调文字颜色 6 7 2 2" xfId="8021"/>
    <cellStyle name="40% - 强调文字颜色 6 7 2 20" xfId="8022"/>
    <cellStyle name="40% - 强调文字颜色 6 7 2 21" xfId="8023"/>
    <cellStyle name="40% - 强调文字颜色 6 7 2 22" xfId="8024"/>
    <cellStyle name="40% - 强调文字颜色 6 7 2 23" xfId="8025"/>
    <cellStyle name="40% - 强调文字颜色 6 7 2 24" xfId="8026"/>
    <cellStyle name="40% - 强调文字颜色 6 7 2 25" xfId="8027"/>
    <cellStyle name="40% - 强调文字颜色 6 7 2 26" xfId="8028"/>
    <cellStyle name="40% - 强调文字颜色 6 7 2 27" xfId="8029"/>
    <cellStyle name="40% - 强调文字颜色 6 7 2 3" xfId="8030"/>
    <cellStyle name="40% - 强调文字颜色 6 7 2 4" xfId="8031"/>
    <cellStyle name="40% - 强调文字颜色 6 7 2 5" xfId="8032"/>
    <cellStyle name="40% - 强调文字颜色 6 7 2 6" xfId="8033"/>
    <cellStyle name="40% - 强调文字颜色 6 7 2 7" xfId="8034"/>
    <cellStyle name="40% - 强调文字颜色 6 7 2 8" xfId="8035"/>
    <cellStyle name="40% - 强调文字颜色 6 7 2 9" xfId="8036"/>
    <cellStyle name="40% - 强调文字颜色 6 7 20" xfId="8037"/>
    <cellStyle name="40% - 强调文字颜色 6 7 21" xfId="8038"/>
    <cellStyle name="40% - 强调文字颜色 6 7 22" xfId="8039"/>
    <cellStyle name="40% - 强调文字颜色 6 7 23" xfId="8040"/>
    <cellStyle name="40% - 强调文字颜色 6 7 24" xfId="8041"/>
    <cellStyle name="40% - 强调文字颜色 6 7 25" xfId="8042"/>
    <cellStyle name="40% - 强调文字颜色 6 7 26" xfId="8043"/>
    <cellStyle name="40% - 强调文字颜色 6 7 27" xfId="8044"/>
    <cellStyle name="40% - 强调文字颜色 6 7 28" xfId="8045"/>
    <cellStyle name="40% - 强调文字颜色 6 7 3" xfId="8046"/>
    <cellStyle name="40% - 强调文字颜色 6 7 4" xfId="8047"/>
    <cellStyle name="40% - 强调文字颜色 6 7 5" xfId="8048"/>
    <cellStyle name="40% - 强调文字颜色 6 7 6" xfId="8049"/>
    <cellStyle name="40% - 强调文字颜色 6 7 7" xfId="8050"/>
    <cellStyle name="40% - 强调文字颜色 6 7 8" xfId="8051"/>
    <cellStyle name="40% - 强调文字颜色 6 7 9" xfId="8052"/>
    <cellStyle name="40% - 强调文字颜色 6 8" xfId="8053"/>
    <cellStyle name="40% - 强调文字颜色 6 8 10" xfId="8054"/>
    <cellStyle name="40% - 强调文字颜色 6 8 11" xfId="8055"/>
    <cellStyle name="40% - 强调文字颜色 6 8 12" xfId="8056"/>
    <cellStyle name="40% - 强调文字颜色 6 8 13" xfId="8057"/>
    <cellStyle name="40% - 强调文字颜色 6 8 14" xfId="8058"/>
    <cellStyle name="40% - 强调文字颜色 6 8 15" xfId="8059"/>
    <cellStyle name="40% - 强调文字颜色 6 8 16" xfId="8060"/>
    <cellStyle name="40% - 强调文字颜色 6 8 17" xfId="8061"/>
    <cellStyle name="40% - 强调文字颜色 6 8 18" xfId="8062"/>
    <cellStyle name="40% - 强调文字颜色 6 8 19" xfId="8063"/>
    <cellStyle name="40% - 强调文字颜色 6 8 2" xfId="8064"/>
    <cellStyle name="40% - 强调文字颜色 6 8 2 10" xfId="8065"/>
    <cellStyle name="40% - 强调文字颜色 6 8 2 11" xfId="8066"/>
    <cellStyle name="40% - 强调文字颜色 6 8 2 12" xfId="8067"/>
    <cellStyle name="40% - 强调文字颜色 6 8 2 13" xfId="8068"/>
    <cellStyle name="40% - 强调文字颜色 6 8 2 14" xfId="8069"/>
    <cellStyle name="40% - 强调文字颜色 6 8 2 15" xfId="8070"/>
    <cellStyle name="40% - 强调文字颜色 6 8 2 16" xfId="8071"/>
    <cellStyle name="40% - 强调文字颜色 6 8 2 17" xfId="8072"/>
    <cellStyle name="40% - 强调文字颜色 6 8 2 18" xfId="8073"/>
    <cellStyle name="40% - 强调文字颜色 6 8 2 19" xfId="8074"/>
    <cellStyle name="40% - 强调文字颜色 6 8 2 2" xfId="8075"/>
    <cellStyle name="40% - 强调文字颜色 6 8 2 20" xfId="8076"/>
    <cellStyle name="40% - 强调文字颜色 6 8 2 21" xfId="8077"/>
    <cellStyle name="40% - 强调文字颜色 6 8 2 22" xfId="8078"/>
    <cellStyle name="40% - 强调文字颜色 6 8 2 23" xfId="8079"/>
    <cellStyle name="40% - 强调文字颜色 6 8 2 24" xfId="8080"/>
    <cellStyle name="40% - 强调文字颜色 6 8 2 25" xfId="8081"/>
    <cellStyle name="40% - 强调文字颜色 6 8 2 26" xfId="8082"/>
    <cellStyle name="40% - 强调文字颜色 6 8 2 27" xfId="8083"/>
    <cellStyle name="40% - 强调文字颜色 6 8 2 3" xfId="8084"/>
    <cellStyle name="40% - 强调文字颜色 6 8 2 4" xfId="8085"/>
    <cellStyle name="40% - 强调文字颜色 6 8 2 5" xfId="8086"/>
    <cellStyle name="40% - 强调文字颜色 6 8 2 6" xfId="8087"/>
    <cellStyle name="40% - 强调文字颜色 6 8 2 7" xfId="8088"/>
    <cellStyle name="40% - 强调文字颜色 6 8 2 8" xfId="8089"/>
    <cellStyle name="40% - 强调文字颜色 6 8 2 9" xfId="8090"/>
    <cellStyle name="40% - 强调文字颜色 6 8 20" xfId="8091"/>
    <cellStyle name="40% - 强调文字颜色 6 8 21" xfId="8092"/>
    <cellStyle name="40% - 强调文字颜色 6 8 22" xfId="8093"/>
    <cellStyle name="40% - 强调文字颜色 6 8 23" xfId="8094"/>
    <cellStyle name="40% - 强调文字颜色 6 8 24" xfId="8095"/>
    <cellStyle name="40% - 强调文字颜色 6 8 25" xfId="8096"/>
    <cellStyle name="40% - 强调文字颜色 6 8 26" xfId="8097"/>
    <cellStyle name="40% - 强调文字颜色 6 8 27" xfId="8098"/>
    <cellStyle name="40% - 强调文字颜色 6 8 28" xfId="8099"/>
    <cellStyle name="40% - 强调文字颜色 6 8 3" xfId="8100"/>
    <cellStyle name="40% - 强调文字颜色 6 8 4" xfId="8101"/>
    <cellStyle name="40% - 强调文字颜色 6 8 5" xfId="8102"/>
    <cellStyle name="40% - 强调文字颜色 6 8 6" xfId="8103"/>
    <cellStyle name="40% - 强调文字颜色 6 8 7" xfId="8104"/>
    <cellStyle name="40% - 强调文字颜色 6 8 8" xfId="8105"/>
    <cellStyle name="40% - 强调文字颜色 6 8 9" xfId="8106"/>
    <cellStyle name="40% - 强调文字颜色 6 9" xfId="8107"/>
    <cellStyle name="40% - 强调文字颜色 6 9 10" xfId="8108"/>
    <cellStyle name="40% - 强调文字颜色 6 9 11" xfId="8109"/>
    <cellStyle name="40% - 强调文字颜色 6 9 12" xfId="8110"/>
    <cellStyle name="40% - 强调文字颜色 6 9 13" xfId="8111"/>
    <cellStyle name="40% - 强调文字颜色 6 9 14" xfId="8112"/>
    <cellStyle name="40% - 强调文字颜色 6 9 15" xfId="8113"/>
    <cellStyle name="40% - 强调文字颜色 6 9 16" xfId="8114"/>
    <cellStyle name="40% - 强调文字颜色 6 9 17" xfId="8115"/>
    <cellStyle name="40% - 强调文字颜色 6 9 18" xfId="8116"/>
    <cellStyle name="40% - 强调文字颜色 6 9 19" xfId="8117"/>
    <cellStyle name="40% - 强调文字颜色 6 9 2" xfId="8118"/>
    <cellStyle name="40% - 强调文字颜色 6 9 2 10" xfId="8119"/>
    <cellStyle name="40% - 强调文字颜色 6 9 2 11" xfId="8120"/>
    <cellStyle name="40% - 强调文字颜色 6 9 2 12" xfId="8121"/>
    <cellStyle name="40% - 强调文字颜色 6 9 2 13" xfId="8122"/>
    <cellStyle name="40% - 强调文字颜色 6 9 2 14" xfId="8123"/>
    <cellStyle name="40% - 强调文字颜色 6 9 2 15" xfId="8124"/>
    <cellStyle name="40% - 强调文字颜色 6 9 2 16" xfId="8125"/>
    <cellStyle name="40% - 强调文字颜色 6 9 2 17" xfId="8126"/>
    <cellStyle name="40% - 强调文字颜色 6 9 2 18" xfId="8127"/>
    <cellStyle name="40% - 强调文字颜色 6 9 2 19" xfId="8128"/>
    <cellStyle name="40% - 强调文字颜色 6 9 2 2" xfId="8129"/>
    <cellStyle name="40% - 强调文字颜色 6 9 2 20" xfId="8130"/>
    <cellStyle name="40% - 强调文字颜色 6 9 2 21" xfId="8131"/>
    <cellStyle name="40% - 强调文字颜色 6 9 2 22" xfId="8132"/>
    <cellStyle name="40% - 强调文字颜色 6 9 2 23" xfId="8133"/>
    <cellStyle name="40% - 强调文字颜色 6 9 2 24" xfId="8134"/>
    <cellStyle name="40% - 强调文字颜色 6 9 2 25" xfId="8135"/>
    <cellStyle name="40% - 强调文字颜色 6 9 2 26" xfId="8136"/>
    <cellStyle name="40% - 强调文字颜色 6 9 2 27" xfId="8137"/>
    <cellStyle name="40% - 强调文字颜色 6 9 2 3" xfId="8138"/>
    <cellStyle name="40% - 强调文字颜色 6 9 2 4" xfId="8139"/>
    <cellStyle name="40% - 强调文字颜色 6 9 2 5" xfId="8140"/>
    <cellStyle name="40% - 强调文字颜色 6 9 2 6" xfId="8141"/>
    <cellStyle name="40% - 强调文字颜色 6 9 2 7" xfId="8142"/>
    <cellStyle name="40% - 强调文字颜色 6 9 2 8" xfId="8143"/>
    <cellStyle name="40% - 强调文字颜色 6 9 2 9" xfId="8144"/>
    <cellStyle name="40% - 强调文字颜色 6 9 20" xfId="8145"/>
    <cellStyle name="40% - 强调文字颜色 6 9 21" xfId="8146"/>
    <cellStyle name="40% - 强调文字颜色 6 9 22" xfId="8147"/>
    <cellStyle name="40% - 强调文字颜色 6 9 23" xfId="8148"/>
    <cellStyle name="40% - 强调文字颜色 6 9 24" xfId="8149"/>
    <cellStyle name="40% - 强调文字颜色 6 9 25" xfId="8150"/>
    <cellStyle name="40% - 强调文字颜色 6 9 26" xfId="8151"/>
    <cellStyle name="40% - 强调文字颜色 6 9 27" xfId="8152"/>
    <cellStyle name="40% - 强调文字颜色 6 9 28" xfId="8153"/>
    <cellStyle name="40% - 强调文字颜色 6 9 3" xfId="8154"/>
    <cellStyle name="40% - 强调文字颜色 6 9 4" xfId="8155"/>
    <cellStyle name="40% - 强调文字颜色 6 9 5" xfId="8156"/>
    <cellStyle name="40% - 强调文字颜色 6 9 6" xfId="8157"/>
    <cellStyle name="40% - 强调文字颜色 6 9 7" xfId="8158"/>
    <cellStyle name="40% - 强调文字颜色 6 9 8" xfId="8159"/>
    <cellStyle name="40% - 强调文字颜色 6 9 9" xfId="8160"/>
    <cellStyle name="60% - 强调文字颜色 1 10" xfId="8161"/>
    <cellStyle name="60% - 强调文字颜色 1 10 10" xfId="8162"/>
    <cellStyle name="60% - 强调文字颜色 1 10 11" xfId="8163"/>
    <cellStyle name="60% - 强调文字颜色 1 10 12" xfId="8164"/>
    <cellStyle name="60% - 强调文字颜色 1 10 13" xfId="8165"/>
    <cellStyle name="60% - 强调文字颜色 1 10 14" xfId="8166"/>
    <cellStyle name="60% - 强调文字颜色 1 10 15" xfId="8167"/>
    <cellStyle name="60% - 强调文字颜色 1 10 16" xfId="8168"/>
    <cellStyle name="60% - 强调文字颜色 1 10 17" xfId="8169"/>
    <cellStyle name="60% - 强调文字颜色 1 10 18" xfId="8170"/>
    <cellStyle name="60% - 强调文字颜色 1 10 19" xfId="8171"/>
    <cellStyle name="60% - 强调文字颜色 1 10 2" xfId="8172"/>
    <cellStyle name="60% - 强调文字颜色 1 10 2 10" xfId="8173"/>
    <cellStyle name="60% - 强调文字颜色 1 10 2 11" xfId="8174"/>
    <cellStyle name="60% - 强调文字颜色 1 10 2 12" xfId="8175"/>
    <cellStyle name="60% - 强调文字颜色 1 10 2 13" xfId="8176"/>
    <cellStyle name="60% - 强调文字颜色 1 10 2 14" xfId="8177"/>
    <cellStyle name="60% - 强调文字颜色 1 10 2 15" xfId="8178"/>
    <cellStyle name="60% - 强调文字颜色 1 10 2 16" xfId="8179"/>
    <cellStyle name="60% - 强调文字颜色 1 10 2 17" xfId="8180"/>
    <cellStyle name="60% - 强调文字颜色 1 10 2 18" xfId="8181"/>
    <cellStyle name="60% - 强调文字颜色 1 10 2 19" xfId="8182"/>
    <cellStyle name="60% - 强调文字颜色 1 10 2 2" xfId="8183"/>
    <cellStyle name="60% - 强调文字颜色 1 10 2 20" xfId="8184"/>
    <cellStyle name="60% - 强调文字颜色 1 10 2 21" xfId="8185"/>
    <cellStyle name="60% - 强调文字颜色 1 10 2 22" xfId="8186"/>
    <cellStyle name="60% - 强调文字颜色 1 10 2 23" xfId="8187"/>
    <cellStyle name="60% - 强调文字颜色 1 10 2 24" xfId="8188"/>
    <cellStyle name="60% - 强调文字颜色 1 10 2 25" xfId="8189"/>
    <cellStyle name="60% - 强调文字颜色 1 10 2 26" xfId="8190"/>
    <cellStyle name="60% - 强调文字颜色 1 10 2 27" xfId="8191"/>
    <cellStyle name="60% - 强调文字颜色 1 10 2 3" xfId="8192"/>
    <cellStyle name="60% - 强调文字颜色 1 10 2 4" xfId="8193"/>
    <cellStyle name="60% - 强调文字颜色 1 10 2 5" xfId="8194"/>
    <cellStyle name="60% - 强调文字颜色 1 10 2 6" xfId="8195"/>
    <cellStyle name="60% - 强调文字颜色 1 10 2 7" xfId="8196"/>
    <cellStyle name="60% - 强调文字颜色 1 10 2 8" xfId="8197"/>
    <cellStyle name="60% - 强调文字颜色 1 10 2 9" xfId="8198"/>
    <cellStyle name="60% - 强调文字颜色 1 10 20" xfId="8199"/>
    <cellStyle name="60% - 强调文字颜色 1 10 21" xfId="8200"/>
    <cellStyle name="60% - 强调文字颜色 1 10 22" xfId="8201"/>
    <cellStyle name="60% - 强调文字颜色 1 10 23" xfId="8202"/>
    <cellStyle name="60% - 强调文字颜色 1 10 24" xfId="8203"/>
    <cellStyle name="60% - 强调文字颜色 1 10 25" xfId="8204"/>
    <cellStyle name="60% - 强调文字颜色 1 10 26" xfId="8205"/>
    <cellStyle name="60% - 强调文字颜色 1 10 27" xfId="8206"/>
    <cellStyle name="60% - 强调文字颜色 1 10 28" xfId="8207"/>
    <cellStyle name="60% - 强调文字颜色 1 10 3" xfId="8208"/>
    <cellStyle name="60% - 强调文字颜色 1 10 4" xfId="8209"/>
    <cellStyle name="60% - 强调文字颜色 1 10 5" xfId="8210"/>
    <cellStyle name="60% - 强调文字颜色 1 10 6" xfId="8211"/>
    <cellStyle name="60% - 强调文字颜色 1 10 7" xfId="8212"/>
    <cellStyle name="60% - 强调文字颜色 1 10 8" xfId="8213"/>
    <cellStyle name="60% - 强调文字颜色 1 10 9" xfId="8214"/>
    <cellStyle name="60% - 强调文字颜色 1 11" xfId="8215"/>
    <cellStyle name="60% - 强调文字颜色 1 11 10" xfId="8216"/>
    <cellStyle name="60% - 强调文字颜色 1 11 11" xfId="8217"/>
    <cellStyle name="60% - 强调文字颜色 1 11 12" xfId="8218"/>
    <cellStyle name="60% - 强调文字颜色 1 11 13" xfId="8219"/>
    <cellStyle name="60% - 强调文字颜色 1 11 14" xfId="8220"/>
    <cellStyle name="60% - 强调文字颜色 1 11 15" xfId="8221"/>
    <cellStyle name="60% - 强调文字颜色 1 11 16" xfId="8222"/>
    <cellStyle name="60% - 强调文字颜色 1 11 17" xfId="8223"/>
    <cellStyle name="60% - 强调文字颜色 1 11 18" xfId="8224"/>
    <cellStyle name="60% - 强调文字颜色 1 11 19" xfId="8225"/>
    <cellStyle name="60% - 强调文字颜色 1 11 2" xfId="8226"/>
    <cellStyle name="60% - 强调文字颜色 1 11 2 10" xfId="8227"/>
    <cellStyle name="60% - 强调文字颜色 1 11 2 11" xfId="8228"/>
    <cellStyle name="60% - 强调文字颜色 1 11 2 12" xfId="8229"/>
    <cellStyle name="60% - 强调文字颜色 1 11 2 13" xfId="8230"/>
    <cellStyle name="60% - 强调文字颜色 1 11 2 14" xfId="8231"/>
    <cellStyle name="60% - 强调文字颜色 1 11 2 15" xfId="8232"/>
    <cellStyle name="60% - 强调文字颜色 1 11 2 16" xfId="8233"/>
    <cellStyle name="60% - 强调文字颜色 1 11 2 17" xfId="8234"/>
    <cellStyle name="60% - 强调文字颜色 1 11 2 18" xfId="8235"/>
    <cellStyle name="60% - 强调文字颜色 1 11 2 19" xfId="8236"/>
    <cellStyle name="60% - 强调文字颜色 1 11 2 2" xfId="8237"/>
    <cellStyle name="60% - 强调文字颜色 1 11 2 20" xfId="8238"/>
    <cellStyle name="60% - 强调文字颜色 1 11 2 21" xfId="8239"/>
    <cellStyle name="60% - 强调文字颜色 1 11 2 22" xfId="8240"/>
    <cellStyle name="60% - 强调文字颜色 1 11 2 23" xfId="8241"/>
    <cellStyle name="60% - 强调文字颜色 1 11 2 24" xfId="8242"/>
    <cellStyle name="60% - 强调文字颜色 1 11 2 25" xfId="8243"/>
    <cellStyle name="60% - 强调文字颜色 1 11 2 26" xfId="8244"/>
    <cellStyle name="60% - 强调文字颜色 1 11 2 27" xfId="8245"/>
    <cellStyle name="60% - 强调文字颜色 1 11 2 3" xfId="8246"/>
    <cellStyle name="60% - 强调文字颜色 1 11 2 4" xfId="8247"/>
    <cellStyle name="60% - 强调文字颜色 1 11 2 5" xfId="8248"/>
    <cellStyle name="60% - 强调文字颜色 1 11 2 6" xfId="8249"/>
    <cellStyle name="60% - 强调文字颜色 1 11 2 7" xfId="8250"/>
    <cellStyle name="60% - 强调文字颜色 1 11 2 8" xfId="8251"/>
    <cellStyle name="60% - 强调文字颜色 1 11 2 9" xfId="8252"/>
    <cellStyle name="60% - 强调文字颜色 1 11 20" xfId="8253"/>
    <cellStyle name="60% - 强调文字颜色 1 11 21" xfId="8254"/>
    <cellStyle name="60% - 强调文字颜色 1 11 22" xfId="8255"/>
    <cellStyle name="60% - 强调文字颜色 1 11 23" xfId="8256"/>
    <cellStyle name="60% - 强调文字颜色 1 11 24" xfId="8257"/>
    <cellStyle name="60% - 强调文字颜色 1 11 25" xfId="8258"/>
    <cellStyle name="60% - 强调文字颜色 1 11 26" xfId="8259"/>
    <cellStyle name="60% - 强调文字颜色 1 11 27" xfId="8260"/>
    <cellStyle name="60% - 强调文字颜色 1 11 28" xfId="8261"/>
    <cellStyle name="60% - 强调文字颜色 1 11 3" xfId="8262"/>
    <cellStyle name="60% - 强调文字颜色 1 11 4" xfId="8263"/>
    <cellStyle name="60% - 强调文字颜色 1 11 5" xfId="8264"/>
    <cellStyle name="60% - 强调文字颜色 1 11 6" xfId="8265"/>
    <cellStyle name="60% - 强调文字颜色 1 11 7" xfId="8266"/>
    <cellStyle name="60% - 强调文字颜色 1 11 8" xfId="8267"/>
    <cellStyle name="60% - 强调文字颜色 1 11 9" xfId="8268"/>
    <cellStyle name="60% - 强调文字颜色 1 12" xfId="8269"/>
    <cellStyle name="60% - 强调文字颜色 1 13" xfId="8270"/>
    <cellStyle name="60% - 强调文字颜色 1 14" xfId="8271"/>
    <cellStyle name="60% - 强调文字颜色 1 15" xfId="8272"/>
    <cellStyle name="60% - 强调文字颜色 1 16" xfId="8273"/>
    <cellStyle name="60% - 强调文字颜色 1 17" xfId="8274"/>
    <cellStyle name="60% - 强调文字颜色 1 18" xfId="8275"/>
    <cellStyle name="60% - 强调文字颜色 1 19" xfId="8276"/>
    <cellStyle name="60% - 强调文字颜色 1 2" xfId="8277"/>
    <cellStyle name="60% - 强调文字颜色 1 2 10" xfId="8278"/>
    <cellStyle name="60% - 强调文字颜色 1 2 11" xfId="8279"/>
    <cellStyle name="60% - 强调文字颜色 1 2 12" xfId="8280"/>
    <cellStyle name="60% - 强调文字颜色 1 2 13" xfId="8281"/>
    <cellStyle name="60% - 强调文字颜色 1 2 14" xfId="8282"/>
    <cellStyle name="60% - 强调文字颜色 1 2 15" xfId="8283"/>
    <cellStyle name="60% - 强调文字颜色 1 2 16" xfId="8284"/>
    <cellStyle name="60% - 强调文字颜色 1 2 17" xfId="8285"/>
    <cellStyle name="60% - 强调文字颜色 1 2 18" xfId="8286"/>
    <cellStyle name="60% - 强调文字颜色 1 2 19" xfId="8287"/>
    <cellStyle name="60% - 强调文字颜色 1 2 2" xfId="8288"/>
    <cellStyle name="60% - 强调文字颜色 1 2 2 10" xfId="8289"/>
    <cellStyle name="60% - 强调文字颜色 1 2 2 11" xfId="8290"/>
    <cellStyle name="60% - 强调文字颜色 1 2 2 12" xfId="8291"/>
    <cellStyle name="60% - 强调文字颜色 1 2 2 13" xfId="8292"/>
    <cellStyle name="60% - 强调文字颜色 1 2 2 14" xfId="8293"/>
    <cellStyle name="60% - 强调文字颜色 1 2 2 15" xfId="8294"/>
    <cellStyle name="60% - 强调文字颜色 1 2 2 16" xfId="8295"/>
    <cellStyle name="60% - 强调文字颜色 1 2 2 17" xfId="8296"/>
    <cellStyle name="60% - 强调文字颜色 1 2 2 18" xfId="8297"/>
    <cellStyle name="60% - 强调文字颜色 1 2 2 19" xfId="8298"/>
    <cellStyle name="60% - 强调文字颜色 1 2 2 2" xfId="8299"/>
    <cellStyle name="60% - 强调文字颜色 1 2 2 2 10" xfId="8300"/>
    <cellStyle name="60% - 强调文字颜色 1 2 2 2 11" xfId="8301"/>
    <cellStyle name="60% - 强调文字颜色 1 2 2 2 12" xfId="8302"/>
    <cellStyle name="60% - 强调文字颜色 1 2 2 2 13" xfId="8303"/>
    <cellStyle name="60% - 强调文字颜色 1 2 2 2 14" xfId="8304"/>
    <cellStyle name="60% - 强调文字颜色 1 2 2 2 15" xfId="8305"/>
    <cellStyle name="60% - 强调文字颜色 1 2 2 2 16" xfId="8306"/>
    <cellStyle name="60% - 强调文字颜色 1 2 2 2 17" xfId="8307"/>
    <cellStyle name="60% - 强调文字颜色 1 2 2 2 18" xfId="8308"/>
    <cellStyle name="60% - 强调文字颜色 1 2 2 2 19" xfId="8309"/>
    <cellStyle name="60% - 强调文字颜色 1 2 2 2 2" xfId="8310"/>
    <cellStyle name="60% - 强调文字颜色 1 2 2 2 20" xfId="8311"/>
    <cellStyle name="60% - 强调文字颜色 1 2 2 2 21" xfId="8312"/>
    <cellStyle name="60% - 强调文字颜色 1 2 2 2 22" xfId="8313"/>
    <cellStyle name="60% - 强调文字颜色 1 2 2 2 23" xfId="8314"/>
    <cellStyle name="60% - 强调文字颜色 1 2 2 2 24" xfId="8315"/>
    <cellStyle name="60% - 强调文字颜色 1 2 2 2 25" xfId="8316"/>
    <cellStyle name="60% - 强调文字颜色 1 2 2 2 26" xfId="8317"/>
    <cellStyle name="60% - 强调文字颜色 1 2 2 2 27" xfId="8318"/>
    <cellStyle name="60% - 强调文字颜色 1 2 2 2 3" xfId="8319"/>
    <cellStyle name="60% - 强调文字颜色 1 2 2 2 4" xfId="8320"/>
    <cellStyle name="60% - 强调文字颜色 1 2 2 2 5" xfId="8321"/>
    <cellStyle name="60% - 强调文字颜色 1 2 2 2 6" xfId="8322"/>
    <cellStyle name="60% - 强调文字颜色 1 2 2 2 7" xfId="8323"/>
    <cellStyle name="60% - 强调文字颜色 1 2 2 2 8" xfId="8324"/>
    <cellStyle name="60% - 强调文字颜色 1 2 2 2 9" xfId="8325"/>
    <cellStyle name="60% - 强调文字颜色 1 2 2 20" xfId="8326"/>
    <cellStyle name="60% - 强调文字颜色 1 2 2 21" xfId="8327"/>
    <cellStyle name="60% - 强调文字颜色 1 2 2 22" xfId="8328"/>
    <cellStyle name="60% - 强调文字颜色 1 2 2 23" xfId="8329"/>
    <cellStyle name="60% - 强调文字颜色 1 2 2 24" xfId="8330"/>
    <cellStyle name="60% - 强调文字颜色 1 2 2 25" xfId="8331"/>
    <cellStyle name="60% - 强调文字颜色 1 2 2 26" xfId="8332"/>
    <cellStyle name="60% - 强调文字颜色 1 2 2 27" xfId="8333"/>
    <cellStyle name="60% - 强调文字颜色 1 2 2 28" xfId="8334"/>
    <cellStyle name="60% - 强调文字颜色 1 2 2 3" xfId="8335"/>
    <cellStyle name="60% - 强调文字颜色 1 2 2 4" xfId="8336"/>
    <cellStyle name="60% - 强调文字颜色 1 2 2 5" xfId="8337"/>
    <cellStyle name="60% - 强调文字颜色 1 2 2 6" xfId="8338"/>
    <cellStyle name="60% - 强调文字颜色 1 2 2 7" xfId="8339"/>
    <cellStyle name="60% - 强调文字颜色 1 2 2 8" xfId="8340"/>
    <cellStyle name="60% - 强调文字颜色 1 2 2 9" xfId="8341"/>
    <cellStyle name="60% - 强调文字颜色 1 2 20" xfId="8342"/>
    <cellStyle name="60% - 强调文字颜色 1 2 21" xfId="8343"/>
    <cellStyle name="60% - 强调文字颜色 1 2 22" xfId="8344"/>
    <cellStyle name="60% - 强调文字颜色 1 2 23" xfId="8345"/>
    <cellStyle name="60% - 强调文字颜色 1 2 24" xfId="8346"/>
    <cellStyle name="60% - 强调文字颜色 1 2 25" xfId="8347"/>
    <cellStyle name="60% - 强调文字颜色 1 2 26" xfId="8348"/>
    <cellStyle name="60% - 强调文字颜色 1 2 27" xfId="8349"/>
    <cellStyle name="60% - 强调文字颜色 1 2 28" xfId="8350"/>
    <cellStyle name="60% - 强调文字颜色 1 2 29" xfId="8351"/>
    <cellStyle name="60% - 强调文字颜色 1 2 3" xfId="8352"/>
    <cellStyle name="60% - 强调文字颜色 1 2 3 10" xfId="8353"/>
    <cellStyle name="60% - 强调文字颜色 1 2 3 11" xfId="8354"/>
    <cellStyle name="60% - 强调文字颜色 1 2 3 12" xfId="8355"/>
    <cellStyle name="60% - 强调文字颜色 1 2 3 13" xfId="8356"/>
    <cellStyle name="60% - 强调文字颜色 1 2 3 14" xfId="8357"/>
    <cellStyle name="60% - 强调文字颜色 1 2 3 15" xfId="8358"/>
    <cellStyle name="60% - 强调文字颜色 1 2 3 16" xfId="8359"/>
    <cellStyle name="60% - 强调文字颜色 1 2 3 17" xfId="8360"/>
    <cellStyle name="60% - 强调文字颜色 1 2 3 18" xfId="8361"/>
    <cellStyle name="60% - 强调文字颜色 1 2 3 19" xfId="8362"/>
    <cellStyle name="60% - 强调文字颜色 1 2 3 2" xfId="8363"/>
    <cellStyle name="60% - 强调文字颜色 1 2 3 2 10" xfId="8364"/>
    <cellStyle name="60% - 强调文字颜色 1 2 3 2 11" xfId="8365"/>
    <cellStyle name="60% - 强调文字颜色 1 2 3 2 12" xfId="8366"/>
    <cellStyle name="60% - 强调文字颜色 1 2 3 2 13" xfId="8367"/>
    <cellStyle name="60% - 强调文字颜色 1 2 3 2 14" xfId="8368"/>
    <cellStyle name="60% - 强调文字颜色 1 2 3 2 15" xfId="8369"/>
    <cellStyle name="60% - 强调文字颜色 1 2 3 2 16" xfId="8370"/>
    <cellStyle name="60% - 强调文字颜色 1 2 3 2 17" xfId="8371"/>
    <cellStyle name="60% - 强调文字颜色 1 2 3 2 18" xfId="8372"/>
    <cellStyle name="60% - 强调文字颜色 1 2 3 2 19" xfId="8373"/>
    <cellStyle name="60% - 强调文字颜色 1 2 3 2 2" xfId="8374"/>
    <cellStyle name="60% - 强调文字颜色 1 2 3 2 20" xfId="8375"/>
    <cellStyle name="60% - 强调文字颜色 1 2 3 2 21" xfId="8376"/>
    <cellStyle name="60% - 强调文字颜色 1 2 3 2 22" xfId="8377"/>
    <cellStyle name="60% - 强调文字颜色 1 2 3 2 23" xfId="8378"/>
    <cellStyle name="60% - 强调文字颜色 1 2 3 2 24" xfId="8379"/>
    <cellStyle name="60% - 强调文字颜色 1 2 3 2 25" xfId="8380"/>
    <cellStyle name="60% - 强调文字颜色 1 2 3 2 26" xfId="8381"/>
    <cellStyle name="60% - 强调文字颜色 1 2 3 2 27" xfId="8382"/>
    <cellStyle name="60% - 强调文字颜色 1 2 3 2 3" xfId="8383"/>
    <cellStyle name="60% - 强调文字颜色 1 2 3 2 4" xfId="8384"/>
    <cellStyle name="60% - 强调文字颜色 1 2 3 2 5" xfId="8385"/>
    <cellStyle name="60% - 强调文字颜色 1 2 3 2 6" xfId="8386"/>
    <cellStyle name="60% - 强调文字颜色 1 2 3 2 7" xfId="8387"/>
    <cellStyle name="60% - 强调文字颜色 1 2 3 2 8" xfId="8388"/>
    <cellStyle name="60% - 强调文字颜色 1 2 3 2 9" xfId="8389"/>
    <cellStyle name="60% - 强调文字颜色 1 2 3 20" xfId="8390"/>
    <cellStyle name="60% - 强调文字颜色 1 2 3 21" xfId="8391"/>
    <cellStyle name="60% - 强调文字颜色 1 2 3 22" xfId="8392"/>
    <cellStyle name="60% - 强调文字颜色 1 2 3 23" xfId="8393"/>
    <cellStyle name="60% - 强调文字颜色 1 2 3 24" xfId="8394"/>
    <cellStyle name="60% - 强调文字颜色 1 2 3 25" xfId="8395"/>
    <cellStyle name="60% - 强调文字颜色 1 2 3 26" xfId="8396"/>
    <cellStyle name="60% - 强调文字颜色 1 2 3 27" xfId="8397"/>
    <cellStyle name="60% - 强调文字颜色 1 2 3 28" xfId="8398"/>
    <cellStyle name="60% - 强调文字颜色 1 2 3 3" xfId="8399"/>
    <cellStyle name="60% - 强调文字颜色 1 2 3 4" xfId="8400"/>
    <cellStyle name="60% - 强调文字颜色 1 2 3 5" xfId="8401"/>
    <cellStyle name="60% - 强调文字颜色 1 2 3 6" xfId="8402"/>
    <cellStyle name="60% - 强调文字颜色 1 2 3 7" xfId="8403"/>
    <cellStyle name="60% - 强调文字颜色 1 2 3 8" xfId="8404"/>
    <cellStyle name="60% - 强调文字颜色 1 2 3 9" xfId="8405"/>
    <cellStyle name="60% - 强调文字颜色 1 2 30" xfId="8406"/>
    <cellStyle name="60% - 强调文字颜色 1 2 31" xfId="8407"/>
    <cellStyle name="60% - 强调文字颜色 1 2 32" xfId="8408"/>
    <cellStyle name="60% - 强调文字颜色 1 2 33" xfId="8409"/>
    <cellStyle name="60% - 强调文字颜色 1 2 4" xfId="8410"/>
    <cellStyle name="60% - 强调文字颜色 1 2 4 10" xfId="8411"/>
    <cellStyle name="60% - 强调文字颜色 1 2 4 11" xfId="8412"/>
    <cellStyle name="60% - 强调文字颜色 1 2 4 12" xfId="8413"/>
    <cellStyle name="60% - 强调文字颜色 1 2 4 13" xfId="8414"/>
    <cellStyle name="60% - 强调文字颜色 1 2 4 14" xfId="8415"/>
    <cellStyle name="60% - 强调文字颜色 1 2 4 15" xfId="8416"/>
    <cellStyle name="60% - 强调文字颜色 1 2 4 16" xfId="8417"/>
    <cellStyle name="60% - 强调文字颜色 1 2 4 17" xfId="8418"/>
    <cellStyle name="60% - 强调文字颜色 1 2 4 18" xfId="8419"/>
    <cellStyle name="60% - 强调文字颜色 1 2 4 19" xfId="8420"/>
    <cellStyle name="60% - 强调文字颜色 1 2 4 2" xfId="8421"/>
    <cellStyle name="60% - 强调文字颜色 1 2 4 20" xfId="8422"/>
    <cellStyle name="60% - 强调文字颜色 1 2 4 21" xfId="8423"/>
    <cellStyle name="60% - 强调文字颜色 1 2 4 22" xfId="8424"/>
    <cellStyle name="60% - 强调文字颜色 1 2 4 23" xfId="8425"/>
    <cellStyle name="60% - 强调文字颜色 1 2 4 24" xfId="8426"/>
    <cellStyle name="60% - 强调文字颜色 1 2 4 25" xfId="8427"/>
    <cellStyle name="60% - 强调文字颜色 1 2 4 26" xfId="8428"/>
    <cellStyle name="60% - 强调文字颜色 1 2 4 27" xfId="8429"/>
    <cellStyle name="60% - 强调文字颜色 1 2 4 3" xfId="8430"/>
    <cellStyle name="60% - 强调文字颜色 1 2 4 4" xfId="8431"/>
    <cellStyle name="60% - 强调文字颜色 1 2 4 5" xfId="8432"/>
    <cellStyle name="60% - 强调文字颜色 1 2 4 6" xfId="8433"/>
    <cellStyle name="60% - 强调文字颜色 1 2 4 7" xfId="8434"/>
    <cellStyle name="60% - 强调文字颜色 1 2 4 8" xfId="8435"/>
    <cellStyle name="60% - 强调文字颜色 1 2 4 9" xfId="8436"/>
    <cellStyle name="60% - 强调文字颜色 1 2 5" xfId="8437"/>
    <cellStyle name="60% - 强调文字颜色 1 2 6" xfId="8438"/>
    <cellStyle name="60% - 强调文字颜色 1 2 7" xfId="8439"/>
    <cellStyle name="60% - 强调文字颜色 1 2 8" xfId="8440"/>
    <cellStyle name="60% - 强调文字颜色 1 2 9" xfId="8441"/>
    <cellStyle name="60% - 强调文字颜色 1 20" xfId="8442"/>
    <cellStyle name="60% - 强调文字颜色 1 21" xfId="8443"/>
    <cellStyle name="60% - 强调文字颜色 1 22" xfId="8444"/>
    <cellStyle name="60% - 强调文字颜色 1 23" xfId="8445"/>
    <cellStyle name="60% - 强调文字颜色 1 24" xfId="8446"/>
    <cellStyle name="60% - 强调文字颜色 1 25" xfId="8447"/>
    <cellStyle name="60% - 强调文字颜色 1 26" xfId="8448"/>
    <cellStyle name="60% - 强调文字颜色 1 27" xfId="8449"/>
    <cellStyle name="60% - 强调文字颜色 1 28" xfId="8450"/>
    <cellStyle name="60% - 强调文字颜色 1 29" xfId="8451"/>
    <cellStyle name="60% - 强调文字颜色 1 3" xfId="8452"/>
    <cellStyle name="60% - 强调文字颜色 1 3 10" xfId="8453"/>
    <cellStyle name="60% - 强调文字颜色 1 3 11" xfId="8454"/>
    <cellStyle name="60% - 强调文字颜色 1 3 12" xfId="8455"/>
    <cellStyle name="60% - 强调文字颜色 1 3 13" xfId="8456"/>
    <cellStyle name="60% - 强调文字颜色 1 3 14" xfId="8457"/>
    <cellStyle name="60% - 强调文字颜色 1 3 15" xfId="8458"/>
    <cellStyle name="60% - 强调文字颜色 1 3 16" xfId="8459"/>
    <cellStyle name="60% - 强调文字颜色 1 3 17" xfId="8460"/>
    <cellStyle name="60% - 强调文字颜色 1 3 18" xfId="8461"/>
    <cellStyle name="60% - 强调文字颜色 1 3 19" xfId="8462"/>
    <cellStyle name="60% - 强调文字颜色 1 3 2" xfId="8463"/>
    <cellStyle name="60% - 强调文字颜色 1 3 2 10" xfId="8464"/>
    <cellStyle name="60% - 强调文字颜色 1 3 2 11" xfId="8465"/>
    <cellStyle name="60% - 强调文字颜色 1 3 2 12" xfId="8466"/>
    <cellStyle name="60% - 强调文字颜色 1 3 2 13" xfId="8467"/>
    <cellStyle name="60% - 强调文字颜色 1 3 2 14" xfId="8468"/>
    <cellStyle name="60% - 强调文字颜色 1 3 2 15" xfId="8469"/>
    <cellStyle name="60% - 强调文字颜色 1 3 2 16" xfId="8470"/>
    <cellStyle name="60% - 强调文字颜色 1 3 2 17" xfId="8471"/>
    <cellStyle name="60% - 强调文字颜色 1 3 2 18" xfId="8472"/>
    <cellStyle name="60% - 强调文字颜色 1 3 2 19" xfId="8473"/>
    <cellStyle name="60% - 强调文字颜色 1 3 2 2" xfId="8474"/>
    <cellStyle name="60% - 强调文字颜色 1 3 2 20" xfId="8475"/>
    <cellStyle name="60% - 强调文字颜色 1 3 2 21" xfId="8476"/>
    <cellStyle name="60% - 强调文字颜色 1 3 2 22" xfId="8477"/>
    <cellStyle name="60% - 强调文字颜色 1 3 2 23" xfId="8478"/>
    <cellStyle name="60% - 强调文字颜色 1 3 2 24" xfId="8479"/>
    <cellStyle name="60% - 强调文字颜色 1 3 2 25" xfId="8480"/>
    <cellStyle name="60% - 强调文字颜色 1 3 2 26" xfId="8481"/>
    <cellStyle name="60% - 强调文字颜色 1 3 2 27" xfId="8482"/>
    <cellStyle name="60% - 强调文字颜色 1 3 2 3" xfId="8483"/>
    <cellStyle name="60% - 强调文字颜色 1 3 2 4" xfId="8484"/>
    <cellStyle name="60% - 强调文字颜色 1 3 2 5" xfId="8485"/>
    <cellStyle name="60% - 强调文字颜色 1 3 2 6" xfId="8486"/>
    <cellStyle name="60% - 强调文字颜色 1 3 2 7" xfId="8487"/>
    <cellStyle name="60% - 强调文字颜色 1 3 2 8" xfId="8488"/>
    <cellStyle name="60% - 强调文字颜色 1 3 2 9" xfId="8489"/>
    <cellStyle name="60% - 强调文字颜色 1 3 20" xfId="8490"/>
    <cellStyle name="60% - 强调文字颜色 1 3 21" xfId="8491"/>
    <cellStyle name="60% - 强调文字颜色 1 3 22" xfId="8492"/>
    <cellStyle name="60% - 强调文字颜色 1 3 23" xfId="8493"/>
    <cellStyle name="60% - 强调文字颜色 1 3 24" xfId="8494"/>
    <cellStyle name="60% - 强调文字颜色 1 3 25" xfId="8495"/>
    <cellStyle name="60% - 强调文字颜色 1 3 26" xfId="8496"/>
    <cellStyle name="60% - 强调文字颜色 1 3 27" xfId="8497"/>
    <cellStyle name="60% - 强调文字颜色 1 3 28" xfId="8498"/>
    <cellStyle name="60% - 强调文字颜色 1 3 3" xfId="8499"/>
    <cellStyle name="60% - 强调文字颜色 1 3 4" xfId="8500"/>
    <cellStyle name="60% - 强调文字颜色 1 3 5" xfId="8501"/>
    <cellStyle name="60% - 强调文字颜色 1 3 6" xfId="8502"/>
    <cellStyle name="60% - 强调文字颜色 1 3 7" xfId="8503"/>
    <cellStyle name="60% - 强调文字颜色 1 3 8" xfId="8504"/>
    <cellStyle name="60% - 强调文字颜色 1 3 9" xfId="8505"/>
    <cellStyle name="60% - 强调文字颜色 1 30" xfId="8506"/>
    <cellStyle name="60% - 强调文字颜色 1 31" xfId="8507"/>
    <cellStyle name="60% - 强调文字颜色 1 32" xfId="8508"/>
    <cellStyle name="60% - 强调文字颜色 1 33" xfId="8509"/>
    <cellStyle name="60% - 强调文字颜色 1 34" xfId="8510"/>
    <cellStyle name="60% - 强调文字颜色 1 35" xfId="8511"/>
    <cellStyle name="60% - 强调文字颜色 1 36" xfId="8512"/>
    <cellStyle name="60% - 强调文字颜色 1 37" xfId="8513"/>
    <cellStyle name="60% - 强调文字颜色 1 38" xfId="8514"/>
    <cellStyle name="60% - 强调文字颜色 1 39" xfId="8515"/>
    <cellStyle name="60% - 强调文字颜色 1 4" xfId="8516"/>
    <cellStyle name="60% - 强调文字颜色 1 4 10" xfId="8517"/>
    <cellStyle name="60% - 强调文字颜色 1 4 11" xfId="8518"/>
    <cellStyle name="60% - 强调文字颜色 1 4 12" xfId="8519"/>
    <cellStyle name="60% - 强调文字颜色 1 4 13" xfId="8520"/>
    <cellStyle name="60% - 强调文字颜色 1 4 14" xfId="8521"/>
    <cellStyle name="60% - 强调文字颜色 1 4 15" xfId="8522"/>
    <cellStyle name="60% - 强调文字颜色 1 4 16" xfId="8523"/>
    <cellStyle name="60% - 强调文字颜色 1 4 17" xfId="8524"/>
    <cellStyle name="60% - 强调文字颜色 1 4 18" xfId="8525"/>
    <cellStyle name="60% - 强调文字颜色 1 4 19" xfId="8526"/>
    <cellStyle name="60% - 强调文字颜色 1 4 2" xfId="8527"/>
    <cellStyle name="60% - 强调文字颜色 1 4 2 10" xfId="8528"/>
    <cellStyle name="60% - 强调文字颜色 1 4 2 11" xfId="8529"/>
    <cellStyle name="60% - 强调文字颜色 1 4 2 12" xfId="8530"/>
    <cellStyle name="60% - 强调文字颜色 1 4 2 13" xfId="8531"/>
    <cellStyle name="60% - 强调文字颜色 1 4 2 14" xfId="8532"/>
    <cellStyle name="60% - 强调文字颜色 1 4 2 15" xfId="8533"/>
    <cellStyle name="60% - 强调文字颜色 1 4 2 16" xfId="8534"/>
    <cellStyle name="60% - 强调文字颜色 1 4 2 17" xfId="8535"/>
    <cellStyle name="60% - 强调文字颜色 1 4 2 18" xfId="8536"/>
    <cellStyle name="60% - 强调文字颜色 1 4 2 19" xfId="8537"/>
    <cellStyle name="60% - 强调文字颜色 1 4 2 2" xfId="8538"/>
    <cellStyle name="60% - 强调文字颜色 1 4 2 20" xfId="8539"/>
    <cellStyle name="60% - 强调文字颜色 1 4 2 21" xfId="8540"/>
    <cellStyle name="60% - 强调文字颜色 1 4 2 22" xfId="8541"/>
    <cellStyle name="60% - 强调文字颜色 1 4 2 23" xfId="8542"/>
    <cellStyle name="60% - 强调文字颜色 1 4 2 24" xfId="8543"/>
    <cellStyle name="60% - 强调文字颜色 1 4 2 25" xfId="8544"/>
    <cellStyle name="60% - 强调文字颜色 1 4 2 26" xfId="8545"/>
    <cellStyle name="60% - 强调文字颜色 1 4 2 27" xfId="8546"/>
    <cellStyle name="60% - 强调文字颜色 1 4 2 3" xfId="8547"/>
    <cellStyle name="60% - 强调文字颜色 1 4 2 4" xfId="8548"/>
    <cellStyle name="60% - 强调文字颜色 1 4 2 5" xfId="8549"/>
    <cellStyle name="60% - 强调文字颜色 1 4 2 6" xfId="8550"/>
    <cellStyle name="60% - 强调文字颜色 1 4 2 7" xfId="8551"/>
    <cellStyle name="60% - 强调文字颜色 1 4 2 8" xfId="8552"/>
    <cellStyle name="60% - 强调文字颜色 1 4 2 9" xfId="8553"/>
    <cellStyle name="60% - 强调文字颜色 1 4 20" xfId="8554"/>
    <cellStyle name="60% - 强调文字颜色 1 4 21" xfId="8555"/>
    <cellStyle name="60% - 强调文字颜色 1 4 22" xfId="8556"/>
    <cellStyle name="60% - 强调文字颜色 1 4 23" xfId="8557"/>
    <cellStyle name="60% - 强调文字颜色 1 4 24" xfId="8558"/>
    <cellStyle name="60% - 强调文字颜色 1 4 25" xfId="8559"/>
    <cellStyle name="60% - 强调文字颜色 1 4 26" xfId="8560"/>
    <cellStyle name="60% - 强调文字颜色 1 4 27" xfId="8561"/>
    <cellStyle name="60% - 强调文字颜色 1 4 28" xfId="8562"/>
    <cellStyle name="60% - 强调文字颜色 1 4 3" xfId="8563"/>
    <cellStyle name="60% - 强调文字颜色 1 4 4" xfId="8564"/>
    <cellStyle name="60% - 强调文字颜色 1 4 5" xfId="8565"/>
    <cellStyle name="60% - 强调文字颜色 1 4 6" xfId="8566"/>
    <cellStyle name="60% - 强调文字颜色 1 4 7" xfId="8567"/>
    <cellStyle name="60% - 强调文字颜色 1 4 8" xfId="8568"/>
    <cellStyle name="60% - 强调文字颜色 1 4 9" xfId="8569"/>
    <cellStyle name="60% - 强调文字颜色 1 40" xfId="8570"/>
    <cellStyle name="60% - 强调文字颜色 1 5" xfId="8571"/>
    <cellStyle name="60% - 强调文字颜色 1 5 10" xfId="8572"/>
    <cellStyle name="60% - 强调文字颜色 1 5 11" xfId="8573"/>
    <cellStyle name="60% - 强调文字颜色 1 5 12" xfId="8574"/>
    <cellStyle name="60% - 强调文字颜色 1 5 13" xfId="8575"/>
    <cellStyle name="60% - 强调文字颜色 1 5 14" xfId="8576"/>
    <cellStyle name="60% - 强调文字颜色 1 5 15" xfId="8577"/>
    <cellStyle name="60% - 强调文字颜色 1 5 16" xfId="8578"/>
    <cellStyle name="60% - 强调文字颜色 1 5 17" xfId="8579"/>
    <cellStyle name="60% - 强调文字颜色 1 5 18" xfId="8580"/>
    <cellStyle name="60% - 强调文字颜色 1 5 19" xfId="8581"/>
    <cellStyle name="60% - 强调文字颜色 1 5 2" xfId="8582"/>
    <cellStyle name="60% - 强调文字颜色 1 5 2 10" xfId="8583"/>
    <cellStyle name="60% - 强调文字颜色 1 5 2 11" xfId="8584"/>
    <cellStyle name="60% - 强调文字颜色 1 5 2 12" xfId="8585"/>
    <cellStyle name="60% - 强调文字颜色 1 5 2 13" xfId="8586"/>
    <cellStyle name="60% - 强调文字颜色 1 5 2 14" xfId="8587"/>
    <cellStyle name="60% - 强调文字颜色 1 5 2 15" xfId="8588"/>
    <cellStyle name="60% - 强调文字颜色 1 5 2 16" xfId="8589"/>
    <cellStyle name="60% - 强调文字颜色 1 5 2 17" xfId="8590"/>
    <cellStyle name="60% - 强调文字颜色 1 5 2 18" xfId="8591"/>
    <cellStyle name="60% - 强调文字颜色 1 5 2 19" xfId="8592"/>
    <cellStyle name="60% - 强调文字颜色 1 5 2 2" xfId="8593"/>
    <cellStyle name="60% - 强调文字颜色 1 5 2 20" xfId="8594"/>
    <cellStyle name="60% - 强调文字颜色 1 5 2 21" xfId="8595"/>
    <cellStyle name="60% - 强调文字颜色 1 5 2 22" xfId="8596"/>
    <cellStyle name="60% - 强调文字颜色 1 5 2 23" xfId="8597"/>
    <cellStyle name="60% - 强调文字颜色 1 5 2 24" xfId="8598"/>
    <cellStyle name="60% - 强调文字颜色 1 5 2 25" xfId="8599"/>
    <cellStyle name="60% - 强调文字颜色 1 5 2 26" xfId="8600"/>
    <cellStyle name="60% - 强调文字颜色 1 5 2 27" xfId="8601"/>
    <cellStyle name="60% - 强调文字颜色 1 5 2 3" xfId="8602"/>
    <cellStyle name="60% - 强调文字颜色 1 5 2 4" xfId="8603"/>
    <cellStyle name="60% - 强调文字颜色 1 5 2 5" xfId="8604"/>
    <cellStyle name="60% - 强调文字颜色 1 5 2 6" xfId="8605"/>
    <cellStyle name="60% - 强调文字颜色 1 5 2 7" xfId="8606"/>
    <cellStyle name="60% - 强调文字颜色 1 5 2 8" xfId="8607"/>
    <cellStyle name="60% - 强调文字颜色 1 5 2 9" xfId="8608"/>
    <cellStyle name="60% - 强调文字颜色 1 5 20" xfId="8609"/>
    <cellStyle name="60% - 强调文字颜色 1 5 21" xfId="8610"/>
    <cellStyle name="60% - 强调文字颜色 1 5 22" xfId="8611"/>
    <cellStyle name="60% - 强调文字颜色 1 5 23" xfId="8612"/>
    <cellStyle name="60% - 强调文字颜色 1 5 24" xfId="8613"/>
    <cellStyle name="60% - 强调文字颜色 1 5 25" xfId="8614"/>
    <cellStyle name="60% - 强调文字颜色 1 5 26" xfId="8615"/>
    <cellStyle name="60% - 强调文字颜色 1 5 27" xfId="8616"/>
    <cellStyle name="60% - 强调文字颜色 1 5 28" xfId="8617"/>
    <cellStyle name="60% - 强调文字颜色 1 5 3" xfId="8618"/>
    <cellStyle name="60% - 强调文字颜色 1 5 4" xfId="8619"/>
    <cellStyle name="60% - 强调文字颜色 1 5 5" xfId="8620"/>
    <cellStyle name="60% - 强调文字颜色 1 5 6" xfId="8621"/>
    <cellStyle name="60% - 强调文字颜色 1 5 7" xfId="8622"/>
    <cellStyle name="60% - 强调文字颜色 1 5 8" xfId="8623"/>
    <cellStyle name="60% - 强调文字颜色 1 5 9" xfId="8624"/>
    <cellStyle name="60% - 强调文字颜色 1 6" xfId="8625"/>
    <cellStyle name="60% - 强调文字颜色 1 6 10" xfId="8626"/>
    <cellStyle name="60% - 强调文字颜色 1 6 11" xfId="8627"/>
    <cellStyle name="60% - 强调文字颜色 1 6 12" xfId="8628"/>
    <cellStyle name="60% - 强调文字颜色 1 6 13" xfId="8629"/>
    <cellStyle name="60% - 强调文字颜色 1 6 14" xfId="8630"/>
    <cellStyle name="60% - 强调文字颜色 1 6 15" xfId="8631"/>
    <cellStyle name="60% - 强调文字颜色 1 6 16" xfId="8632"/>
    <cellStyle name="60% - 强调文字颜色 1 6 17" xfId="8633"/>
    <cellStyle name="60% - 强调文字颜色 1 6 18" xfId="8634"/>
    <cellStyle name="60% - 强调文字颜色 1 6 19" xfId="8635"/>
    <cellStyle name="60% - 强调文字颜色 1 6 2" xfId="8636"/>
    <cellStyle name="60% - 强调文字颜色 1 6 2 10" xfId="8637"/>
    <cellStyle name="60% - 强调文字颜色 1 6 2 11" xfId="8638"/>
    <cellStyle name="60% - 强调文字颜色 1 6 2 12" xfId="8639"/>
    <cellStyle name="60% - 强调文字颜色 1 6 2 13" xfId="8640"/>
    <cellStyle name="60% - 强调文字颜色 1 6 2 14" xfId="8641"/>
    <cellStyle name="60% - 强调文字颜色 1 6 2 15" xfId="8642"/>
    <cellStyle name="60% - 强调文字颜色 1 6 2 16" xfId="8643"/>
    <cellStyle name="60% - 强调文字颜色 1 6 2 17" xfId="8644"/>
    <cellStyle name="60% - 强调文字颜色 1 6 2 18" xfId="8645"/>
    <cellStyle name="60% - 强调文字颜色 1 6 2 19" xfId="8646"/>
    <cellStyle name="60% - 强调文字颜色 1 6 2 2" xfId="8647"/>
    <cellStyle name="60% - 强调文字颜色 1 6 2 20" xfId="8648"/>
    <cellStyle name="60% - 强调文字颜色 1 6 2 21" xfId="8649"/>
    <cellStyle name="60% - 强调文字颜色 1 6 2 22" xfId="8650"/>
    <cellStyle name="60% - 强调文字颜色 1 6 2 23" xfId="8651"/>
    <cellStyle name="60% - 强调文字颜色 1 6 2 24" xfId="8652"/>
    <cellStyle name="60% - 强调文字颜色 1 6 2 25" xfId="8653"/>
    <cellStyle name="60% - 强调文字颜色 1 6 2 26" xfId="8654"/>
    <cellStyle name="60% - 强调文字颜色 1 6 2 27" xfId="8655"/>
    <cellStyle name="60% - 强调文字颜色 1 6 2 3" xfId="8656"/>
    <cellStyle name="60% - 强调文字颜色 1 6 2 4" xfId="8657"/>
    <cellStyle name="60% - 强调文字颜色 1 6 2 5" xfId="8658"/>
    <cellStyle name="60% - 强调文字颜色 1 6 2 6" xfId="8659"/>
    <cellStyle name="60% - 强调文字颜色 1 6 2 7" xfId="8660"/>
    <cellStyle name="60% - 强调文字颜色 1 6 2 8" xfId="8661"/>
    <cellStyle name="60% - 强调文字颜色 1 6 2 9" xfId="8662"/>
    <cellStyle name="60% - 强调文字颜色 1 6 20" xfId="8663"/>
    <cellStyle name="60% - 强调文字颜色 1 6 21" xfId="8664"/>
    <cellStyle name="60% - 强调文字颜色 1 6 22" xfId="8665"/>
    <cellStyle name="60% - 强调文字颜色 1 6 23" xfId="8666"/>
    <cellStyle name="60% - 强调文字颜色 1 6 24" xfId="8667"/>
    <cellStyle name="60% - 强调文字颜色 1 6 25" xfId="8668"/>
    <cellStyle name="60% - 强调文字颜色 1 6 26" xfId="8669"/>
    <cellStyle name="60% - 强调文字颜色 1 6 27" xfId="8670"/>
    <cellStyle name="60% - 强调文字颜色 1 6 28" xfId="8671"/>
    <cellStyle name="60% - 强调文字颜色 1 6 3" xfId="8672"/>
    <cellStyle name="60% - 强调文字颜色 1 6 4" xfId="8673"/>
    <cellStyle name="60% - 强调文字颜色 1 6 5" xfId="8674"/>
    <cellStyle name="60% - 强调文字颜色 1 6 6" xfId="8675"/>
    <cellStyle name="60% - 强调文字颜色 1 6 7" xfId="8676"/>
    <cellStyle name="60% - 强调文字颜色 1 6 8" xfId="8677"/>
    <cellStyle name="60% - 强调文字颜色 1 6 9" xfId="8678"/>
    <cellStyle name="60% - 强调文字颜色 1 7" xfId="8679"/>
    <cellStyle name="60% - 强调文字颜色 1 7 10" xfId="8680"/>
    <cellStyle name="60% - 强调文字颜色 1 7 11" xfId="8681"/>
    <cellStyle name="60% - 强调文字颜色 1 7 12" xfId="8682"/>
    <cellStyle name="60% - 强调文字颜色 1 7 13" xfId="8683"/>
    <cellStyle name="60% - 强调文字颜色 1 7 14" xfId="8684"/>
    <cellStyle name="60% - 强调文字颜色 1 7 15" xfId="8685"/>
    <cellStyle name="60% - 强调文字颜色 1 7 16" xfId="8686"/>
    <cellStyle name="60% - 强调文字颜色 1 7 17" xfId="8687"/>
    <cellStyle name="60% - 强调文字颜色 1 7 18" xfId="8688"/>
    <cellStyle name="60% - 强调文字颜色 1 7 19" xfId="8689"/>
    <cellStyle name="60% - 强调文字颜色 1 7 2" xfId="8690"/>
    <cellStyle name="60% - 强调文字颜色 1 7 2 10" xfId="8691"/>
    <cellStyle name="60% - 强调文字颜色 1 7 2 11" xfId="8692"/>
    <cellStyle name="60% - 强调文字颜色 1 7 2 12" xfId="8693"/>
    <cellStyle name="60% - 强调文字颜色 1 7 2 13" xfId="8694"/>
    <cellStyle name="60% - 强调文字颜色 1 7 2 14" xfId="8695"/>
    <cellStyle name="60% - 强调文字颜色 1 7 2 15" xfId="8696"/>
    <cellStyle name="60% - 强调文字颜色 1 7 2 16" xfId="8697"/>
    <cellStyle name="60% - 强调文字颜色 1 7 2 17" xfId="8698"/>
    <cellStyle name="60% - 强调文字颜色 1 7 2 18" xfId="8699"/>
    <cellStyle name="60% - 强调文字颜色 1 7 2 19" xfId="8700"/>
    <cellStyle name="60% - 强调文字颜色 1 7 2 2" xfId="8701"/>
    <cellStyle name="60% - 强调文字颜色 1 7 2 20" xfId="8702"/>
    <cellStyle name="60% - 强调文字颜色 1 7 2 21" xfId="8703"/>
    <cellStyle name="60% - 强调文字颜色 1 7 2 22" xfId="8704"/>
    <cellStyle name="60% - 强调文字颜色 1 7 2 23" xfId="8705"/>
    <cellStyle name="60% - 强调文字颜色 1 7 2 24" xfId="8706"/>
    <cellStyle name="60% - 强调文字颜色 1 7 2 25" xfId="8707"/>
    <cellStyle name="60% - 强调文字颜色 1 7 2 26" xfId="8708"/>
    <cellStyle name="60% - 强调文字颜色 1 7 2 27" xfId="8709"/>
    <cellStyle name="60% - 强调文字颜色 1 7 2 3" xfId="8710"/>
    <cellStyle name="60% - 强调文字颜色 1 7 2 4" xfId="8711"/>
    <cellStyle name="60% - 强调文字颜色 1 7 2 5" xfId="8712"/>
    <cellStyle name="60% - 强调文字颜色 1 7 2 6" xfId="8713"/>
    <cellStyle name="60% - 强调文字颜色 1 7 2 7" xfId="8714"/>
    <cellStyle name="60% - 强调文字颜色 1 7 2 8" xfId="8715"/>
    <cellStyle name="60% - 强调文字颜色 1 7 2 9" xfId="8716"/>
    <cellStyle name="60% - 强调文字颜色 1 7 20" xfId="8717"/>
    <cellStyle name="60% - 强调文字颜色 1 7 21" xfId="8718"/>
    <cellStyle name="60% - 强调文字颜色 1 7 22" xfId="8719"/>
    <cellStyle name="60% - 强调文字颜色 1 7 23" xfId="8720"/>
    <cellStyle name="60% - 强调文字颜色 1 7 24" xfId="8721"/>
    <cellStyle name="60% - 强调文字颜色 1 7 25" xfId="8722"/>
    <cellStyle name="60% - 强调文字颜色 1 7 26" xfId="8723"/>
    <cellStyle name="60% - 强调文字颜色 1 7 27" xfId="8724"/>
    <cellStyle name="60% - 强调文字颜色 1 7 28" xfId="8725"/>
    <cellStyle name="60% - 强调文字颜色 1 7 3" xfId="8726"/>
    <cellStyle name="60% - 强调文字颜色 1 7 4" xfId="8727"/>
    <cellStyle name="60% - 强调文字颜色 1 7 5" xfId="8728"/>
    <cellStyle name="60% - 强调文字颜色 1 7 6" xfId="8729"/>
    <cellStyle name="60% - 强调文字颜色 1 7 7" xfId="8730"/>
    <cellStyle name="60% - 强调文字颜色 1 7 8" xfId="8731"/>
    <cellStyle name="60% - 强调文字颜色 1 7 9" xfId="8732"/>
    <cellStyle name="60% - 强调文字颜色 1 8" xfId="8733"/>
    <cellStyle name="60% - 强调文字颜色 1 8 10" xfId="8734"/>
    <cellStyle name="60% - 强调文字颜色 1 8 11" xfId="8735"/>
    <cellStyle name="60% - 强调文字颜色 1 8 12" xfId="8736"/>
    <cellStyle name="60% - 强调文字颜色 1 8 13" xfId="8737"/>
    <cellStyle name="60% - 强调文字颜色 1 8 14" xfId="8738"/>
    <cellStyle name="60% - 强调文字颜色 1 8 15" xfId="8739"/>
    <cellStyle name="60% - 强调文字颜色 1 8 16" xfId="8740"/>
    <cellStyle name="60% - 强调文字颜色 1 8 17" xfId="8741"/>
    <cellStyle name="60% - 强调文字颜色 1 8 18" xfId="8742"/>
    <cellStyle name="60% - 强调文字颜色 1 8 19" xfId="8743"/>
    <cellStyle name="60% - 强调文字颜色 1 8 2" xfId="8744"/>
    <cellStyle name="60% - 强调文字颜色 1 8 2 10" xfId="8745"/>
    <cellStyle name="60% - 强调文字颜色 1 8 2 11" xfId="8746"/>
    <cellStyle name="60% - 强调文字颜色 1 8 2 12" xfId="8747"/>
    <cellStyle name="60% - 强调文字颜色 1 8 2 13" xfId="8748"/>
    <cellStyle name="60% - 强调文字颜色 1 8 2 14" xfId="8749"/>
    <cellStyle name="60% - 强调文字颜色 1 8 2 15" xfId="8750"/>
    <cellStyle name="60% - 强调文字颜色 1 8 2 16" xfId="8751"/>
    <cellStyle name="60% - 强调文字颜色 1 8 2 17" xfId="8752"/>
    <cellStyle name="60% - 强调文字颜色 1 8 2 18" xfId="8753"/>
    <cellStyle name="60% - 强调文字颜色 1 8 2 19" xfId="8754"/>
    <cellStyle name="60% - 强调文字颜色 1 8 2 2" xfId="8755"/>
    <cellStyle name="60% - 强调文字颜色 1 8 2 20" xfId="8756"/>
    <cellStyle name="60% - 强调文字颜色 1 8 2 21" xfId="8757"/>
    <cellStyle name="60% - 强调文字颜色 1 8 2 22" xfId="8758"/>
    <cellStyle name="60% - 强调文字颜色 1 8 2 23" xfId="8759"/>
    <cellStyle name="60% - 强调文字颜色 1 8 2 24" xfId="8760"/>
    <cellStyle name="60% - 强调文字颜色 1 8 2 25" xfId="8761"/>
    <cellStyle name="60% - 强调文字颜色 1 8 2 26" xfId="8762"/>
    <cellStyle name="60% - 强调文字颜色 1 8 2 27" xfId="8763"/>
    <cellStyle name="60% - 强调文字颜色 1 8 2 3" xfId="8764"/>
    <cellStyle name="60% - 强调文字颜色 1 8 2 4" xfId="8765"/>
    <cellStyle name="60% - 强调文字颜色 1 8 2 5" xfId="8766"/>
    <cellStyle name="60% - 强调文字颜色 1 8 2 6" xfId="8767"/>
    <cellStyle name="60% - 强调文字颜色 1 8 2 7" xfId="8768"/>
    <cellStyle name="60% - 强调文字颜色 1 8 2 8" xfId="8769"/>
    <cellStyle name="60% - 强调文字颜色 1 8 2 9" xfId="8770"/>
    <cellStyle name="60% - 强调文字颜色 1 8 20" xfId="8771"/>
    <cellStyle name="60% - 强调文字颜色 1 8 21" xfId="8772"/>
    <cellStyle name="60% - 强调文字颜色 1 8 22" xfId="8773"/>
    <cellStyle name="60% - 强调文字颜色 1 8 23" xfId="8774"/>
    <cellStyle name="60% - 强调文字颜色 1 8 24" xfId="8775"/>
    <cellStyle name="60% - 强调文字颜色 1 8 25" xfId="8776"/>
    <cellStyle name="60% - 强调文字颜色 1 8 26" xfId="8777"/>
    <cellStyle name="60% - 强调文字颜色 1 8 27" xfId="8778"/>
    <cellStyle name="60% - 强调文字颜色 1 8 28" xfId="8779"/>
    <cellStyle name="60% - 强调文字颜色 1 8 3" xfId="8780"/>
    <cellStyle name="60% - 强调文字颜色 1 8 4" xfId="8781"/>
    <cellStyle name="60% - 强调文字颜色 1 8 5" xfId="8782"/>
    <cellStyle name="60% - 强调文字颜色 1 8 6" xfId="8783"/>
    <cellStyle name="60% - 强调文字颜色 1 8 7" xfId="8784"/>
    <cellStyle name="60% - 强调文字颜色 1 8 8" xfId="8785"/>
    <cellStyle name="60% - 强调文字颜色 1 8 9" xfId="8786"/>
    <cellStyle name="60% - 强调文字颜色 1 9" xfId="8787"/>
    <cellStyle name="60% - 强调文字颜色 1 9 10" xfId="8788"/>
    <cellStyle name="60% - 强调文字颜色 1 9 11" xfId="8789"/>
    <cellStyle name="60% - 强调文字颜色 1 9 12" xfId="8790"/>
    <cellStyle name="60% - 强调文字颜色 1 9 13" xfId="8791"/>
    <cellStyle name="60% - 强调文字颜色 1 9 14" xfId="8792"/>
    <cellStyle name="60% - 强调文字颜色 1 9 15" xfId="8793"/>
    <cellStyle name="60% - 强调文字颜色 1 9 16" xfId="8794"/>
    <cellStyle name="60% - 强调文字颜色 1 9 17" xfId="8795"/>
    <cellStyle name="60% - 强调文字颜色 1 9 18" xfId="8796"/>
    <cellStyle name="60% - 强调文字颜色 1 9 19" xfId="8797"/>
    <cellStyle name="60% - 强调文字颜色 1 9 2" xfId="8798"/>
    <cellStyle name="60% - 强调文字颜色 1 9 2 10" xfId="8799"/>
    <cellStyle name="60% - 强调文字颜色 1 9 2 11" xfId="8800"/>
    <cellStyle name="60% - 强调文字颜色 1 9 2 12" xfId="8801"/>
    <cellStyle name="60% - 强调文字颜色 1 9 2 13" xfId="8802"/>
    <cellStyle name="60% - 强调文字颜色 1 9 2 14" xfId="8803"/>
    <cellStyle name="60% - 强调文字颜色 1 9 2 15" xfId="8804"/>
    <cellStyle name="60% - 强调文字颜色 1 9 2 16" xfId="8805"/>
    <cellStyle name="60% - 强调文字颜色 1 9 2 17" xfId="8806"/>
    <cellStyle name="60% - 强调文字颜色 1 9 2 18" xfId="8807"/>
    <cellStyle name="60% - 强调文字颜色 1 9 2 19" xfId="8808"/>
    <cellStyle name="60% - 强调文字颜色 1 9 2 2" xfId="8809"/>
    <cellStyle name="60% - 强调文字颜色 1 9 2 20" xfId="8810"/>
    <cellStyle name="60% - 强调文字颜色 1 9 2 21" xfId="8811"/>
    <cellStyle name="60% - 强调文字颜色 1 9 2 22" xfId="8812"/>
    <cellStyle name="60% - 强调文字颜色 1 9 2 23" xfId="8813"/>
    <cellStyle name="60% - 强调文字颜色 1 9 2 24" xfId="8814"/>
    <cellStyle name="60% - 强调文字颜色 1 9 2 25" xfId="8815"/>
    <cellStyle name="60% - 强调文字颜色 1 9 2 26" xfId="8816"/>
    <cellStyle name="60% - 强调文字颜色 1 9 2 27" xfId="8817"/>
    <cellStyle name="60% - 强调文字颜色 1 9 2 3" xfId="8818"/>
    <cellStyle name="60% - 强调文字颜色 1 9 2 4" xfId="8819"/>
    <cellStyle name="60% - 强调文字颜色 1 9 2 5" xfId="8820"/>
    <cellStyle name="60% - 强调文字颜色 1 9 2 6" xfId="8821"/>
    <cellStyle name="60% - 强调文字颜色 1 9 2 7" xfId="8822"/>
    <cellStyle name="60% - 强调文字颜色 1 9 2 8" xfId="8823"/>
    <cellStyle name="60% - 强调文字颜色 1 9 2 9" xfId="8824"/>
    <cellStyle name="60% - 强调文字颜色 1 9 20" xfId="8825"/>
    <cellStyle name="60% - 强调文字颜色 1 9 21" xfId="8826"/>
    <cellStyle name="60% - 强调文字颜色 1 9 22" xfId="8827"/>
    <cellStyle name="60% - 强调文字颜色 1 9 23" xfId="8828"/>
    <cellStyle name="60% - 强调文字颜色 1 9 24" xfId="8829"/>
    <cellStyle name="60% - 强调文字颜色 1 9 25" xfId="8830"/>
    <cellStyle name="60% - 强调文字颜色 1 9 26" xfId="8831"/>
    <cellStyle name="60% - 强调文字颜色 1 9 27" xfId="8832"/>
    <cellStyle name="60% - 强调文字颜色 1 9 28" xfId="8833"/>
    <cellStyle name="60% - 强调文字颜色 1 9 3" xfId="8834"/>
    <cellStyle name="60% - 强调文字颜色 1 9 4" xfId="8835"/>
    <cellStyle name="60% - 强调文字颜色 1 9 5" xfId="8836"/>
    <cellStyle name="60% - 强调文字颜色 1 9 6" xfId="8837"/>
    <cellStyle name="60% - 强调文字颜色 1 9 7" xfId="8838"/>
    <cellStyle name="60% - 强调文字颜色 1 9 8" xfId="8839"/>
    <cellStyle name="60% - 强调文字颜色 1 9 9" xfId="8840"/>
    <cellStyle name="60% - 强调文字颜色 2 10" xfId="8841"/>
    <cellStyle name="60% - 强调文字颜色 2 10 10" xfId="8842"/>
    <cellStyle name="60% - 强调文字颜色 2 10 11" xfId="8843"/>
    <cellStyle name="60% - 强调文字颜色 2 10 12" xfId="8844"/>
    <cellStyle name="60% - 强调文字颜色 2 10 13" xfId="8845"/>
    <cellStyle name="60% - 强调文字颜色 2 10 14" xfId="8846"/>
    <cellStyle name="60% - 强调文字颜色 2 10 15" xfId="8847"/>
    <cellStyle name="60% - 强调文字颜色 2 10 16" xfId="8848"/>
    <cellStyle name="60% - 强调文字颜色 2 10 17" xfId="8849"/>
    <cellStyle name="60% - 强调文字颜色 2 10 18" xfId="8850"/>
    <cellStyle name="60% - 强调文字颜色 2 10 19" xfId="8851"/>
    <cellStyle name="60% - 强调文字颜色 2 10 2" xfId="8852"/>
    <cellStyle name="60% - 强调文字颜色 2 10 2 10" xfId="8853"/>
    <cellStyle name="60% - 强调文字颜色 2 10 2 11" xfId="8854"/>
    <cellStyle name="60% - 强调文字颜色 2 10 2 12" xfId="8855"/>
    <cellStyle name="60% - 强调文字颜色 2 10 2 13" xfId="8856"/>
    <cellStyle name="60% - 强调文字颜色 2 10 2 14" xfId="8857"/>
    <cellStyle name="60% - 强调文字颜色 2 10 2 15" xfId="8858"/>
    <cellStyle name="60% - 强调文字颜色 2 10 2 16" xfId="8859"/>
    <cellStyle name="60% - 强调文字颜色 2 10 2 17" xfId="8860"/>
    <cellStyle name="60% - 强调文字颜色 2 10 2 18" xfId="8861"/>
    <cellStyle name="60% - 强调文字颜色 2 10 2 19" xfId="8862"/>
    <cellStyle name="60% - 强调文字颜色 2 10 2 2" xfId="8863"/>
    <cellStyle name="60% - 强调文字颜色 2 10 2 20" xfId="8864"/>
    <cellStyle name="60% - 强调文字颜色 2 10 2 21" xfId="8865"/>
    <cellStyle name="60% - 强调文字颜色 2 10 2 22" xfId="8866"/>
    <cellStyle name="60% - 强调文字颜色 2 10 2 23" xfId="8867"/>
    <cellStyle name="60% - 强调文字颜色 2 10 2 24" xfId="8868"/>
    <cellStyle name="60% - 强调文字颜色 2 10 2 25" xfId="8869"/>
    <cellStyle name="60% - 强调文字颜色 2 10 2 26" xfId="8870"/>
    <cellStyle name="60% - 强调文字颜色 2 10 2 27" xfId="8871"/>
    <cellStyle name="60% - 强调文字颜色 2 10 2 3" xfId="8872"/>
    <cellStyle name="60% - 强调文字颜色 2 10 2 4" xfId="8873"/>
    <cellStyle name="60% - 强调文字颜色 2 10 2 5" xfId="8874"/>
    <cellStyle name="60% - 强调文字颜色 2 10 2 6" xfId="8875"/>
    <cellStyle name="60% - 强调文字颜色 2 10 2 7" xfId="8876"/>
    <cellStyle name="60% - 强调文字颜色 2 10 2 8" xfId="8877"/>
    <cellStyle name="60% - 强调文字颜色 2 10 2 9" xfId="8878"/>
    <cellStyle name="60% - 强调文字颜色 2 10 20" xfId="8879"/>
    <cellStyle name="60% - 强调文字颜色 2 10 21" xfId="8880"/>
    <cellStyle name="60% - 强调文字颜色 2 10 22" xfId="8881"/>
    <cellStyle name="60% - 强调文字颜色 2 10 23" xfId="8882"/>
    <cellStyle name="60% - 强调文字颜色 2 10 24" xfId="8883"/>
    <cellStyle name="60% - 强调文字颜色 2 10 25" xfId="8884"/>
    <cellStyle name="60% - 强调文字颜色 2 10 26" xfId="8885"/>
    <cellStyle name="60% - 强调文字颜色 2 10 27" xfId="8886"/>
    <cellStyle name="60% - 强调文字颜色 2 10 28" xfId="8887"/>
    <cellStyle name="60% - 强调文字颜色 2 10 3" xfId="8888"/>
    <cellStyle name="60% - 强调文字颜色 2 10 4" xfId="8889"/>
    <cellStyle name="60% - 强调文字颜色 2 10 5" xfId="8890"/>
    <cellStyle name="60% - 强调文字颜色 2 10 6" xfId="8891"/>
    <cellStyle name="60% - 强调文字颜色 2 10 7" xfId="8892"/>
    <cellStyle name="60% - 强调文字颜色 2 10 8" xfId="8893"/>
    <cellStyle name="60% - 强调文字颜色 2 10 9" xfId="8894"/>
    <cellStyle name="60% - 强调文字颜色 2 11" xfId="8895"/>
    <cellStyle name="60% - 强调文字颜色 2 11 10" xfId="8896"/>
    <cellStyle name="60% - 强调文字颜色 2 11 11" xfId="8897"/>
    <cellStyle name="60% - 强调文字颜色 2 11 12" xfId="8898"/>
    <cellStyle name="60% - 强调文字颜色 2 11 13" xfId="8899"/>
    <cellStyle name="60% - 强调文字颜色 2 11 14" xfId="8900"/>
    <cellStyle name="60% - 强调文字颜色 2 11 15" xfId="8901"/>
    <cellStyle name="60% - 强调文字颜色 2 11 16" xfId="8902"/>
    <cellStyle name="60% - 强调文字颜色 2 11 17" xfId="8903"/>
    <cellStyle name="60% - 强调文字颜色 2 11 18" xfId="8904"/>
    <cellStyle name="60% - 强调文字颜色 2 11 19" xfId="8905"/>
    <cellStyle name="60% - 强调文字颜色 2 11 2" xfId="8906"/>
    <cellStyle name="60% - 强调文字颜色 2 11 2 10" xfId="8907"/>
    <cellStyle name="60% - 强调文字颜色 2 11 2 11" xfId="8908"/>
    <cellStyle name="60% - 强调文字颜色 2 11 2 12" xfId="8909"/>
    <cellStyle name="60% - 强调文字颜色 2 11 2 13" xfId="8910"/>
    <cellStyle name="60% - 强调文字颜色 2 11 2 14" xfId="8911"/>
    <cellStyle name="60% - 强调文字颜色 2 11 2 15" xfId="8912"/>
    <cellStyle name="60% - 强调文字颜色 2 11 2 16" xfId="8913"/>
    <cellStyle name="60% - 强调文字颜色 2 11 2 17" xfId="8914"/>
    <cellStyle name="60% - 强调文字颜色 2 11 2 18" xfId="8915"/>
    <cellStyle name="60% - 强调文字颜色 2 11 2 19" xfId="8916"/>
    <cellStyle name="60% - 强调文字颜色 2 11 2 2" xfId="8917"/>
    <cellStyle name="60% - 强调文字颜色 2 11 2 20" xfId="8918"/>
    <cellStyle name="60% - 强调文字颜色 2 11 2 21" xfId="8919"/>
    <cellStyle name="60% - 强调文字颜色 2 11 2 22" xfId="8920"/>
    <cellStyle name="60% - 强调文字颜色 2 11 2 23" xfId="8921"/>
    <cellStyle name="60% - 强调文字颜色 2 11 2 24" xfId="8922"/>
    <cellStyle name="60% - 强调文字颜色 2 11 2 25" xfId="8923"/>
    <cellStyle name="60% - 强调文字颜色 2 11 2 26" xfId="8924"/>
    <cellStyle name="60% - 强调文字颜色 2 11 2 27" xfId="8925"/>
    <cellStyle name="60% - 强调文字颜色 2 11 2 3" xfId="8926"/>
    <cellStyle name="60% - 强调文字颜色 2 11 2 4" xfId="8927"/>
    <cellStyle name="60% - 强调文字颜色 2 11 2 5" xfId="8928"/>
    <cellStyle name="60% - 强调文字颜色 2 11 2 6" xfId="8929"/>
    <cellStyle name="60% - 强调文字颜色 2 11 2 7" xfId="8930"/>
    <cellStyle name="60% - 强调文字颜色 2 11 2 8" xfId="8931"/>
    <cellStyle name="60% - 强调文字颜色 2 11 2 9" xfId="8932"/>
    <cellStyle name="60% - 强调文字颜色 2 11 20" xfId="8933"/>
    <cellStyle name="60% - 强调文字颜色 2 11 21" xfId="8934"/>
    <cellStyle name="60% - 强调文字颜色 2 11 22" xfId="8935"/>
    <cellStyle name="60% - 强调文字颜色 2 11 23" xfId="8936"/>
    <cellStyle name="60% - 强调文字颜色 2 11 24" xfId="8937"/>
    <cellStyle name="60% - 强调文字颜色 2 11 25" xfId="8938"/>
    <cellStyle name="60% - 强调文字颜色 2 11 26" xfId="8939"/>
    <cellStyle name="60% - 强调文字颜色 2 11 27" xfId="8940"/>
    <cellStyle name="60% - 强调文字颜色 2 11 28" xfId="8941"/>
    <cellStyle name="60% - 强调文字颜色 2 11 3" xfId="8942"/>
    <cellStyle name="60% - 强调文字颜色 2 11 4" xfId="8943"/>
    <cellStyle name="60% - 强调文字颜色 2 11 5" xfId="8944"/>
    <cellStyle name="60% - 强调文字颜色 2 11 6" xfId="8945"/>
    <cellStyle name="60% - 强调文字颜色 2 11 7" xfId="8946"/>
    <cellStyle name="60% - 强调文字颜色 2 11 8" xfId="8947"/>
    <cellStyle name="60% - 强调文字颜色 2 11 9" xfId="8948"/>
    <cellStyle name="60% - 强调文字颜色 2 12" xfId="8949"/>
    <cellStyle name="60% - 强调文字颜色 2 13" xfId="8950"/>
    <cellStyle name="60% - 强调文字颜色 2 14" xfId="8951"/>
    <cellStyle name="60% - 强调文字颜色 2 15" xfId="8952"/>
    <cellStyle name="60% - 强调文字颜色 2 16" xfId="8953"/>
    <cellStyle name="60% - 强调文字颜色 2 17" xfId="8954"/>
    <cellStyle name="60% - 强调文字颜色 2 18" xfId="8955"/>
    <cellStyle name="60% - 强调文字颜色 2 19" xfId="8956"/>
    <cellStyle name="60% - 强调文字颜色 2 2" xfId="8957"/>
    <cellStyle name="60% - 强调文字颜色 2 2 10" xfId="8958"/>
    <cellStyle name="60% - 强调文字颜色 2 2 11" xfId="8959"/>
    <cellStyle name="60% - 强调文字颜色 2 2 12" xfId="8960"/>
    <cellStyle name="60% - 强调文字颜色 2 2 13" xfId="8961"/>
    <cellStyle name="60% - 强调文字颜色 2 2 14" xfId="8962"/>
    <cellStyle name="60% - 强调文字颜色 2 2 15" xfId="8963"/>
    <cellStyle name="60% - 强调文字颜色 2 2 16" xfId="8964"/>
    <cellStyle name="60% - 强调文字颜色 2 2 17" xfId="8965"/>
    <cellStyle name="60% - 强调文字颜色 2 2 18" xfId="8966"/>
    <cellStyle name="60% - 强调文字颜色 2 2 19" xfId="8967"/>
    <cellStyle name="60% - 强调文字颜色 2 2 2" xfId="8968"/>
    <cellStyle name="60% - 强调文字颜色 2 2 2 10" xfId="8969"/>
    <cellStyle name="60% - 强调文字颜色 2 2 2 11" xfId="8970"/>
    <cellStyle name="60% - 强调文字颜色 2 2 2 12" xfId="8971"/>
    <cellStyle name="60% - 强调文字颜色 2 2 2 13" xfId="8972"/>
    <cellStyle name="60% - 强调文字颜色 2 2 2 14" xfId="8973"/>
    <cellStyle name="60% - 强调文字颜色 2 2 2 15" xfId="8974"/>
    <cellStyle name="60% - 强调文字颜色 2 2 2 16" xfId="8975"/>
    <cellStyle name="60% - 强调文字颜色 2 2 2 17" xfId="8976"/>
    <cellStyle name="60% - 强调文字颜色 2 2 2 18" xfId="8977"/>
    <cellStyle name="60% - 强调文字颜色 2 2 2 19" xfId="8978"/>
    <cellStyle name="60% - 强调文字颜色 2 2 2 2" xfId="8979"/>
    <cellStyle name="60% - 强调文字颜色 2 2 2 2 10" xfId="8980"/>
    <cellStyle name="60% - 强调文字颜色 2 2 2 2 11" xfId="8981"/>
    <cellStyle name="60% - 强调文字颜色 2 2 2 2 12" xfId="8982"/>
    <cellStyle name="60% - 强调文字颜色 2 2 2 2 13" xfId="8983"/>
    <cellStyle name="60% - 强调文字颜色 2 2 2 2 14" xfId="8984"/>
    <cellStyle name="60% - 强调文字颜色 2 2 2 2 15" xfId="8985"/>
    <cellStyle name="60% - 强调文字颜色 2 2 2 2 16" xfId="8986"/>
    <cellStyle name="60% - 强调文字颜色 2 2 2 2 17" xfId="8987"/>
    <cellStyle name="60% - 强调文字颜色 2 2 2 2 18" xfId="8988"/>
    <cellStyle name="60% - 强调文字颜色 2 2 2 2 19" xfId="8989"/>
    <cellStyle name="60% - 强调文字颜色 2 2 2 2 2" xfId="8990"/>
    <cellStyle name="60% - 强调文字颜色 2 2 2 2 20" xfId="8991"/>
    <cellStyle name="60% - 强调文字颜色 2 2 2 2 21" xfId="8992"/>
    <cellStyle name="60% - 强调文字颜色 2 2 2 2 22" xfId="8993"/>
    <cellStyle name="60% - 强调文字颜色 2 2 2 2 23" xfId="8994"/>
    <cellStyle name="60% - 强调文字颜色 2 2 2 2 24" xfId="8995"/>
    <cellStyle name="60% - 强调文字颜色 2 2 2 2 25" xfId="8996"/>
    <cellStyle name="60% - 强调文字颜色 2 2 2 2 26" xfId="8997"/>
    <cellStyle name="60% - 强调文字颜色 2 2 2 2 27" xfId="8998"/>
    <cellStyle name="60% - 强调文字颜色 2 2 2 2 3" xfId="8999"/>
    <cellStyle name="60% - 强调文字颜色 2 2 2 2 4" xfId="9000"/>
    <cellStyle name="60% - 强调文字颜色 2 2 2 2 5" xfId="9001"/>
    <cellStyle name="60% - 强调文字颜色 2 2 2 2 6" xfId="9002"/>
    <cellStyle name="60% - 强调文字颜色 2 2 2 2 7" xfId="9003"/>
    <cellStyle name="60% - 强调文字颜色 2 2 2 2 8" xfId="9004"/>
    <cellStyle name="60% - 强调文字颜色 2 2 2 2 9" xfId="9005"/>
    <cellStyle name="60% - 强调文字颜色 2 2 2 20" xfId="9006"/>
    <cellStyle name="60% - 强调文字颜色 2 2 2 21" xfId="9007"/>
    <cellStyle name="60% - 强调文字颜色 2 2 2 22" xfId="9008"/>
    <cellStyle name="60% - 强调文字颜色 2 2 2 23" xfId="9009"/>
    <cellStyle name="60% - 强调文字颜色 2 2 2 24" xfId="9010"/>
    <cellStyle name="60% - 强调文字颜色 2 2 2 25" xfId="9011"/>
    <cellStyle name="60% - 强调文字颜色 2 2 2 26" xfId="9012"/>
    <cellStyle name="60% - 强调文字颜色 2 2 2 27" xfId="9013"/>
    <cellStyle name="60% - 强调文字颜色 2 2 2 28" xfId="9014"/>
    <cellStyle name="60% - 强调文字颜色 2 2 2 3" xfId="9015"/>
    <cellStyle name="60% - 强调文字颜色 2 2 2 4" xfId="9016"/>
    <cellStyle name="60% - 强调文字颜色 2 2 2 5" xfId="9017"/>
    <cellStyle name="60% - 强调文字颜色 2 2 2 6" xfId="9018"/>
    <cellStyle name="60% - 强调文字颜色 2 2 2 7" xfId="9019"/>
    <cellStyle name="60% - 强调文字颜色 2 2 2 8" xfId="9020"/>
    <cellStyle name="60% - 强调文字颜色 2 2 2 9" xfId="9021"/>
    <cellStyle name="60% - 强调文字颜色 2 2 20" xfId="9022"/>
    <cellStyle name="60% - 强调文字颜色 2 2 21" xfId="9023"/>
    <cellStyle name="60% - 强调文字颜色 2 2 22" xfId="9024"/>
    <cellStyle name="60% - 强调文字颜色 2 2 23" xfId="9025"/>
    <cellStyle name="60% - 强调文字颜色 2 2 24" xfId="9026"/>
    <cellStyle name="60% - 强调文字颜色 2 2 25" xfId="9027"/>
    <cellStyle name="60% - 强调文字颜色 2 2 26" xfId="9028"/>
    <cellStyle name="60% - 强调文字颜色 2 2 27" xfId="9029"/>
    <cellStyle name="60% - 强调文字颜色 2 2 28" xfId="9030"/>
    <cellStyle name="60% - 强调文字颜色 2 2 29" xfId="9031"/>
    <cellStyle name="60% - 强调文字颜色 2 2 3" xfId="9032"/>
    <cellStyle name="60% - 强调文字颜色 2 2 3 10" xfId="9033"/>
    <cellStyle name="60% - 强调文字颜色 2 2 3 11" xfId="9034"/>
    <cellStyle name="60% - 强调文字颜色 2 2 3 12" xfId="9035"/>
    <cellStyle name="60% - 强调文字颜色 2 2 3 13" xfId="9036"/>
    <cellStyle name="60% - 强调文字颜色 2 2 3 14" xfId="9037"/>
    <cellStyle name="60% - 强调文字颜色 2 2 3 15" xfId="9038"/>
    <cellStyle name="60% - 强调文字颜色 2 2 3 16" xfId="9039"/>
    <cellStyle name="60% - 强调文字颜色 2 2 3 17" xfId="9040"/>
    <cellStyle name="60% - 强调文字颜色 2 2 3 18" xfId="9041"/>
    <cellStyle name="60% - 强调文字颜色 2 2 3 19" xfId="9042"/>
    <cellStyle name="60% - 强调文字颜色 2 2 3 2" xfId="9043"/>
    <cellStyle name="60% - 强调文字颜色 2 2 3 2 10" xfId="9044"/>
    <cellStyle name="60% - 强调文字颜色 2 2 3 2 11" xfId="9045"/>
    <cellStyle name="60% - 强调文字颜色 2 2 3 2 12" xfId="9046"/>
    <cellStyle name="60% - 强调文字颜色 2 2 3 2 13" xfId="9047"/>
    <cellStyle name="60% - 强调文字颜色 2 2 3 2 14" xfId="9048"/>
    <cellStyle name="60% - 强调文字颜色 2 2 3 2 15" xfId="9049"/>
    <cellStyle name="60% - 强调文字颜色 2 2 3 2 16" xfId="9050"/>
    <cellStyle name="60% - 强调文字颜色 2 2 3 2 17" xfId="9051"/>
    <cellStyle name="60% - 强调文字颜色 2 2 3 2 18" xfId="9052"/>
    <cellStyle name="60% - 强调文字颜色 2 2 3 2 19" xfId="9053"/>
    <cellStyle name="60% - 强调文字颜色 2 2 3 2 2" xfId="9054"/>
    <cellStyle name="60% - 强调文字颜色 2 2 3 2 20" xfId="9055"/>
    <cellStyle name="60% - 强调文字颜色 2 2 3 2 21" xfId="9056"/>
    <cellStyle name="60% - 强调文字颜色 2 2 3 2 22" xfId="9057"/>
    <cellStyle name="60% - 强调文字颜色 2 2 3 2 23" xfId="9058"/>
    <cellStyle name="60% - 强调文字颜色 2 2 3 2 24" xfId="9059"/>
    <cellStyle name="60% - 强调文字颜色 2 2 3 2 25" xfId="9060"/>
    <cellStyle name="60% - 强调文字颜色 2 2 3 2 26" xfId="9061"/>
    <cellStyle name="60% - 强调文字颜色 2 2 3 2 27" xfId="9062"/>
    <cellStyle name="60% - 强调文字颜色 2 2 3 2 3" xfId="9063"/>
    <cellStyle name="60% - 强调文字颜色 2 2 3 2 4" xfId="9064"/>
    <cellStyle name="60% - 强调文字颜色 2 2 3 2 5" xfId="9065"/>
    <cellStyle name="60% - 强调文字颜色 2 2 3 2 6" xfId="9066"/>
    <cellStyle name="60% - 强调文字颜色 2 2 3 2 7" xfId="9067"/>
    <cellStyle name="60% - 强调文字颜色 2 2 3 2 8" xfId="9068"/>
    <cellStyle name="60% - 强调文字颜色 2 2 3 2 9" xfId="9069"/>
    <cellStyle name="60% - 强调文字颜色 2 2 3 20" xfId="9070"/>
    <cellStyle name="60% - 强调文字颜色 2 2 3 21" xfId="9071"/>
    <cellStyle name="60% - 强调文字颜色 2 2 3 22" xfId="9072"/>
    <cellStyle name="60% - 强调文字颜色 2 2 3 23" xfId="9073"/>
    <cellStyle name="60% - 强调文字颜色 2 2 3 24" xfId="9074"/>
    <cellStyle name="60% - 强调文字颜色 2 2 3 25" xfId="9075"/>
    <cellStyle name="60% - 强调文字颜色 2 2 3 26" xfId="9076"/>
    <cellStyle name="60% - 强调文字颜色 2 2 3 27" xfId="9077"/>
    <cellStyle name="60% - 强调文字颜色 2 2 3 28" xfId="9078"/>
    <cellStyle name="60% - 强调文字颜色 2 2 3 3" xfId="9079"/>
    <cellStyle name="60% - 强调文字颜色 2 2 3 4" xfId="9080"/>
    <cellStyle name="60% - 强调文字颜色 2 2 3 5" xfId="9081"/>
    <cellStyle name="60% - 强调文字颜色 2 2 3 6" xfId="9082"/>
    <cellStyle name="60% - 强调文字颜色 2 2 3 7" xfId="9083"/>
    <cellStyle name="60% - 强调文字颜色 2 2 3 8" xfId="9084"/>
    <cellStyle name="60% - 强调文字颜色 2 2 3 9" xfId="9085"/>
    <cellStyle name="60% - 强调文字颜色 2 2 30" xfId="9086"/>
    <cellStyle name="60% - 强调文字颜色 2 2 31" xfId="9087"/>
    <cellStyle name="60% - 强调文字颜色 2 2 32" xfId="9088"/>
    <cellStyle name="60% - 强调文字颜色 2 2 33" xfId="9089"/>
    <cellStyle name="60% - 强调文字颜色 2 2 4" xfId="9090"/>
    <cellStyle name="60% - 强调文字颜色 2 2 4 10" xfId="9091"/>
    <cellStyle name="60% - 强调文字颜色 2 2 4 11" xfId="9092"/>
    <cellStyle name="60% - 强调文字颜色 2 2 4 12" xfId="9093"/>
    <cellStyle name="60% - 强调文字颜色 2 2 4 13" xfId="9094"/>
    <cellStyle name="60% - 强调文字颜色 2 2 4 14" xfId="9095"/>
    <cellStyle name="60% - 强调文字颜色 2 2 4 15" xfId="9096"/>
    <cellStyle name="60% - 强调文字颜色 2 2 4 16" xfId="9097"/>
    <cellStyle name="60% - 强调文字颜色 2 2 4 17" xfId="9098"/>
    <cellStyle name="60% - 强调文字颜色 2 2 4 18" xfId="9099"/>
    <cellStyle name="60% - 强调文字颜色 2 2 4 19" xfId="9100"/>
    <cellStyle name="60% - 强调文字颜色 2 2 4 2" xfId="9101"/>
    <cellStyle name="60% - 强调文字颜色 2 2 4 20" xfId="9102"/>
    <cellStyle name="60% - 强调文字颜色 2 2 4 21" xfId="9103"/>
    <cellStyle name="60% - 强调文字颜色 2 2 4 22" xfId="9104"/>
    <cellStyle name="60% - 强调文字颜色 2 2 4 23" xfId="9105"/>
    <cellStyle name="60% - 强调文字颜色 2 2 4 24" xfId="9106"/>
    <cellStyle name="60% - 强调文字颜色 2 2 4 25" xfId="9107"/>
    <cellStyle name="60% - 强调文字颜色 2 2 4 26" xfId="9108"/>
    <cellStyle name="60% - 强调文字颜色 2 2 4 27" xfId="9109"/>
    <cellStyle name="60% - 强调文字颜色 2 2 4 3" xfId="9110"/>
    <cellStyle name="60% - 强调文字颜色 2 2 4 4" xfId="9111"/>
    <cellStyle name="60% - 强调文字颜色 2 2 4 5" xfId="9112"/>
    <cellStyle name="60% - 强调文字颜色 2 2 4 6" xfId="9113"/>
    <cellStyle name="60% - 强调文字颜色 2 2 4 7" xfId="9114"/>
    <cellStyle name="60% - 强调文字颜色 2 2 4 8" xfId="9115"/>
    <cellStyle name="60% - 强调文字颜色 2 2 4 9" xfId="9116"/>
    <cellStyle name="60% - 强调文字颜色 2 2 5" xfId="9117"/>
    <cellStyle name="60% - 强调文字颜色 2 2 6" xfId="9118"/>
    <cellStyle name="60% - 强调文字颜色 2 2 7" xfId="9119"/>
    <cellStyle name="60% - 强调文字颜色 2 2 8" xfId="9120"/>
    <cellStyle name="60% - 强调文字颜色 2 2 9" xfId="9121"/>
    <cellStyle name="60% - 强调文字颜色 2 20" xfId="9122"/>
    <cellStyle name="60% - 强调文字颜色 2 21" xfId="9123"/>
    <cellStyle name="60% - 强调文字颜色 2 22" xfId="9124"/>
    <cellStyle name="60% - 强调文字颜色 2 23" xfId="9125"/>
    <cellStyle name="60% - 强调文字颜色 2 24" xfId="9126"/>
    <cellStyle name="60% - 强调文字颜色 2 25" xfId="9127"/>
    <cellStyle name="60% - 强调文字颜色 2 26" xfId="9128"/>
    <cellStyle name="60% - 强调文字颜色 2 27" xfId="9129"/>
    <cellStyle name="60% - 强调文字颜色 2 28" xfId="9130"/>
    <cellStyle name="60% - 强调文字颜色 2 29" xfId="9131"/>
    <cellStyle name="60% - 强调文字颜色 2 3" xfId="9132"/>
    <cellStyle name="60% - 强调文字颜色 2 3 10" xfId="9133"/>
    <cellStyle name="60% - 强调文字颜色 2 3 11" xfId="9134"/>
    <cellStyle name="60% - 强调文字颜色 2 3 12" xfId="9135"/>
    <cellStyle name="60% - 强调文字颜色 2 3 13" xfId="9136"/>
    <cellStyle name="60% - 强调文字颜色 2 3 14" xfId="9137"/>
    <cellStyle name="60% - 强调文字颜色 2 3 15" xfId="9138"/>
    <cellStyle name="60% - 强调文字颜色 2 3 16" xfId="9139"/>
    <cellStyle name="60% - 强调文字颜色 2 3 17" xfId="9140"/>
    <cellStyle name="60% - 强调文字颜色 2 3 18" xfId="9141"/>
    <cellStyle name="60% - 强调文字颜色 2 3 19" xfId="9142"/>
    <cellStyle name="60% - 强调文字颜色 2 3 2" xfId="9143"/>
    <cellStyle name="60% - 强调文字颜色 2 3 2 10" xfId="9144"/>
    <cellStyle name="60% - 强调文字颜色 2 3 2 11" xfId="9145"/>
    <cellStyle name="60% - 强调文字颜色 2 3 2 12" xfId="9146"/>
    <cellStyle name="60% - 强调文字颜色 2 3 2 13" xfId="9147"/>
    <cellStyle name="60% - 强调文字颜色 2 3 2 14" xfId="9148"/>
    <cellStyle name="60% - 强调文字颜色 2 3 2 15" xfId="9149"/>
    <cellStyle name="60% - 强调文字颜色 2 3 2 16" xfId="9150"/>
    <cellStyle name="60% - 强调文字颜色 2 3 2 17" xfId="9151"/>
    <cellStyle name="60% - 强调文字颜色 2 3 2 18" xfId="9152"/>
    <cellStyle name="60% - 强调文字颜色 2 3 2 19" xfId="9153"/>
    <cellStyle name="60% - 强调文字颜色 2 3 2 2" xfId="9154"/>
    <cellStyle name="60% - 强调文字颜色 2 3 2 20" xfId="9155"/>
    <cellStyle name="60% - 强调文字颜色 2 3 2 21" xfId="9156"/>
    <cellStyle name="60% - 强调文字颜色 2 3 2 22" xfId="9157"/>
    <cellStyle name="60% - 强调文字颜色 2 3 2 23" xfId="9158"/>
    <cellStyle name="60% - 强调文字颜色 2 3 2 24" xfId="9159"/>
    <cellStyle name="60% - 强调文字颜色 2 3 2 25" xfId="9160"/>
    <cellStyle name="60% - 强调文字颜色 2 3 2 26" xfId="9161"/>
    <cellStyle name="60% - 强调文字颜色 2 3 2 27" xfId="9162"/>
    <cellStyle name="60% - 强调文字颜色 2 3 2 3" xfId="9163"/>
    <cellStyle name="60% - 强调文字颜色 2 3 2 4" xfId="9164"/>
    <cellStyle name="60% - 强调文字颜色 2 3 2 5" xfId="9165"/>
    <cellStyle name="60% - 强调文字颜色 2 3 2 6" xfId="9166"/>
    <cellStyle name="60% - 强调文字颜色 2 3 2 7" xfId="9167"/>
    <cellStyle name="60% - 强调文字颜色 2 3 2 8" xfId="9168"/>
    <cellStyle name="60% - 强调文字颜色 2 3 2 9" xfId="9169"/>
    <cellStyle name="60% - 强调文字颜色 2 3 20" xfId="9170"/>
    <cellStyle name="60% - 强调文字颜色 2 3 21" xfId="9171"/>
    <cellStyle name="60% - 强调文字颜色 2 3 22" xfId="9172"/>
    <cellStyle name="60% - 强调文字颜色 2 3 23" xfId="9173"/>
    <cellStyle name="60% - 强调文字颜色 2 3 24" xfId="9174"/>
    <cellStyle name="60% - 强调文字颜色 2 3 25" xfId="9175"/>
    <cellStyle name="60% - 强调文字颜色 2 3 26" xfId="9176"/>
    <cellStyle name="60% - 强调文字颜色 2 3 27" xfId="9177"/>
    <cellStyle name="60% - 强调文字颜色 2 3 28" xfId="9178"/>
    <cellStyle name="60% - 强调文字颜色 2 3 3" xfId="9179"/>
    <cellStyle name="60% - 强调文字颜色 2 3 4" xfId="9180"/>
    <cellStyle name="60% - 强调文字颜色 2 3 5" xfId="9181"/>
    <cellStyle name="60% - 强调文字颜色 2 3 6" xfId="9182"/>
    <cellStyle name="60% - 强调文字颜色 2 3 7" xfId="9183"/>
    <cellStyle name="60% - 强调文字颜色 2 3 8" xfId="9184"/>
    <cellStyle name="60% - 强调文字颜色 2 3 9" xfId="9185"/>
    <cellStyle name="60% - 强调文字颜色 2 30" xfId="9186"/>
    <cellStyle name="60% - 强调文字颜色 2 31" xfId="9187"/>
    <cellStyle name="60% - 强调文字颜色 2 32" xfId="9188"/>
    <cellStyle name="60% - 强调文字颜色 2 33" xfId="9189"/>
    <cellStyle name="60% - 强调文字颜色 2 34" xfId="9190"/>
    <cellStyle name="60% - 强调文字颜色 2 35" xfId="9191"/>
    <cellStyle name="60% - 强调文字颜色 2 36" xfId="9192"/>
    <cellStyle name="60% - 强调文字颜色 2 37" xfId="9193"/>
    <cellStyle name="60% - 强调文字颜色 2 38" xfId="9194"/>
    <cellStyle name="60% - 强调文字颜色 2 39" xfId="9195"/>
    <cellStyle name="60% - 强调文字颜色 2 4" xfId="9196"/>
    <cellStyle name="60% - 强调文字颜色 2 4 10" xfId="9197"/>
    <cellStyle name="60% - 强调文字颜色 2 4 11" xfId="9198"/>
    <cellStyle name="60% - 强调文字颜色 2 4 12" xfId="9199"/>
    <cellStyle name="60% - 强调文字颜色 2 4 13" xfId="9200"/>
    <cellStyle name="60% - 强调文字颜色 2 4 14" xfId="9201"/>
    <cellStyle name="60% - 强调文字颜色 2 4 15" xfId="9202"/>
    <cellStyle name="60% - 强调文字颜色 2 4 16" xfId="9203"/>
    <cellStyle name="60% - 强调文字颜色 2 4 17" xfId="9204"/>
    <cellStyle name="60% - 强调文字颜色 2 4 18" xfId="9205"/>
    <cellStyle name="60% - 强调文字颜色 2 4 19" xfId="9206"/>
    <cellStyle name="60% - 强调文字颜色 2 4 2" xfId="9207"/>
    <cellStyle name="60% - 强调文字颜色 2 4 2 10" xfId="9208"/>
    <cellStyle name="60% - 强调文字颜色 2 4 2 11" xfId="9209"/>
    <cellStyle name="60% - 强调文字颜色 2 4 2 12" xfId="9210"/>
    <cellStyle name="60% - 强调文字颜色 2 4 2 13" xfId="9211"/>
    <cellStyle name="60% - 强调文字颜色 2 4 2 14" xfId="9212"/>
    <cellStyle name="60% - 强调文字颜色 2 4 2 15" xfId="9213"/>
    <cellStyle name="60% - 强调文字颜色 2 4 2 16" xfId="9214"/>
    <cellStyle name="60% - 强调文字颜色 2 4 2 17" xfId="9215"/>
    <cellStyle name="60% - 强调文字颜色 2 4 2 18" xfId="9216"/>
    <cellStyle name="60% - 强调文字颜色 2 4 2 19" xfId="9217"/>
    <cellStyle name="60% - 强调文字颜色 2 4 2 2" xfId="9218"/>
    <cellStyle name="60% - 强调文字颜色 2 4 2 20" xfId="9219"/>
    <cellStyle name="60% - 强调文字颜色 2 4 2 21" xfId="9220"/>
    <cellStyle name="60% - 强调文字颜色 2 4 2 22" xfId="9221"/>
    <cellStyle name="60% - 强调文字颜色 2 4 2 23" xfId="9222"/>
    <cellStyle name="60% - 强调文字颜色 2 4 2 24" xfId="9223"/>
    <cellStyle name="60% - 强调文字颜色 2 4 2 25" xfId="9224"/>
    <cellStyle name="60% - 强调文字颜色 2 4 2 26" xfId="9225"/>
    <cellStyle name="60% - 强调文字颜色 2 4 2 27" xfId="9226"/>
    <cellStyle name="60% - 强调文字颜色 2 4 2 3" xfId="9227"/>
    <cellStyle name="60% - 强调文字颜色 2 4 2 4" xfId="9228"/>
    <cellStyle name="60% - 强调文字颜色 2 4 2 5" xfId="9229"/>
    <cellStyle name="60% - 强调文字颜色 2 4 2 6" xfId="9230"/>
    <cellStyle name="60% - 强调文字颜色 2 4 2 7" xfId="9231"/>
    <cellStyle name="60% - 强调文字颜色 2 4 2 8" xfId="9232"/>
    <cellStyle name="60% - 强调文字颜色 2 4 2 9" xfId="9233"/>
    <cellStyle name="60% - 强调文字颜色 2 4 20" xfId="9234"/>
    <cellStyle name="60% - 强调文字颜色 2 4 21" xfId="9235"/>
    <cellStyle name="60% - 强调文字颜色 2 4 22" xfId="9236"/>
    <cellStyle name="60% - 强调文字颜色 2 4 23" xfId="9237"/>
    <cellStyle name="60% - 强调文字颜色 2 4 24" xfId="9238"/>
    <cellStyle name="60% - 强调文字颜色 2 4 25" xfId="9239"/>
    <cellStyle name="60% - 强调文字颜色 2 4 26" xfId="9240"/>
    <cellStyle name="60% - 强调文字颜色 2 4 27" xfId="9241"/>
    <cellStyle name="60% - 强调文字颜色 2 4 28" xfId="9242"/>
    <cellStyle name="60% - 强调文字颜色 2 4 3" xfId="9243"/>
    <cellStyle name="60% - 强调文字颜色 2 4 4" xfId="9244"/>
    <cellStyle name="60% - 强调文字颜色 2 4 5" xfId="9245"/>
    <cellStyle name="60% - 强调文字颜色 2 4 6" xfId="9246"/>
    <cellStyle name="60% - 强调文字颜色 2 4 7" xfId="9247"/>
    <cellStyle name="60% - 强调文字颜色 2 4 8" xfId="9248"/>
    <cellStyle name="60% - 强调文字颜色 2 4 9" xfId="9249"/>
    <cellStyle name="60% - 强调文字颜色 2 40" xfId="9250"/>
    <cellStyle name="60% - 强调文字颜色 2 5" xfId="9251"/>
    <cellStyle name="60% - 强调文字颜色 2 5 10" xfId="9252"/>
    <cellStyle name="60% - 强调文字颜色 2 5 11" xfId="9253"/>
    <cellStyle name="60% - 强调文字颜色 2 5 12" xfId="9254"/>
    <cellStyle name="60% - 强调文字颜色 2 5 13" xfId="9255"/>
    <cellStyle name="60% - 强调文字颜色 2 5 14" xfId="9256"/>
    <cellStyle name="60% - 强调文字颜色 2 5 15" xfId="9257"/>
    <cellStyle name="60% - 强调文字颜色 2 5 16" xfId="9258"/>
    <cellStyle name="60% - 强调文字颜色 2 5 17" xfId="9259"/>
    <cellStyle name="60% - 强调文字颜色 2 5 18" xfId="9260"/>
    <cellStyle name="60% - 强调文字颜色 2 5 19" xfId="9261"/>
    <cellStyle name="60% - 强调文字颜色 2 5 2" xfId="9262"/>
    <cellStyle name="60% - 强调文字颜色 2 5 2 10" xfId="9263"/>
    <cellStyle name="60% - 强调文字颜色 2 5 2 11" xfId="9264"/>
    <cellStyle name="60% - 强调文字颜色 2 5 2 12" xfId="9265"/>
    <cellStyle name="60% - 强调文字颜色 2 5 2 13" xfId="9266"/>
    <cellStyle name="60% - 强调文字颜色 2 5 2 14" xfId="9267"/>
    <cellStyle name="60% - 强调文字颜色 2 5 2 15" xfId="9268"/>
    <cellStyle name="60% - 强调文字颜色 2 5 2 16" xfId="9269"/>
    <cellStyle name="60% - 强调文字颜色 2 5 2 17" xfId="9270"/>
    <cellStyle name="60% - 强调文字颜色 2 5 2 18" xfId="9271"/>
    <cellStyle name="60% - 强调文字颜色 2 5 2 19" xfId="9272"/>
    <cellStyle name="60% - 强调文字颜色 2 5 2 2" xfId="9273"/>
    <cellStyle name="60% - 强调文字颜色 2 5 2 20" xfId="9274"/>
    <cellStyle name="60% - 强调文字颜色 2 5 2 21" xfId="9275"/>
    <cellStyle name="60% - 强调文字颜色 2 5 2 22" xfId="9276"/>
    <cellStyle name="60% - 强调文字颜色 2 5 2 23" xfId="9277"/>
    <cellStyle name="60% - 强调文字颜色 2 5 2 24" xfId="9278"/>
    <cellStyle name="60% - 强调文字颜色 2 5 2 25" xfId="9279"/>
    <cellStyle name="60% - 强调文字颜色 2 5 2 26" xfId="9280"/>
    <cellStyle name="60% - 强调文字颜色 2 5 2 27" xfId="9281"/>
    <cellStyle name="60% - 强调文字颜色 2 5 2 3" xfId="9282"/>
    <cellStyle name="60% - 强调文字颜色 2 5 2 4" xfId="9283"/>
    <cellStyle name="60% - 强调文字颜色 2 5 2 5" xfId="9284"/>
    <cellStyle name="60% - 强调文字颜色 2 5 2 6" xfId="9285"/>
    <cellStyle name="60% - 强调文字颜色 2 5 2 7" xfId="9286"/>
    <cellStyle name="60% - 强调文字颜色 2 5 2 8" xfId="9287"/>
    <cellStyle name="60% - 强调文字颜色 2 5 2 9" xfId="9288"/>
    <cellStyle name="60% - 强调文字颜色 2 5 20" xfId="9289"/>
    <cellStyle name="60% - 强调文字颜色 2 5 21" xfId="9290"/>
    <cellStyle name="60% - 强调文字颜色 2 5 22" xfId="9291"/>
    <cellStyle name="60% - 强调文字颜色 2 5 23" xfId="9292"/>
    <cellStyle name="60% - 强调文字颜色 2 5 24" xfId="9293"/>
    <cellStyle name="60% - 强调文字颜色 2 5 25" xfId="9294"/>
    <cellStyle name="60% - 强调文字颜色 2 5 26" xfId="9295"/>
    <cellStyle name="60% - 强调文字颜色 2 5 27" xfId="9296"/>
    <cellStyle name="60% - 强调文字颜色 2 5 28" xfId="9297"/>
    <cellStyle name="60% - 强调文字颜色 2 5 3" xfId="9298"/>
    <cellStyle name="60% - 强调文字颜色 2 5 4" xfId="9299"/>
    <cellStyle name="60% - 强调文字颜色 2 5 5" xfId="9300"/>
    <cellStyle name="60% - 强调文字颜色 2 5 6" xfId="9301"/>
    <cellStyle name="60% - 强调文字颜色 2 5 7" xfId="9302"/>
    <cellStyle name="60% - 强调文字颜色 2 5 8" xfId="9303"/>
    <cellStyle name="60% - 强调文字颜色 2 5 9" xfId="9304"/>
    <cellStyle name="60% - 强调文字颜色 2 6" xfId="9305"/>
    <cellStyle name="60% - 强调文字颜色 2 6 10" xfId="9306"/>
    <cellStyle name="60% - 强调文字颜色 2 6 11" xfId="9307"/>
    <cellStyle name="60% - 强调文字颜色 2 6 12" xfId="9308"/>
    <cellStyle name="60% - 强调文字颜色 2 6 13" xfId="9309"/>
    <cellStyle name="60% - 强调文字颜色 2 6 14" xfId="9310"/>
    <cellStyle name="60% - 强调文字颜色 2 6 15" xfId="9311"/>
    <cellStyle name="60% - 强调文字颜色 2 6 16" xfId="9312"/>
    <cellStyle name="60% - 强调文字颜色 2 6 17" xfId="9313"/>
    <cellStyle name="60% - 强调文字颜色 2 6 18" xfId="9314"/>
    <cellStyle name="60% - 强调文字颜色 2 6 19" xfId="9315"/>
    <cellStyle name="60% - 强调文字颜色 2 6 2" xfId="9316"/>
    <cellStyle name="60% - 强调文字颜色 2 6 2 10" xfId="9317"/>
    <cellStyle name="60% - 强调文字颜色 2 6 2 11" xfId="9318"/>
    <cellStyle name="60% - 强调文字颜色 2 6 2 12" xfId="9319"/>
    <cellStyle name="60% - 强调文字颜色 2 6 2 13" xfId="9320"/>
    <cellStyle name="60% - 强调文字颜色 2 6 2 14" xfId="9321"/>
    <cellStyle name="60% - 强调文字颜色 2 6 2 15" xfId="9322"/>
    <cellStyle name="60% - 强调文字颜色 2 6 2 16" xfId="9323"/>
    <cellStyle name="60% - 强调文字颜色 2 6 2 17" xfId="9324"/>
    <cellStyle name="60% - 强调文字颜色 2 6 2 18" xfId="9325"/>
    <cellStyle name="60% - 强调文字颜色 2 6 2 19" xfId="9326"/>
    <cellStyle name="60% - 强调文字颜色 2 6 2 2" xfId="9327"/>
    <cellStyle name="60% - 强调文字颜色 2 6 2 20" xfId="9328"/>
    <cellStyle name="60% - 强调文字颜色 2 6 2 21" xfId="9329"/>
    <cellStyle name="60% - 强调文字颜色 2 6 2 22" xfId="9330"/>
    <cellStyle name="60% - 强调文字颜色 2 6 2 23" xfId="9331"/>
    <cellStyle name="60% - 强调文字颜色 2 6 2 24" xfId="9332"/>
    <cellStyle name="60% - 强调文字颜色 2 6 2 25" xfId="9333"/>
    <cellStyle name="60% - 强调文字颜色 2 6 2 26" xfId="9334"/>
    <cellStyle name="60% - 强调文字颜色 2 6 2 27" xfId="9335"/>
    <cellStyle name="60% - 强调文字颜色 2 6 2 3" xfId="9336"/>
    <cellStyle name="60% - 强调文字颜色 2 6 2 4" xfId="9337"/>
    <cellStyle name="60% - 强调文字颜色 2 6 2 5" xfId="9338"/>
    <cellStyle name="60% - 强调文字颜色 2 6 2 6" xfId="9339"/>
    <cellStyle name="60% - 强调文字颜色 2 6 2 7" xfId="9340"/>
    <cellStyle name="60% - 强调文字颜色 2 6 2 8" xfId="9341"/>
    <cellStyle name="60% - 强调文字颜色 2 6 2 9" xfId="9342"/>
    <cellStyle name="60% - 强调文字颜色 2 6 20" xfId="9343"/>
    <cellStyle name="60% - 强调文字颜色 2 6 21" xfId="9344"/>
    <cellStyle name="60% - 强调文字颜色 2 6 22" xfId="9345"/>
    <cellStyle name="60% - 强调文字颜色 2 6 23" xfId="9346"/>
    <cellStyle name="60% - 强调文字颜色 2 6 24" xfId="9347"/>
    <cellStyle name="60% - 强调文字颜色 2 6 25" xfId="9348"/>
    <cellStyle name="60% - 强调文字颜色 2 6 26" xfId="9349"/>
    <cellStyle name="60% - 强调文字颜色 2 6 27" xfId="9350"/>
    <cellStyle name="60% - 强调文字颜色 2 6 28" xfId="9351"/>
    <cellStyle name="60% - 强调文字颜色 2 6 3" xfId="9352"/>
    <cellStyle name="60% - 强调文字颜色 2 6 4" xfId="9353"/>
    <cellStyle name="60% - 强调文字颜色 2 6 5" xfId="9354"/>
    <cellStyle name="60% - 强调文字颜色 2 6 6" xfId="9355"/>
    <cellStyle name="60% - 强调文字颜色 2 6 7" xfId="9356"/>
    <cellStyle name="60% - 强调文字颜色 2 6 8" xfId="9357"/>
    <cellStyle name="60% - 强调文字颜色 2 6 9" xfId="9358"/>
    <cellStyle name="60% - 强调文字颜色 2 7" xfId="9359"/>
    <cellStyle name="60% - 强调文字颜色 2 7 10" xfId="9360"/>
    <cellStyle name="60% - 强调文字颜色 2 7 11" xfId="9361"/>
    <cellStyle name="60% - 强调文字颜色 2 7 12" xfId="9362"/>
    <cellStyle name="60% - 强调文字颜色 2 7 13" xfId="9363"/>
    <cellStyle name="60% - 强调文字颜色 2 7 14" xfId="9364"/>
    <cellStyle name="60% - 强调文字颜色 2 7 15" xfId="9365"/>
    <cellStyle name="60% - 强调文字颜色 2 7 16" xfId="9366"/>
    <cellStyle name="60% - 强调文字颜色 2 7 17" xfId="9367"/>
    <cellStyle name="60% - 强调文字颜色 2 7 18" xfId="9368"/>
    <cellStyle name="60% - 强调文字颜色 2 7 19" xfId="9369"/>
    <cellStyle name="60% - 强调文字颜色 2 7 2" xfId="9370"/>
    <cellStyle name="60% - 强调文字颜色 2 7 2 10" xfId="9371"/>
    <cellStyle name="60% - 强调文字颜色 2 7 2 11" xfId="9372"/>
    <cellStyle name="60% - 强调文字颜色 2 7 2 12" xfId="9373"/>
    <cellStyle name="60% - 强调文字颜色 2 7 2 13" xfId="9374"/>
    <cellStyle name="60% - 强调文字颜色 2 7 2 14" xfId="9375"/>
    <cellStyle name="60% - 强调文字颜色 2 7 2 15" xfId="9376"/>
    <cellStyle name="60% - 强调文字颜色 2 7 2 16" xfId="9377"/>
    <cellStyle name="60% - 强调文字颜色 2 7 2 17" xfId="9378"/>
    <cellStyle name="60% - 强调文字颜色 2 7 2 18" xfId="9379"/>
    <cellStyle name="60% - 强调文字颜色 2 7 2 19" xfId="9380"/>
    <cellStyle name="60% - 强调文字颜色 2 7 2 2" xfId="9381"/>
    <cellStyle name="60% - 强调文字颜色 2 7 2 20" xfId="9382"/>
    <cellStyle name="60% - 强调文字颜色 2 7 2 21" xfId="9383"/>
    <cellStyle name="60% - 强调文字颜色 2 7 2 22" xfId="9384"/>
    <cellStyle name="60% - 强调文字颜色 2 7 2 23" xfId="9385"/>
    <cellStyle name="60% - 强调文字颜色 2 7 2 24" xfId="9386"/>
    <cellStyle name="60% - 强调文字颜色 2 7 2 25" xfId="9387"/>
    <cellStyle name="60% - 强调文字颜色 2 7 2 26" xfId="9388"/>
    <cellStyle name="60% - 强调文字颜色 2 7 2 27" xfId="9389"/>
    <cellStyle name="60% - 强调文字颜色 2 7 2 3" xfId="9390"/>
    <cellStyle name="60% - 强调文字颜色 2 7 2 4" xfId="9391"/>
    <cellStyle name="60% - 强调文字颜色 2 7 2 5" xfId="9392"/>
    <cellStyle name="60% - 强调文字颜色 2 7 2 6" xfId="9393"/>
    <cellStyle name="60% - 强调文字颜色 2 7 2 7" xfId="9394"/>
    <cellStyle name="60% - 强调文字颜色 2 7 2 8" xfId="9395"/>
    <cellStyle name="60% - 强调文字颜色 2 7 2 9" xfId="9396"/>
    <cellStyle name="60% - 强调文字颜色 2 7 20" xfId="9397"/>
    <cellStyle name="60% - 强调文字颜色 2 7 21" xfId="9398"/>
    <cellStyle name="60% - 强调文字颜色 2 7 22" xfId="9399"/>
    <cellStyle name="60% - 强调文字颜色 2 7 23" xfId="9400"/>
    <cellStyle name="60% - 强调文字颜色 2 7 24" xfId="9401"/>
    <cellStyle name="60% - 强调文字颜色 2 7 25" xfId="9402"/>
    <cellStyle name="60% - 强调文字颜色 2 7 26" xfId="9403"/>
    <cellStyle name="60% - 强调文字颜色 2 7 27" xfId="9404"/>
    <cellStyle name="60% - 强调文字颜色 2 7 28" xfId="9405"/>
    <cellStyle name="60% - 强调文字颜色 2 7 3" xfId="9406"/>
    <cellStyle name="60% - 强调文字颜色 2 7 4" xfId="9407"/>
    <cellStyle name="60% - 强调文字颜色 2 7 5" xfId="9408"/>
    <cellStyle name="60% - 强调文字颜色 2 7 6" xfId="9409"/>
    <cellStyle name="60% - 强调文字颜色 2 7 7" xfId="9410"/>
    <cellStyle name="60% - 强调文字颜色 2 7 8" xfId="9411"/>
    <cellStyle name="60% - 强调文字颜色 2 7 9" xfId="9412"/>
    <cellStyle name="60% - 强调文字颜色 2 8" xfId="9413"/>
    <cellStyle name="60% - 强调文字颜色 2 8 10" xfId="9414"/>
    <cellStyle name="60% - 强调文字颜色 2 8 11" xfId="9415"/>
    <cellStyle name="60% - 强调文字颜色 2 8 12" xfId="9416"/>
    <cellStyle name="60% - 强调文字颜色 2 8 13" xfId="9417"/>
    <cellStyle name="60% - 强调文字颜色 2 8 14" xfId="9418"/>
    <cellStyle name="60% - 强调文字颜色 2 8 15" xfId="9419"/>
    <cellStyle name="60% - 强调文字颜色 2 8 16" xfId="9420"/>
    <cellStyle name="60% - 强调文字颜色 2 8 17" xfId="9421"/>
    <cellStyle name="60% - 强调文字颜色 2 8 18" xfId="9422"/>
    <cellStyle name="60% - 强调文字颜色 2 8 19" xfId="9423"/>
    <cellStyle name="60% - 强调文字颜色 2 8 2" xfId="9424"/>
    <cellStyle name="60% - 强调文字颜色 2 8 2 10" xfId="9425"/>
    <cellStyle name="60% - 强调文字颜色 2 8 2 11" xfId="9426"/>
    <cellStyle name="60% - 强调文字颜色 2 8 2 12" xfId="9427"/>
    <cellStyle name="60% - 强调文字颜色 2 8 2 13" xfId="9428"/>
    <cellStyle name="60% - 强调文字颜色 2 8 2 14" xfId="9429"/>
    <cellStyle name="60% - 强调文字颜色 2 8 2 15" xfId="9430"/>
    <cellStyle name="60% - 强调文字颜色 2 8 2 16" xfId="9431"/>
    <cellStyle name="60% - 强调文字颜色 2 8 2 17" xfId="9432"/>
    <cellStyle name="60% - 强调文字颜色 2 8 2 18" xfId="9433"/>
    <cellStyle name="60% - 强调文字颜色 2 8 2 19" xfId="9434"/>
    <cellStyle name="60% - 强调文字颜色 2 8 2 2" xfId="9435"/>
    <cellStyle name="60% - 强调文字颜色 2 8 2 20" xfId="9436"/>
    <cellStyle name="60% - 强调文字颜色 2 8 2 21" xfId="9437"/>
    <cellStyle name="60% - 强调文字颜色 2 8 2 22" xfId="9438"/>
    <cellStyle name="60% - 强调文字颜色 2 8 2 23" xfId="9439"/>
    <cellStyle name="60% - 强调文字颜色 2 8 2 24" xfId="9440"/>
    <cellStyle name="60% - 强调文字颜色 2 8 2 25" xfId="9441"/>
    <cellStyle name="60% - 强调文字颜色 2 8 2 26" xfId="9442"/>
    <cellStyle name="60% - 强调文字颜色 2 8 2 27" xfId="9443"/>
    <cellStyle name="60% - 强调文字颜色 2 8 2 3" xfId="9444"/>
    <cellStyle name="60% - 强调文字颜色 2 8 2 4" xfId="9445"/>
    <cellStyle name="60% - 强调文字颜色 2 8 2 5" xfId="9446"/>
    <cellStyle name="60% - 强调文字颜色 2 8 2 6" xfId="9447"/>
    <cellStyle name="60% - 强调文字颜色 2 8 2 7" xfId="9448"/>
    <cellStyle name="60% - 强调文字颜色 2 8 2 8" xfId="9449"/>
    <cellStyle name="60% - 强调文字颜色 2 8 2 9" xfId="9450"/>
    <cellStyle name="60% - 强调文字颜色 2 8 20" xfId="9451"/>
    <cellStyle name="60% - 强调文字颜色 2 8 21" xfId="9452"/>
    <cellStyle name="60% - 强调文字颜色 2 8 22" xfId="9453"/>
    <cellStyle name="60% - 强调文字颜色 2 8 23" xfId="9454"/>
    <cellStyle name="60% - 强调文字颜色 2 8 24" xfId="9455"/>
    <cellStyle name="60% - 强调文字颜色 2 8 25" xfId="9456"/>
    <cellStyle name="60% - 强调文字颜色 2 8 26" xfId="9457"/>
    <cellStyle name="60% - 强调文字颜色 2 8 27" xfId="9458"/>
    <cellStyle name="60% - 强调文字颜色 2 8 28" xfId="9459"/>
    <cellStyle name="60% - 强调文字颜色 2 8 3" xfId="9460"/>
    <cellStyle name="60% - 强调文字颜色 2 8 4" xfId="9461"/>
    <cellStyle name="60% - 强调文字颜色 2 8 5" xfId="9462"/>
    <cellStyle name="60% - 强调文字颜色 2 8 6" xfId="9463"/>
    <cellStyle name="60% - 强调文字颜色 2 8 7" xfId="9464"/>
    <cellStyle name="60% - 强调文字颜色 2 8 8" xfId="9465"/>
    <cellStyle name="60% - 强调文字颜色 2 8 9" xfId="9466"/>
    <cellStyle name="60% - 强调文字颜色 2 9" xfId="9467"/>
    <cellStyle name="60% - 强调文字颜色 2 9 10" xfId="9468"/>
    <cellStyle name="60% - 强调文字颜色 2 9 11" xfId="9469"/>
    <cellStyle name="60% - 强调文字颜色 2 9 12" xfId="9470"/>
    <cellStyle name="60% - 强调文字颜色 2 9 13" xfId="9471"/>
    <cellStyle name="60% - 强调文字颜色 2 9 14" xfId="9472"/>
    <cellStyle name="60% - 强调文字颜色 2 9 15" xfId="9473"/>
    <cellStyle name="60% - 强调文字颜色 2 9 16" xfId="9474"/>
    <cellStyle name="60% - 强调文字颜色 2 9 17" xfId="9475"/>
    <cellStyle name="60% - 强调文字颜色 2 9 18" xfId="9476"/>
    <cellStyle name="60% - 强调文字颜色 2 9 19" xfId="9477"/>
    <cellStyle name="60% - 强调文字颜色 2 9 2" xfId="9478"/>
    <cellStyle name="60% - 强调文字颜色 2 9 2 10" xfId="9479"/>
    <cellStyle name="60% - 强调文字颜色 2 9 2 11" xfId="9480"/>
    <cellStyle name="60% - 强调文字颜色 2 9 2 12" xfId="9481"/>
    <cellStyle name="60% - 强调文字颜色 2 9 2 13" xfId="9482"/>
    <cellStyle name="60% - 强调文字颜色 2 9 2 14" xfId="9483"/>
    <cellStyle name="60% - 强调文字颜色 2 9 2 15" xfId="9484"/>
    <cellStyle name="60% - 强调文字颜色 2 9 2 16" xfId="9485"/>
    <cellStyle name="60% - 强调文字颜色 2 9 2 17" xfId="9486"/>
    <cellStyle name="60% - 强调文字颜色 2 9 2 18" xfId="9487"/>
    <cellStyle name="60% - 强调文字颜色 2 9 2 19" xfId="9488"/>
    <cellStyle name="60% - 强调文字颜色 2 9 2 2" xfId="9489"/>
    <cellStyle name="60% - 强调文字颜色 2 9 2 20" xfId="9490"/>
    <cellStyle name="60% - 强调文字颜色 2 9 2 21" xfId="9491"/>
    <cellStyle name="60% - 强调文字颜色 2 9 2 22" xfId="9492"/>
    <cellStyle name="60% - 强调文字颜色 2 9 2 23" xfId="9493"/>
    <cellStyle name="60% - 强调文字颜色 2 9 2 24" xfId="9494"/>
    <cellStyle name="60% - 强调文字颜色 2 9 2 25" xfId="9495"/>
    <cellStyle name="60% - 强调文字颜色 2 9 2 26" xfId="9496"/>
    <cellStyle name="60% - 强调文字颜色 2 9 2 27" xfId="9497"/>
    <cellStyle name="60% - 强调文字颜色 2 9 2 3" xfId="9498"/>
    <cellStyle name="60% - 强调文字颜色 2 9 2 4" xfId="9499"/>
    <cellStyle name="60% - 强调文字颜色 2 9 2 5" xfId="9500"/>
    <cellStyle name="60% - 强调文字颜色 2 9 2 6" xfId="9501"/>
    <cellStyle name="60% - 强调文字颜色 2 9 2 7" xfId="9502"/>
    <cellStyle name="60% - 强调文字颜色 2 9 2 8" xfId="9503"/>
    <cellStyle name="60% - 强调文字颜色 2 9 2 9" xfId="9504"/>
    <cellStyle name="60% - 强调文字颜色 2 9 20" xfId="9505"/>
    <cellStyle name="60% - 强调文字颜色 2 9 21" xfId="9506"/>
    <cellStyle name="60% - 强调文字颜色 2 9 22" xfId="9507"/>
    <cellStyle name="60% - 强调文字颜色 2 9 23" xfId="9508"/>
    <cellStyle name="60% - 强调文字颜色 2 9 24" xfId="9509"/>
    <cellStyle name="60% - 强调文字颜色 2 9 25" xfId="9510"/>
    <cellStyle name="60% - 强调文字颜色 2 9 26" xfId="9511"/>
    <cellStyle name="60% - 强调文字颜色 2 9 27" xfId="9512"/>
    <cellStyle name="60% - 强调文字颜色 2 9 28" xfId="9513"/>
    <cellStyle name="60% - 强调文字颜色 2 9 3" xfId="9514"/>
    <cellStyle name="60% - 强调文字颜色 2 9 4" xfId="9515"/>
    <cellStyle name="60% - 强调文字颜色 2 9 5" xfId="9516"/>
    <cellStyle name="60% - 强调文字颜色 2 9 6" xfId="9517"/>
    <cellStyle name="60% - 强调文字颜色 2 9 7" xfId="9518"/>
    <cellStyle name="60% - 强调文字颜色 2 9 8" xfId="9519"/>
    <cellStyle name="60% - 强调文字颜色 2 9 9" xfId="9520"/>
    <cellStyle name="60% - 强调文字颜色 3 10" xfId="9521"/>
    <cellStyle name="60% - 强调文字颜色 3 10 10" xfId="9522"/>
    <cellStyle name="60% - 强调文字颜色 3 10 11" xfId="9523"/>
    <cellStyle name="60% - 强调文字颜色 3 10 12" xfId="9524"/>
    <cellStyle name="60% - 强调文字颜色 3 10 13" xfId="9525"/>
    <cellStyle name="60% - 强调文字颜色 3 10 14" xfId="9526"/>
    <cellStyle name="60% - 强调文字颜色 3 10 15" xfId="9527"/>
    <cellStyle name="60% - 强调文字颜色 3 10 16" xfId="9528"/>
    <cellStyle name="60% - 强调文字颜色 3 10 17" xfId="9529"/>
    <cellStyle name="60% - 强调文字颜色 3 10 18" xfId="9530"/>
    <cellStyle name="60% - 强调文字颜色 3 10 19" xfId="9531"/>
    <cellStyle name="60% - 强调文字颜色 3 10 2" xfId="9532"/>
    <cellStyle name="60% - 强调文字颜色 3 10 2 10" xfId="9533"/>
    <cellStyle name="60% - 强调文字颜色 3 10 2 11" xfId="9534"/>
    <cellStyle name="60% - 强调文字颜色 3 10 2 12" xfId="9535"/>
    <cellStyle name="60% - 强调文字颜色 3 10 2 13" xfId="9536"/>
    <cellStyle name="60% - 强调文字颜色 3 10 2 14" xfId="9537"/>
    <cellStyle name="60% - 强调文字颜色 3 10 2 15" xfId="9538"/>
    <cellStyle name="60% - 强调文字颜色 3 10 2 16" xfId="9539"/>
    <cellStyle name="60% - 强调文字颜色 3 10 2 17" xfId="9540"/>
    <cellStyle name="60% - 强调文字颜色 3 10 2 18" xfId="9541"/>
    <cellStyle name="60% - 强调文字颜色 3 10 2 19" xfId="9542"/>
    <cellStyle name="60% - 强调文字颜色 3 10 2 2" xfId="9543"/>
    <cellStyle name="60% - 强调文字颜色 3 10 2 20" xfId="9544"/>
    <cellStyle name="60% - 强调文字颜色 3 10 2 21" xfId="9545"/>
    <cellStyle name="60% - 强调文字颜色 3 10 2 22" xfId="9546"/>
    <cellStyle name="60% - 强调文字颜色 3 10 2 23" xfId="9547"/>
    <cellStyle name="60% - 强调文字颜色 3 10 2 24" xfId="9548"/>
    <cellStyle name="60% - 强调文字颜色 3 10 2 25" xfId="9549"/>
    <cellStyle name="60% - 强调文字颜色 3 10 2 26" xfId="9550"/>
    <cellStyle name="60% - 强调文字颜色 3 10 2 27" xfId="9551"/>
    <cellStyle name="60% - 强调文字颜色 3 10 2 3" xfId="9552"/>
    <cellStyle name="60% - 强调文字颜色 3 10 2 4" xfId="9553"/>
    <cellStyle name="60% - 强调文字颜色 3 10 2 5" xfId="9554"/>
    <cellStyle name="60% - 强调文字颜色 3 10 2 6" xfId="9555"/>
    <cellStyle name="60% - 强调文字颜色 3 10 2 7" xfId="9556"/>
    <cellStyle name="60% - 强调文字颜色 3 10 2 8" xfId="9557"/>
    <cellStyle name="60% - 强调文字颜色 3 10 2 9" xfId="9558"/>
    <cellStyle name="60% - 强调文字颜色 3 10 20" xfId="9559"/>
    <cellStyle name="60% - 强调文字颜色 3 10 21" xfId="9560"/>
    <cellStyle name="60% - 强调文字颜色 3 10 22" xfId="9561"/>
    <cellStyle name="60% - 强调文字颜色 3 10 23" xfId="9562"/>
    <cellStyle name="60% - 强调文字颜色 3 10 24" xfId="9563"/>
    <cellStyle name="60% - 强调文字颜色 3 10 25" xfId="9564"/>
    <cellStyle name="60% - 强调文字颜色 3 10 26" xfId="9565"/>
    <cellStyle name="60% - 强调文字颜色 3 10 27" xfId="9566"/>
    <cellStyle name="60% - 强调文字颜色 3 10 28" xfId="9567"/>
    <cellStyle name="60% - 强调文字颜色 3 10 3" xfId="9568"/>
    <cellStyle name="60% - 强调文字颜色 3 10 4" xfId="9569"/>
    <cellStyle name="60% - 强调文字颜色 3 10 5" xfId="9570"/>
    <cellStyle name="60% - 强调文字颜色 3 10 6" xfId="9571"/>
    <cellStyle name="60% - 强调文字颜色 3 10 7" xfId="9572"/>
    <cellStyle name="60% - 强调文字颜色 3 10 8" xfId="9573"/>
    <cellStyle name="60% - 强调文字颜色 3 10 9" xfId="9574"/>
    <cellStyle name="60% - 强调文字颜色 3 11" xfId="9575"/>
    <cellStyle name="60% - 强调文字颜色 3 11 10" xfId="9576"/>
    <cellStyle name="60% - 强调文字颜色 3 11 11" xfId="9577"/>
    <cellStyle name="60% - 强调文字颜色 3 11 12" xfId="9578"/>
    <cellStyle name="60% - 强调文字颜色 3 11 13" xfId="9579"/>
    <cellStyle name="60% - 强调文字颜色 3 11 14" xfId="9580"/>
    <cellStyle name="60% - 强调文字颜色 3 11 15" xfId="9581"/>
    <cellStyle name="60% - 强调文字颜色 3 11 16" xfId="9582"/>
    <cellStyle name="60% - 强调文字颜色 3 11 17" xfId="9583"/>
    <cellStyle name="60% - 强调文字颜色 3 11 18" xfId="9584"/>
    <cellStyle name="60% - 强调文字颜色 3 11 19" xfId="9585"/>
    <cellStyle name="60% - 强调文字颜色 3 11 2" xfId="9586"/>
    <cellStyle name="60% - 强调文字颜色 3 11 2 10" xfId="9587"/>
    <cellStyle name="60% - 强调文字颜色 3 11 2 11" xfId="9588"/>
    <cellStyle name="60% - 强调文字颜色 3 11 2 12" xfId="9589"/>
    <cellStyle name="60% - 强调文字颜色 3 11 2 13" xfId="9590"/>
    <cellStyle name="60% - 强调文字颜色 3 11 2 14" xfId="9591"/>
    <cellStyle name="60% - 强调文字颜色 3 11 2 15" xfId="9592"/>
    <cellStyle name="60% - 强调文字颜色 3 11 2 16" xfId="9593"/>
    <cellStyle name="60% - 强调文字颜色 3 11 2 17" xfId="9594"/>
    <cellStyle name="60% - 强调文字颜色 3 11 2 18" xfId="9595"/>
    <cellStyle name="60% - 强调文字颜色 3 11 2 19" xfId="9596"/>
    <cellStyle name="60% - 强调文字颜色 3 11 2 2" xfId="9597"/>
    <cellStyle name="60% - 强调文字颜色 3 11 2 20" xfId="9598"/>
    <cellStyle name="60% - 强调文字颜色 3 11 2 21" xfId="9599"/>
    <cellStyle name="60% - 强调文字颜色 3 11 2 22" xfId="9600"/>
    <cellStyle name="60% - 强调文字颜色 3 11 2 23" xfId="9601"/>
    <cellStyle name="60% - 强调文字颜色 3 11 2 24" xfId="9602"/>
    <cellStyle name="60% - 强调文字颜色 3 11 2 25" xfId="9603"/>
    <cellStyle name="60% - 强调文字颜色 3 11 2 26" xfId="9604"/>
    <cellStyle name="60% - 强调文字颜色 3 11 2 27" xfId="9605"/>
    <cellStyle name="60% - 强调文字颜色 3 11 2 3" xfId="9606"/>
    <cellStyle name="60% - 强调文字颜色 3 11 2 4" xfId="9607"/>
    <cellStyle name="60% - 强调文字颜色 3 11 2 5" xfId="9608"/>
    <cellStyle name="60% - 强调文字颜色 3 11 2 6" xfId="9609"/>
    <cellStyle name="60% - 强调文字颜色 3 11 2 7" xfId="9610"/>
    <cellStyle name="60% - 强调文字颜色 3 11 2 8" xfId="9611"/>
    <cellStyle name="60% - 强调文字颜色 3 11 2 9" xfId="9612"/>
    <cellStyle name="60% - 强调文字颜色 3 11 20" xfId="9613"/>
    <cellStyle name="60% - 强调文字颜色 3 11 21" xfId="9614"/>
    <cellStyle name="60% - 强调文字颜色 3 11 22" xfId="9615"/>
    <cellStyle name="60% - 强调文字颜色 3 11 23" xfId="9616"/>
    <cellStyle name="60% - 强调文字颜色 3 11 24" xfId="9617"/>
    <cellStyle name="60% - 强调文字颜色 3 11 25" xfId="9618"/>
    <cellStyle name="60% - 强调文字颜色 3 11 26" xfId="9619"/>
    <cellStyle name="60% - 强调文字颜色 3 11 27" xfId="9620"/>
    <cellStyle name="60% - 强调文字颜色 3 11 28" xfId="9621"/>
    <cellStyle name="60% - 强调文字颜色 3 11 3" xfId="9622"/>
    <cellStyle name="60% - 强调文字颜色 3 11 4" xfId="9623"/>
    <cellStyle name="60% - 强调文字颜色 3 11 5" xfId="9624"/>
    <cellStyle name="60% - 强调文字颜色 3 11 6" xfId="9625"/>
    <cellStyle name="60% - 强调文字颜色 3 11 7" xfId="9626"/>
    <cellStyle name="60% - 强调文字颜色 3 11 8" xfId="9627"/>
    <cellStyle name="60% - 强调文字颜色 3 11 9" xfId="9628"/>
    <cellStyle name="60% - 强调文字颜色 3 12" xfId="9629"/>
    <cellStyle name="60% - 强调文字颜色 3 13" xfId="9630"/>
    <cellStyle name="60% - 强调文字颜色 3 14" xfId="9631"/>
    <cellStyle name="60% - 强调文字颜色 3 15" xfId="9632"/>
    <cellStyle name="60% - 强调文字颜色 3 16" xfId="9633"/>
    <cellStyle name="60% - 强调文字颜色 3 17" xfId="9634"/>
    <cellStyle name="60% - 强调文字颜色 3 18" xfId="9635"/>
    <cellStyle name="60% - 强调文字颜色 3 19" xfId="9636"/>
    <cellStyle name="60% - 强调文字颜色 3 2" xfId="9637"/>
    <cellStyle name="60% - 强调文字颜色 3 2 10" xfId="9638"/>
    <cellStyle name="60% - 强调文字颜色 3 2 11" xfId="9639"/>
    <cellStyle name="60% - 强调文字颜色 3 2 12" xfId="9640"/>
    <cellStyle name="60% - 强调文字颜色 3 2 13" xfId="9641"/>
    <cellStyle name="60% - 强调文字颜色 3 2 14" xfId="9642"/>
    <cellStyle name="60% - 强调文字颜色 3 2 15" xfId="9643"/>
    <cellStyle name="60% - 强调文字颜色 3 2 16" xfId="9644"/>
    <cellStyle name="60% - 强调文字颜色 3 2 17" xfId="9645"/>
    <cellStyle name="60% - 强调文字颜色 3 2 18" xfId="9646"/>
    <cellStyle name="60% - 强调文字颜色 3 2 19" xfId="9647"/>
    <cellStyle name="60% - 强调文字颜色 3 2 2" xfId="9648"/>
    <cellStyle name="60% - 强调文字颜色 3 2 2 10" xfId="9649"/>
    <cellStyle name="60% - 强调文字颜色 3 2 2 11" xfId="9650"/>
    <cellStyle name="60% - 强调文字颜色 3 2 2 12" xfId="9651"/>
    <cellStyle name="60% - 强调文字颜色 3 2 2 13" xfId="9652"/>
    <cellStyle name="60% - 强调文字颜色 3 2 2 14" xfId="9653"/>
    <cellStyle name="60% - 强调文字颜色 3 2 2 15" xfId="9654"/>
    <cellStyle name="60% - 强调文字颜色 3 2 2 16" xfId="9655"/>
    <cellStyle name="60% - 强调文字颜色 3 2 2 17" xfId="9656"/>
    <cellStyle name="60% - 强调文字颜色 3 2 2 18" xfId="9657"/>
    <cellStyle name="60% - 强调文字颜色 3 2 2 19" xfId="9658"/>
    <cellStyle name="60% - 强调文字颜色 3 2 2 2" xfId="9659"/>
    <cellStyle name="60% - 强调文字颜色 3 2 2 2 10" xfId="9660"/>
    <cellStyle name="60% - 强调文字颜色 3 2 2 2 11" xfId="9661"/>
    <cellStyle name="60% - 强调文字颜色 3 2 2 2 12" xfId="9662"/>
    <cellStyle name="60% - 强调文字颜色 3 2 2 2 13" xfId="9663"/>
    <cellStyle name="60% - 强调文字颜色 3 2 2 2 14" xfId="9664"/>
    <cellStyle name="60% - 强调文字颜色 3 2 2 2 15" xfId="9665"/>
    <cellStyle name="60% - 强调文字颜色 3 2 2 2 16" xfId="9666"/>
    <cellStyle name="60% - 强调文字颜色 3 2 2 2 17" xfId="9667"/>
    <cellStyle name="60% - 强调文字颜色 3 2 2 2 18" xfId="9668"/>
    <cellStyle name="60% - 强调文字颜色 3 2 2 2 19" xfId="9669"/>
    <cellStyle name="60% - 强调文字颜色 3 2 2 2 2" xfId="9670"/>
    <cellStyle name="60% - 强调文字颜色 3 2 2 2 20" xfId="9671"/>
    <cellStyle name="60% - 强调文字颜色 3 2 2 2 21" xfId="9672"/>
    <cellStyle name="60% - 强调文字颜色 3 2 2 2 22" xfId="9673"/>
    <cellStyle name="60% - 强调文字颜色 3 2 2 2 23" xfId="9674"/>
    <cellStyle name="60% - 强调文字颜色 3 2 2 2 24" xfId="9675"/>
    <cellStyle name="60% - 强调文字颜色 3 2 2 2 25" xfId="9676"/>
    <cellStyle name="60% - 强调文字颜色 3 2 2 2 26" xfId="9677"/>
    <cellStyle name="60% - 强调文字颜色 3 2 2 2 27" xfId="9678"/>
    <cellStyle name="60% - 强调文字颜色 3 2 2 2 3" xfId="9679"/>
    <cellStyle name="60% - 强调文字颜色 3 2 2 2 4" xfId="9680"/>
    <cellStyle name="60% - 强调文字颜色 3 2 2 2 5" xfId="9681"/>
    <cellStyle name="60% - 强调文字颜色 3 2 2 2 6" xfId="9682"/>
    <cellStyle name="60% - 强调文字颜色 3 2 2 2 7" xfId="9683"/>
    <cellStyle name="60% - 强调文字颜色 3 2 2 2 8" xfId="9684"/>
    <cellStyle name="60% - 强调文字颜色 3 2 2 2 9" xfId="9685"/>
    <cellStyle name="60% - 强调文字颜色 3 2 2 20" xfId="9686"/>
    <cellStyle name="60% - 强调文字颜色 3 2 2 21" xfId="9687"/>
    <cellStyle name="60% - 强调文字颜色 3 2 2 22" xfId="9688"/>
    <cellStyle name="60% - 强调文字颜色 3 2 2 23" xfId="9689"/>
    <cellStyle name="60% - 强调文字颜色 3 2 2 24" xfId="9690"/>
    <cellStyle name="60% - 强调文字颜色 3 2 2 25" xfId="9691"/>
    <cellStyle name="60% - 强调文字颜色 3 2 2 26" xfId="9692"/>
    <cellStyle name="60% - 强调文字颜色 3 2 2 27" xfId="9693"/>
    <cellStyle name="60% - 强调文字颜色 3 2 2 28" xfId="9694"/>
    <cellStyle name="60% - 强调文字颜色 3 2 2 3" xfId="9695"/>
    <cellStyle name="60% - 强调文字颜色 3 2 2 4" xfId="9696"/>
    <cellStyle name="60% - 强调文字颜色 3 2 2 5" xfId="9697"/>
    <cellStyle name="60% - 强调文字颜色 3 2 2 6" xfId="9698"/>
    <cellStyle name="60% - 强调文字颜色 3 2 2 7" xfId="9699"/>
    <cellStyle name="60% - 强调文字颜色 3 2 2 8" xfId="9700"/>
    <cellStyle name="60% - 强调文字颜色 3 2 2 9" xfId="9701"/>
    <cellStyle name="60% - 强调文字颜色 3 2 20" xfId="9702"/>
    <cellStyle name="60% - 强调文字颜色 3 2 21" xfId="9703"/>
    <cellStyle name="60% - 强调文字颜色 3 2 22" xfId="9704"/>
    <cellStyle name="60% - 强调文字颜色 3 2 23" xfId="9705"/>
    <cellStyle name="60% - 强调文字颜色 3 2 24" xfId="9706"/>
    <cellStyle name="60% - 强调文字颜色 3 2 25" xfId="9707"/>
    <cellStyle name="60% - 强调文字颜色 3 2 26" xfId="9708"/>
    <cellStyle name="60% - 强调文字颜色 3 2 27" xfId="9709"/>
    <cellStyle name="60% - 强调文字颜色 3 2 28" xfId="9710"/>
    <cellStyle name="60% - 强调文字颜色 3 2 29" xfId="9711"/>
    <cellStyle name="60% - 强调文字颜色 3 2 3" xfId="9712"/>
    <cellStyle name="60% - 强调文字颜色 3 2 3 10" xfId="9713"/>
    <cellStyle name="60% - 强调文字颜色 3 2 3 11" xfId="9714"/>
    <cellStyle name="60% - 强调文字颜色 3 2 3 12" xfId="9715"/>
    <cellStyle name="60% - 强调文字颜色 3 2 3 13" xfId="9716"/>
    <cellStyle name="60% - 强调文字颜色 3 2 3 14" xfId="9717"/>
    <cellStyle name="60% - 强调文字颜色 3 2 3 15" xfId="9718"/>
    <cellStyle name="60% - 强调文字颜色 3 2 3 16" xfId="9719"/>
    <cellStyle name="60% - 强调文字颜色 3 2 3 17" xfId="9720"/>
    <cellStyle name="60% - 强调文字颜色 3 2 3 18" xfId="9721"/>
    <cellStyle name="60% - 强调文字颜色 3 2 3 19" xfId="9722"/>
    <cellStyle name="60% - 强调文字颜色 3 2 3 2" xfId="9723"/>
    <cellStyle name="60% - 强调文字颜色 3 2 3 2 10" xfId="9724"/>
    <cellStyle name="60% - 强调文字颜色 3 2 3 2 11" xfId="9725"/>
    <cellStyle name="60% - 强调文字颜色 3 2 3 2 12" xfId="9726"/>
    <cellStyle name="60% - 强调文字颜色 3 2 3 2 13" xfId="9727"/>
    <cellStyle name="60% - 强调文字颜色 3 2 3 2 14" xfId="9728"/>
    <cellStyle name="60% - 强调文字颜色 3 2 3 2 15" xfId="9729"/>
    <cellStyle name="60% - 强调文字颜色 3 2 3 2 16" xfId="9730"/>
    <cellStyle name="60% - 强调文字颜色 3 2 3 2 17" xfId="9731"/>
    <cellStyle name="60% - 强调文字颜色 3 2 3 2 18" xfId="9732"/>
    <cellStyle name="60% - 强调文字颜色 3 2 3 2 19" xfId="9733"/>
    <cellStyle name="60% - 强调文字颜色 3 2 3 2 2" xfId="9734"/>
    <cellStyle name="60% - 强调文字颜色 3 2 3 2 20" xfId="9735"/>
    <cellStyle name="60% - 强调文字颜色 3 2 3 2 21" xfId="9736"/>
    <cellStyle name="60% - 强调文字颜色 3 2 3 2 22" xfId="9737"/>
    <cellStyle name="60% - 强调文字颜色 3 2 3 2 23" xfId="9738"/>
    <cellStyle name="60% - 强调文字颜色 3 2 3 2 24" xfId="9739"/>
    <cellStyle name="60% - 强调文字颜色 3 2 3 2 25" xfId="9740"/>
    <cellStyle name="60% - 强调文字颜色 3 2 3 2 26" xfId="9741"/>
    <cellStyle name="60% - 强调文字颜色 3 2 3 2 27" xfId="9742"/>
    <cellStyle name="60% - 强调文字颜色 3 2 3 2 3" xfId="9743"/>
    <cellStyle name="60% - 强调文字颜色 3 2 3 2 4" xfId="9744"/>
    <cellStyle name="60% - 强调文字颜色 3 2 3 2 5" xfId="9745"/>
    <cellStyle name="60% - 强调文字颜色 3 2 3 2 6" xfId="9746"/>
    <cellStyle name="60% - 强调文字颜色 3 2 3 2 7" xfId="9747"/>
    <cellStyle name="60% - 强调文字颜色 3 2 3 2 8" xfId="9748"/>
    <cellStyle name="60% - 强调文字颜色 3 2 3 2 9" xfId="9749"/>
    <cellStyle name="60% - 强调文字颜色 3 2 3 20" xfId="9750"/>
    <cellStyle name="60% - 强调文字颜色 3 2 3 21" xfId="9751"/>
    <cellStyle name="60% - 强调文字颜色 3 2 3 22" xfId="9752"/>
    <cellStyle name="60% - 强调文字颜色 3 2 3 23" xfId="9753"/>
    <cellStyle name="60% - 强调文字颜色 3 2 3 24" xfId="9754"/>
    <cellStyle name="60% - 强调文字颜色 3 2 3 25" xfId="9755"/>
    <cellStyle name="60% - 强调文字颜色 3 2 3 26" xfId="9756"/>
    <cellStyle name="60% - 强调文字颜色 3 2 3 27" xfId="9757"/>
    <cellStyle name="60% - 强调文字颜色 3 2 3 28" xfId="9758"/>
    <cellStyle name="60% - 强调文字颜色 3 2 3 3" xfId="9759"/>
    <cellStyle name="60% - 强调文字颜色 3 2 3 4" xfId="9760"/>
    <cellStyle name="60% - 强调文字颜色 3 2 3 5" xfId="9761"/>
    <cellStyle name="60% - 强调文字颜色 3 2 3 6" xfId="9762"/>
    <cellStyle name="60% - 强调文字颜色 3 2 3 7" xfId="9763"/>
    <cellStyle name="60% - 强调文字颜色 3 2 3 8" xfId="9764"/>
    <cellStyle name="60% - 强调文字颜色 3 2 3 9" xfId="9765"/>
    <cellStyle name="60% - 强调文字颜色 3 2 30" xfId="9766"/>
    <cellStyle name="60% - 强调文字颜色 3 2 31" xfId="9767"/>
    <cellStyle name="60% - 强调文字颜色 3 2 32" xfId="9768"/>
    <cellStyle name="60% - 强调文字颜色 3 2 33" xfId="9769"/>
    <cellStyle name="60% - 强调文字颜色 3 2 4" xfId="9770"/>
    <cellStyle name="60% - 强调文字颜色 3 2 4 10" xfId="9771"/>
    <cellStyle name="60% - 强调文字颜色 3 2 4 11" xfId="9772"/>
    <cellStyle name="60% - 强调文字颜色 3 2 4 12" xfId="9773"/>
    <cellStyle name="60% - 强调文字颜色 3 2 4 13" xfId="9774"/>
    <cellStyle name="60% - 强调文字颜色 3 2 4 14" xfId="9775"/>
    <cellStyle name="60% - 强调文字颜色 3 2 4 15" xfId="9776"/>
    <cellStyle name="60% - 强调文字颜色 3 2 4 16" xfId="9777"/>
    <cellStyle name="60% - 强调文字颜色 3 2 4 17" xfId="9778"/>
    <cellStyle name="60% - 强调文字颜色 3 2 4 18" xfId="9779"/>
    <cellStyle name="60% - 强调文字颜色 3 2 4 19" xfId="9780"/>
    <cellStyle name="60% - 强调文字颜色 3 2 4 2" xfId="9781"/>
    <cellStyle name="60% - 强调文字颜色 3 2 4 20" xfId="9782"/>
    <cellStyle name="60% - 强调文字颜色 3 2 4 21" xfId="9783"/>
    <cellStyle name="60% - 强调文字颜色 3 2 4 22" xfId="9784"/>
    <cellStyle name="60% - 强调文字颜色 3 2 4 23" xfId="9785"/>
    <cellStyle name="60% - 强调文字颜色 3 2 4 24" xfId="9786"/>
    <cellStyle name="60% - 强调文字颜色 3 2 4 25" xfId="9787"/>
    <cellStyle name="60% - 强调文字颜色 3 2 4 26" xfId="9788"/>
    <cellStyle name="60% - 强调文字颜色 3 2 4 27" xfId="9789"/>
    <cellStyle name="60% - 强调文字颜色 3 2 4 3" xfId="9790"/>
    <cellStyle name="60% - 强调文字颜色 3 2 4 4" xfId="9791"/>
    <cellStyle name="60% - 强调文字颜色 3 2 4 5" xfId="9792"/>
    <cellStyle name="60% - 强调文字颜色 3 2 4 6" xfId="9793"/>
    <cellStyle name="60% - 强调文字颜色 3 2 4 7" xfId="9794"/>
    <cellStyle name="60% - 强调文字颜色 3 2 4 8" xfId="9795"/>
    <cellStyle name="60% - 强调文字颜色 3 2 4 9" xfId="9796"/>
    <cellStyle name="60% - 强调文字颜色 3 2 5" xfId="9797"/>
    <cellStyle name="60% - 强调文字颜色 3 2 6" xfId="9798"/>
    <cellStyle name="60% - 强调文字颜色 3 2 7" xfId="9799"/>
    <cellStyle name="60% - 强调文字颜色 3 2 8" xfId="9800"/>
    <cellStyle name="60% - 强调文字颜色 3 2 9" xfId="9801"/>
    <cellStyle name="60% - 强调文字颜色 3 20" xfId="9802"/>
    <cellStyle name="60% - 强调文字颜色 3 21" xfId="9803"/>
    <cellStyle name="60% - 强调文字颜色 3 22" xfId="9804"/>
    <cellStyle name="60% - 强调文字颜色 3 23" xfId="9805"/>
    <cellStyle name="60% - 强调文字颜色 3 24" xfId="9806"/>
    <cellStyle name="60% - 强调文字颜色 3 25" xfId="9807"/>
    <cellStyle name="60% - 强调文字颜色 3 26" xfId="9808"/>
    <cellStyle name="60% - 强调文字颜色 3 27" xfId="9809"/>
    <cellStyle name="60% - 强调文字颜色 3 28" xfId="9810"/>
    <cellStyle name="60% - 强调文字颜色 3 29" xfId="9811"/>
    <cellStyle name="60% - 强调文字颜色 3 3" xfId="9812"/>
    <cellStyle name="60% - 强调文字颜色 3 3 10" xfId="9813"/>
    <cellStyle name="60% - 强调文字颜色 3 3 11" xfId="9814"/>
    <cellStyle name="60% - 强调文字颜色 3 3 12" xfId="9815"/>
    <cellStyle name="60% - 强调文字颜色 3 3 13" xfId="9816"/>
    <cellStyle name="60% - 强调文字颜色 3 3 14" xfId="9817"/>
    <cellStyle name="60% - 强调文字颜色 3 3 15" xfId="9818"/>
    <cellStyle name="60% - 强调文字颜色 3 3 16" xfId="9819"/>
    <cellStyle name="60% - 强调文字颜色 3 3 17" xfId="9820"/>
    <cellStyle name="60% - 强调文字颜色 3 3 18" xfId="9821"/>
    <cellStyle name="60% - 强调文字颜色 3 3 19" xfId="9822"/>
    <cellStyle name="60% - 强调文字颜色 3 3 2" xfId="9823"/>
    <cellStyle name="60% - 强调文字颜色 3 3 2 10" xfId="9824"/>
    <cellStyle name="60% - 强调文字颜色 3 3 2 11" xfId="9825"/>
    <cellStyle name="60% - 强调文字颜色 3 3 2 12" xfId="9826"/>
    <cellStyle name="60% - 强调文字颜色 3 3 2 13" xfId="9827"/>
    <cellStyle name="60% - 强调文字颜色 3 3 2 14" xfId="9828"/>
    <cellStyle name="60% - 强调文字颜色 3 3 2 15" xfId="9829"/>
    <cellStyle name="60% - 强调文字颜色 3 3 2 16" xfId="9830"/>
    <cellStyle name="60% - 强调文字颜色 3 3 2 17" xfId="9831"/>
    <cellStyle name="60% - 强调文字颜色 3 3 2 18" xfId="9832"/>
    <cellStyle name="60% - 强调文字颜色 3 3 2 19" xfId="9833"/>
    <cellStyle name="60% - 强调文字颜色 3 3 2 2" xfId="9834"/>
    <cellStyle name="60% - 强调文字颜色 3 3 2 20" xfId="9835"/>
    <cellStyle name="60% - 强调文字颜色 3 3 2 21" xfId="9836"/>
    <cellStyle name="60% - 强调文字颜色 3 3 2 22" xfId="9837"/>
    <cellStyle name="60% - 强调文字颜色 3 3 2 23" xfId="9838"/>
    <cellStyle name="60% - 强调文字颜色 3 3 2 24" xfId="9839"/>
    <cellStyle name="60% - 强调文字颜色 3 3 2 25" xfId="9840"/>
    <cellStyle name="60% - 强调文字颜色 3 3 2 26" xfId="9841"/>
    <cellStyle name="60% - 强调文字颜色 3 3 2 27" xfId="9842"/>
    <cellStyle name="60% - 强调文字颜色 3 3 2 3" xfId="9843"/>
    <cellStyle name="60% - 强调文字颜色 3 3 2 4" xfId="9844"/>
    <cellStyle name="60% - 强调文字颜色 3 3 2 5" xfId="9845"/>
    <cellStyle name="60% - 强调文字颜色 3 3 2 6" xfId="9846"/>
    <cellStyle name="60% - 强调文字颜色 3 3 2 7" xfId="9847"/>
    <cellStyle name="60% - 强调文字颜色 3 3 2 8" xfId="9848"/>
    <cellStyle name="60% - 强调文字颜色 3 3 2 9" xfId="9849"/>
    <cellStyle name="60% - 强调文字颜色 3 3 20" xfId="9850"/>
    <cellStyle name="60% - 强调文字颜色 3 3 21" xfId="9851"/>
    <cellStyle name="60% - 强调文字颜色 3 3 22" xfId="9852"/>
    <cellStyle name="60% - 强调文字颜色 3 3 23" xfId="9853"/>
    <cellStyle name="60% - 强调文字颜色 3 3 24" xfId="9854"/>
    <cellStyle name="60% - 强调文字颜色 3 3 25" xfId="9855"/>
    <cellStyle name="60% - 强调文字颜色 3 3 26" xfId="9856"/>
    <cellStyle name="60% - 强调文字颜色 3 3 27" xfId="9857"/>
    <cellStyle name="60% - 强调文字颜色 3 3 28" xfId="9858"/>
    <cellStyle name="60% - 强调文字颜色 3 3 3" xfId="9859"/>
    <cellStyle name="60% - 强调文字颜色 3 3 4" xfId="9860"/>
    <cellStyle name="60% - 强调文字颜色 3 3 5" xfId="9861"/>
    <cellStyle name="60% - 强调文字颜色 3 3 6" xfId="9862"/>
    <cellStyle name="60% - 强调文字颜色 3 3 7" xfId="9863"/>
    <cellStyle name="60% - 强调文字颜色 3 3 8" xfId="9864"/>
    <cellStyle name="60% - 强调文字颜色 3 3 9" xfId="9865"/>
    <cellStyle name="60% - 强调文字颜色 3 30" xfId="9866"/>
    <cellStyle name="60% - 强调文字颜色 3 31" xfId="9867"/>
    <cellStyle name="60% - 强调文字颜色 3 32" xfId="9868"/>
    <cellStyle name="60% - 强调文字颜色 3 33" xfId="9869"/>
    <cellStyle name="60% - 强调文字颜色 3 34" xfId="9870"/>
    <cellStyle name="60% - 强调文字颜色 3 35" xfId="9871"/>
    <cellStyle name="60% - 强调文字颜色 3 36" xfId="9872"/>
    <cellStyle name="60% - 强调文字颜色 3 37" xfId="9873"/>
    <cellStyle name="60% - 强调文字颜色 3 38" xfId="9874"/>
    <cellStyle name="60% - 强调文字颜色 3 39" xfId="9875"/>
    <cellStyle name="60% - 强调文字颜色 3 4" xfId="9876"/>
    <cellStyle name="60% - 强调文字颜色 3 4 10" xfId="9877"/>
    <cellStyle name="60% - 强调文字颜色 3 4 11" xfId="9878"/>
    <cellStyle name="60% - 强调文字颜色 3 4 12" xfId="9879"/>
    <cellStyle name="60% - 强调文字颜色 3 4 13" xfId="9880"/>
    <cellStyle name="60% - 强调文字颜色 3 4 14" xfId="9881"/>
    <cellStyle name="60% - 强调文字颜色 3 4 15" xfId="9882"/>
    <cellStyle name="60% - 强调文字颜色 3 4 16" xfId="9883"/>
    <cellStyle name="60% - 强调文字颜色 3 4 17" xfId="9884"/>
    <cellStyle name="60% - 强调文字颜色 3 4 18" xfId="9885"/>
    <cellStyle name="60% - 强调文字颜色 3 4 19" xfId="9886"/>
    <cellStyle name="60% - 强调文字颜色 3 4 2" xfId="9887"/>
    <cellStyle name="60% - 强调文字颜色 3 4 2 10" xfId="9888"/>
    <cellStyle name="60% - 强调文字颜色 3 4 2 11" xfId="9889"/>
    <cellStyle name="60% - 强调文字颜色 3 4 2 12" xfId="9890"/>
    <cellStyle name="60% - 强调文字颜色 3 4 2 13" xfId="9891"/>
    <cellStyle name="60% - 强调文字颜色 3 4 2 14" xfId="9892"/>
    <cellStyle name="60% - 强调文字颜色 3 4 2 15" xfId="9893"/>
    <cellStyle name="60% - 强调文字颜色 3 4 2 16" xfId="9894"/>
    <cellStyle name="60% - 强调文字颜色 3 4 2 17" xfId="9895"/>
    <cellStyle name="60% - 强调文字颜色 3 4 2 18" xfId="9896"/>
    <cellStyle name="60% - 强调文字颜色 3 4 2 19" xfId="9897"/>
    <cellStyle name="60% - 强调文字颜色 3 4 2 2" xfId="9898"/>
    <cellStyle name="60% - 强调文字颜色 3 4 2 20" xfId="9899"/>
    <cellStyle name="60% - 强调文字颜色 3 4 2 21" xfId="9900"/>
    <cellStyle name="60% - 强调文字颜色 3 4 2 22" xfId="9901"/>
    <cellStyle name="60% - 强调文字颜色 3 4 2 23" xfId="9902"/>
    <cellStyle name="60% - 强调文字颜色 3 4 2 24" xfId="9903"/>
    <cellStyle name="60% - 强调文字颜色 3 4 2 25" xfId="9904"/>
    <cellStyle name="60% - 强调文字颜色 3 4 2 26" xfId="9905"/>
    <cellStyle name="60% - 强调文字颜色 3 4 2 27" xfId="9906"/>
    <cellStyle name="60% - 强调文字颜色 3 4 2 3" xfId="9907"/>
    <cellStyle name="60% - 强调文字颜色 3 4 2 4" xfId="9908"/>
    <cellStyle name="60% - 强调文字颜色 3 4 2 5" xfId="9909"/>
    <cellStyle name="60% - 强调文字颜色 3 4 2 6" xfId="9910"/>
    <cellStyle name="60% - 强调文字颜色 3 4 2 7" xfId="9911"/>
    <cellStyle name="60% - 强调文字颜色 3 4 2 8" xfId="9912"/>
    <cellStyle name="60% - 强调文字颜色 3 4 2 9" xfId="9913"/>
    <cellStyle name="60% - 强调文字颜色 3 4 20" xfId="9914"/>
    <cellStyle name="60% - 强调文字颜色 3 4 21" xfId="9915"/>
    <cellStyle name="60% - 强调文字颜色 3 4 22" xfId="9916"/>
    <cellStyle name="60% - 强调文字颜色 3 4 23" xfId="9917"/>
    <cellStyle name="60% - 强调文字颜色 3 4 24" xfId="9918"/>
    <cellStyle name="60% - 强调文字颜色 3 4 25" xfId="9919"/>
    <cellStyle name="60% - 强调文字颜色 3 4 26" xfId="9920"/>
    <cellStyle name="60% - 强调文字颜色 3 4 27" xfId="9921"/>
    <cellStyle name="60% - 强调文字颜色 3 4 28" xfId="9922"/>
    <cellStyle name="60% - 强调文字颜色 3 4 3" xfId="9923"/>
    <cellStyle name="60% - 强调文字颜色 3 4 4" xfId="9924"/>
    <cellStyle name="60% - 强调文字颜色 3 4 5" xfId="9925"/>
    <cellStyle name="60% - 强调文字颜色 3 4 6" xfId="9926"/>
    <cellStyle name="60% - 强调文字颜色 3 4 7" xfId="9927"/>
    <cellStyle name="60% - 强调文字颜色 3 4 8" xfId="9928"/>
    <cellStyle name="60% - 强调文字颜色 3 4 9" xfId="9929"/>
    <cellStyle name="60% - 强调文字颜色 3 40" xfId="9930"/>
    <cellStyle name="60% - 强调文字颜色 3 5" xfId="9931"/>
    <cellStyle name="60% - 强调文字颜色 3 5 10" xfId="9932"/>
    <cellStyle name="60% - 强调文字颜色 3 5 11" xfId="9933"/>
    <cellStyle name="60% - 强调文字颜色 3 5 12" xfId="9934"/>
    <cellStyle name="60% - 强调文字颜色 3 5 13" xfId="9935"/>
    <cellStyle name="60% - 强调文字颜色 3 5 14" xfId="9936"/>
    <cellStyle name="60% - 强调文字颜色 3 5 15" xfId="9937"/>
    <cellStyle name="60% - 强调文字颜色 3 5 16" xfId="9938"/>
    <cellStyle name="60% - 强调文字颜色 3 5 17" xfId="9939"/>
    <cellStyle name="60% - 强调文字颜色 3 5 18" xfId="9940"/>
    <cellStyle name="60% - 强调文字颜色 3 5 19" xfId="9941"/>
    <cellStyle name="60% - 强调文字颜色 3 5 2" xfId="9942"/>
    <cellStyle name="60% - 强调文字颜色 3 5 2 10" xfId="9943"/>
    <cellStyle name="60% - 强调文字颜色 3 5 2 11" xfId="9944"/>
    <cellStyle name="60% - 强调文字颜色 3 5 2 12" xfId="9945"/>
    <cellStyle name="60% - 强调文字颜色 3 5 2 13" xfId="9946"/>
    <cellStyle name="60% - 强调文字颜色 3 5 2 14" xfId="9947"/>
    <cellStyle name="60% - 强调文字颜色 3 5 2 15" xfId="9948"/>
    <cellStyle name="60% - 强调文字颜色 3 5 2 16" xfId="9949"/>
    <cellStyle name="60% - 强调文字颜色 3 5 2 17" xfId="9950"/>
    <cellStyle name="60% - 强调文字颜色 3 5 2 18" xfId="9951"/>
    <cellStyle name="60% - 强调文字颜色 3 5 2 19" xfId="9952"/>
    <cellStyle name="60% - 强调文字颜色 3 5 2 2" xfId="9953"/>
    <cellStyle name="60% - 强调文字颜色 3 5 2 20" xfId="9954"/>
    <cellStyle name="60% - 强调文字颜色 3 5 2 21" xfId="9955"/>
    <cellStyle name="60% - 强调文字颜色 3 5 2 22" xfId="9956"/>
    <cellStyle name="60% - 强调文字颜色 3 5 2 23" xfId="9957"/>
    <cellStyle name="60% - 强调文字颜色 3 5 2 24" xfId="9958"/>
    <cellStyle name="60% - 强调文字颜色 3 5 2 25" xfId="9959"/>
    <cellStyle name="60% - 强调文字颜色 3 5 2 26" xfId="9960"/>
    <cellStyle name="60% - 强调文字颜色 3 5 2 27" xfId="9961"/>
    <cellStyle name="60% - 强调文字颜色 3 5 2 3" xfId="9962"/>
    <cellStyle name="60% - 强调文字颜色 3 5 2 4" xfId="9963"/>
    <cellStyle name="60% - 强调文字颜色 3 5 2 5" xfId="9964"/>
    <cellStyle name="60% - 强调文字颜色 3 5 2 6" xfId="9965"/>
    <cellStyle name="60% - 强调文字颜色 3 5 2 7" xfId="9966"/>
    <cellStyle name="60% - 强调文字颜色 3 5 2 8" xfId="9967"/>
    <cellStyle name="60% - 强调文字颜色 3 5 2 9" xfId="9968"/>
    <cellStyle name="60% - 强调文字颜色 3 5 20" xfId="9969"/>
    <cellStyle name="60% - 强调文字颜色 3 5 21" xfId="9970"/>
    <cellStyle name="60% - 强调文字颜色 3 5 22" xfId="9971"/>
    <cellStyle name="60% - 强调文字颜色 3 5 23" xfId="9972"/>
    <cellStyle name="60% - 强调文字颜色 3 5 24" xfId="9973"/>
    <cellStyle name="60% - 强调文字颜色 3 5 25" xfId="9974"/>
    <cellStyle name="60% - 强调文字颜色 3 5 26" xfId="9975"/>
    <cellStyle name="60% - 强调文字颜色 3 5 27" xfId="9976"/>
    <cellStyle name="60% - 强调文字颜色 3 5 28" xfId="9977"/>
    <cellStyle name="60% - 强调文字颜色 3 5 3" xfId="9978"/>
    <cellStyle name="60% - 强调文字颜色 3 5 4" xfId="9979"/>
    <cellStyle name="60% - 强调文字颜色 3 5 5" xfId="9980"/>
    <cellStyle name="60% - 强调文字颜色 3 5 6" xfId="9981"/>
    <cellStyle name="60% - 强调文字颜色 3 5 7" xfId="9982"/>
    <cellStyle name="60% - 强调文字颜色 3 5 8" xfId="9983"/>
    <cellStyle name="60% - 强调文字颜色 3 5 9" xfId="9984"/>
    <cellStyle name="60% - 强调文字颜色 3 6" xfId="9985"/>
    <cellStyle name="60% - 强调文字颜色 3 6 10" xfId="9986"/>
    <cellStyle name="60% - 强调文字颜色 3 6 11" xfId="9987"/>
    <cellStyle name="60% - 强调文字颜色 3 6 12" xfId="9988"/>
    <cellStyle name="60% - 强调文字颜色 3 6 13" xfId="9989"/>
    <cellStyle name="60% - 强调文字颜色 3 6 14" xfId="9990"/>
    <cellStyle name="60% - 强调文字颜色 3 6 15" xfId="9991"/>
    <cellStyle name="60% - 强调文字颜色 3 6 16" xfId="9992"/>
    <cellStyle name="60% - 强调文字颜色 3 6 17" xfId="9993"/>
    <cellStyle name="60% - 强调文字颜色 3 6 18" xfId="9994"/>
    <cellStyle name="60% - 强调文字颜色 3 6 19" xfId="9995"/>
    <cellStyle name="60% - 强调文字颜色 3 6 2" xfId="9996"/>
    <cellStyle name="60% - 强调文字颜色 3 6 2 10" xfId="9997"/>
    <cellStyle name="60% - 强调文字颜色 3 6 2 11" xfId="9998"/>
    <cellStyle name="60% - 强调文字颜色 3 6 2 12" xfId="9999"/>
    <cellStyle name="60% - 强调文字颜色 3 6 2 13" xfId="10000"/>
    <cellStyle name="60% - 强调文字颜色 3 6 2 14" xfId="10001"/>
    <cellStyle name="60% - 强调文字颜色 3 6 2 15" xfId="10002"/>
    <cellStyle name="60% - 强调文字颜色 3 6 2 16" xfId="10003"/>
    <cellStyle name="60% - 强调文字颜色 3 6 2 17" xfId="10004"/>
    <cellStyle name="60% - 强调文字颜色 3 6 2 18" xfId="10005"/>
    <cellStyle name="60% - 强调文字颜色 3 6 2 19" xfId="10006"/>
    <cellStyle name="60% - 强调文字颜色 3 6 2 2" xfId="10007"/>
    <cellStyle name="60% - 强调文字颜色 3 6 2 20" xfId="10008"/>
    <cellStyle name="60% - 强调文字颜色 3 6 2 21" xfId="10009"/>
    <cellStyle name="60% - 强调文字颜色 3 6 2 22" xfId="10010"/>
    <cellStyle name="60% - 强调文字颜色 3 6 2 23" xfId="10011"/>
    <cellStyle name="60% - 强调文字颜色 3 6 2 24" xfId="10012"/>
    <cellStyle name="60% - 强调文字颜色 3 6 2 25" xfId="10013"/>
    <cellStyle name="60% - 强调文字颜色 3 6 2 26" xfId="10014"/>
    <cellStyle name="60% - 强调文字颜色 3 6 2 27" xfId="10015"/>
    <cellStyle name="60% - 强调文字颜色 3 6 2 3" xfId="10016"/>
    <cellStyle name="60% - 强调文字颜色 3 6 2 4" xfId="10017"/>
    <cellStyle name="60% - 强调文字颜色 3 6 2 5" xfId="10018"/>
    <cellStyle name="60% - 强调文字颜色 3 6 2 6" xfId="10019"/>
    <cellStyle name="60% - 强调文字颜色 3 6 2 7" xfId="10020"/>
    <cellStyle name="60% - 强调文字颜色 3 6 2 8" xfId="10021"/>
    <cellStyle name="60% - 强调文字颜色 3 6 2 9" xfId="10022"/>
    <cellStyle name="60% - 强调文字颜色 3 6 20" xfId="10023"/>
    <cellStyle name="60% - 强调文字颜色 3 6 21" xfId="10024"/>
    <cellStyle name="60% - 强调文字颜色 3 6 22" xfId="10025"/>
    <cellStyle name="60% - 强调文字颜色 3 6 23" xfId="10026"/>
    <cellStyle name="60% - 强调文字颜色 3 6 24" xfId="10027"/>
    <cellStyle name="60% - 强调文字颜色 3 6 25" xfId="10028"/>
    <cellStyle name="60% - 强调文字颜色 3 6 26" xfId="10029"/>
    <cellStyle name="60% - 强调文字颜色 3 6 27" xfId="10030"/>
    <cellStyle name="60% - 强调文字颜色 3 6 28" xfId="10031"/>
    <cellStyle name="60% - 强调文字颜色 3 6 3" xfId="10032"/>
    <cellStyle name="60% - 强调文字颜色 3 6 4" xfId="10033"/>
    <cellStyle name="60% - 强调文字颜色 3 6 5" xfId="10034"/>
    <cellStyle name="60% - 强调文字颜色 3 6 6" xfId="10035"/>
    <cellStyle name="60% - 强调文字颜色 3 6 7" xfId="10036"/>
    <cellStyle name="60% - 强调文字颜色 3 6 8" xfId="10037"/>
    <cellStyle name="60% - 强调文字颜色 3 6 9" xfId="10038"/>
    <cellStyle name="60% - 强调文字颜色 3 7" xfId="10039"/>
    <cellStyle name="60% - 强调文字颜色 3 7 10" xfId="10040"/>
    <cellStyle name="60% - 强调文字颜色 3 7 11" xfId="10041"/>
    <cellStyle name="60% - 强调文字颜色 3 7 12" xfId="10042"/>
    <cellStyle name="60% - 强调文字颜色 3 7 13" xfId="10043"/>
    <cellStyle name="60% - 强调文字颜色 3 7 14" xfId="10044"/>
    <cellStyle name="60% - 强调文字颜色 3 7 15" xfId="10045"/>
    <cellStyle name="60% - 强调文字颜色 3 7 16" xfId="10046"/>
    <cellStyle name="60% - 强调文字颜色 3 7 17" xfId="10047"/>
    <cellStyle name="60% - 强调文字颜色 3 7 18" xfId="10048"/>
    <cellStyle name="60% - 强调文字颜色 3 7 19" xfId="10049"/>
    <cellStyle name="60% - 强调文字颜色 3 7 2" xfId="10050"/>
    <cellStyle name="60% - 强调文字颜色 3 7 2 10" xfId="10051"/>
    <cellStyle name="60% - 强调文字颜色 3 7 2 11" xfId="10052"/>
    <cellStyle name="60% - 强调文字颜色 3 7 2 12" xfId="10053"/>
    <cellStyle name="60% - 强调文字颜色 3 7 2 13" xfId="10054"/>
    <cellStyle name="60% - 强调文字颜色 3 7 2 14" xfId="10055"/>
    <cellStyle name="60% - 强调文字颜色 3 7 2 15" xfId="10056"/>
    <cellStyle name="60% - 强调文字颜色 3 7 2 16" xfId="10057"/>
    <cellStyle name="60% - 强调文字颜色 3 7 2 17" xfId="10058"/>
    <cellStyle name="60% - 强调文字颜色 3 7 2 18" xfId="10059"/>
    <cellStyle name="60% - 强调文字颜色 3 7 2 19" xfId="10060"/>
    <cellStyle name="60% - 强调文字颜色 3 7 2 2" xfId="10061"/>
    <cellStyle name="60% - 强调文字颜色 3 7 2 20" xfId="10062"/>
    <cellStyle name="60% - 强调文字颜色 3 7 2 21" xfId="10063"/>
    <cellStyle name="60% - 强调文字颜色 3 7 2 22" xfId="10064"/>
    <cellStyle name="60% - 强调文字颜色 3 7 2 23" xfId="10065"/>
    <cellStyle name="60% - 强调文字颜色 3 7 2 24" xfId="10066"/>
    <cellStyle name="60% - 强调文字颜色 3 7 2 25" xfId="10067"/>
    <cellStyle name="60% - 强调文字颜色 3 7 2 26" xfId="10068"/>
    <cellStyle name="60% - 强调文字颜色 3 7 2 27" xfId="10069"/>
    <cellStyle name="60% - 强调文字颜色 3 7 2 3" xfId="10070"/>
    <cellStyle name="60% - 强调文字颜色 3 7 2 4" xfId="10071"/>
    <cellStyle name="60% - 强调文字颜色 3 7 2 5" xfId="10072"/>
    <cellStyle name="60% - 强调文字颜色 3 7 2 6" xfId="10073"/>
    <cellStyle name="60% - 强调文字颜色 3 7 2 7" xfId="10074"/>
    <cellStyle name="60% - 强调文字颜色 3 7 2 8" xfId="10075"/>
    <cellStyle name="60% - 强调文字颜色 3 7 2 9" xfId="10076"/>
    <cellStyle name="60% - 强调文字颜色 3 7 20" xfId="10077"/>
    <cellStyle name="60% - 强调文字颜色 3 7 21" xfId="10078"/>
    <cellStyle name="60% - 强调文字颜色 3 7 22" xfId="10079"/>
    <cellStyle name="60% - 强调文字颜色 3 7 23" xfId="10080"/>
    <cellStyle name="60% - 强调文字颜色 3 7 24" xfId="10081"/>
    <cellStyle name="60% - 强调文字颜色 3 7 25" xfId="10082"/>
    <cellStyle name="60% - 强调文字颜色 3 7 26" xfId="10083"/>
    <cellStyle name="60% - 强调文字颜色 3 7 27" xfId="10084"/>
    <cellStyle name="60% - 强调文字颜色 3 7 28" xfId="10085"/>
    <cellStyle name="60% - 强调文字颜色 3 7 3" xfId="10086"/>
    <cellStyle name="60% - 强调文字颜色 3 7 4" xfId="10087"/>
    <cellStyle name="60% - 强调文字颜色 3 7 5" xfId="10088"/>
    <cellStyle name="60% - 强调文字颜色 3 7 6" xfId="10089"/>
    <cellStyle name="60% - 强调文字颜色 3 7 7" xfId="10090"/>
    <cellStyle name="60% - 强调文字颜色 3 7 8" xfId="10091"/>
    <cellStyle name="60% - 强调文字颜色 3 7 9" xfId="10092"/>
    <cellStyle name="60% - 强调文字颜色 3 8" xfId="10093"/>
    <cellStyle name="60% - 强调文字颜色 3 8 10" xfId="10094"/>
    <cellStyle name="60% - 强调文字颜色 3 8 11" xfId="10095"/>
    <cellStyle name="60% - 强调文字颜色 3 8 12" xfId="10096"/>
    <cellStyle name="60% - 强调文字颜色 3 8 13" xfId="10097"/>
    <cellStyle name="60% - 强调文字颜色 3 8 14" xfId="10098"/>
    <cellStyle name="60% - 强调文字颜色 3 8 15" xfId="10099"/>
    <cellStyle name="60% - 强调文字颜色 3 8 16" xfId="10100"/>
    <cellStyle name="60% - 强调文字颜色 3 8 17" xfId="10101"/>
    <cellStyle name="60% - 强调文字颜色 3 8 18" xfId="10102"/>
    <cellStyle name="60% - 强调文字颜色 3 8 19" xfId="10103"/>
    <cellStyle name="60% - 强调文字颜色 3 8 2" xfId="10104"/>
    <cellStyle name="60% - 强调文字颜色 3 8 2 10" xfId="10105"/>
    <cellStyle name="60% - 强调文字颜色 3 8 2 11" xfId="10106"/>
    <cellStyle name="60% - 强调文字颜色 3 8 2 12" xfId="10107"/>
    <cellStyle name="60% - 强调文字颜色 3 8 2 13" xfId="10108"/>
    <cellStyle name="60% - 强调文字颜色 3 8 2 14" xfId="10109"/>
    <cellStyle name="60% - 强调文字颜色 3 8 2 15" xfId="10110"/>
    <cellStyle name="60% - 强调文字颜色 3 8 2 16" xfId="10111"/>
    <cellStyle name="60% - 强调文字颜色 3 8 2 17" xfId="10112"/>
    <cellStyle name="60% - 强调文字颜色 3 8 2 18" xfId="10113"/>
    <cellStyle name="60% - 强调文字颜色 3 8 2 19" xfId="10114"/>
    <cellStyle name="60% - 强调文字颜色 3 8 2 2" xfId="10115"/>
    <cellStyle name="60% - 强调文字颜色 3 8 2 20" xfId="10116"/>
    <cellStyle name="60% - 强调文字颜色 3 8 2 21" xfId="10117"/>
    <cellStyle name="60% - 强调文字颜色 3 8 2 22" xfId="10118"/>
    <cellStyle name="60% - 强调文字颜色 3 8 2 23" xfId="10119"/>
    <cellStyle name="60% - 强调文字颜色 3 8 2 24" xfId="10120"/>
    <cellStyle name="60% - 强调文字颜色 3 8 2 25" xfId="10121"/>
    <cellStyle name="60% - 强调文字颜色 3 8 2 26" xfId="10122"/>
    <cellStyle name="60% - 强调文字颜色 3 8 2 27" xfId="10123"/>
    <cellStyle name="60% - 强调文字颜色 3 8 2 3" xfId="10124"/>
    <cellStyle name="60% - 强调文字颜色 3 8 2 4" xfId="10125"/>
    <cellStyle name="60% - 强调文字颜色 3 8 2 5" xfId="10126"/>
    <cellStyle name="60% - 强调文字颜色 3 8 2 6" xfId="10127"/>
    <cellStyle name="60% - 强调文字颜色 3 8 2 7" xfId="10128"/>
    <cellStyle name="60% - 强调文字颜色 3 8 2 8" xfId="10129"/>
    <cellStyle name="60% - 强调文字颜色 3 8 2 9" xfId="10130"/>
    <cellStyle name="60% - 强调文字颜色 3 8 20" xfId="10131"/>
    <cellStyle name="60% - 强调文字颜色 3 8 21" xfId="10132"/>
    <cellStyle name="60% - 强调文字颜色 3 8 22" xfId="10133"/>
    <cellStyle name="60% - 强调文字颜色 3 8 23" xfId="10134"/>
    <cellStyle name="60% - 强调文字颜色 3 8 24" xfId="10135"/>
    <cellStyle name="60% - 强调文字颜色 3 8 25" xfId="10136"/>
    <cellStyle name="60% - 强调文字颜色 3 8 26" xfId="10137"/>
    <cellStyle name="60% - 强调文字颜色 3 8 27" xfId="10138"/>
    <cellStyle name="60% - 强调文字颜色 3 8 28" xfId="10139"/>
    <cellStyle name="60% - 强调文字颜色 3 8 3" xfId="10140"/>
    <cellStyle name="60% - 强调文字颜色 3 8 4" xfId="10141"/>
    <cellStyle name="60% - 强调文字颜色 3 8 5" xfId="10142"/>
    <cellStyle name="60% - 强调文字颜色 3 8 6" xfId="10143"/>
    <cellStyle name="60% - 强调文字颜色 3 8 7" xfId="10144"/>
    <cellStyle name="60% - 强调文字颜色 3 8 8" xfId="10145"/>
    <cellStyle name="60% - 强调文字颜色 3 8 9" xfId="10146"/>
    <cellStyle name="60% - 强调文字颜色 3 9" xfId="10147"/>
    <cellStyle name="60% - 强调文字颜色 3 9 10" xfId="10148"/>
    <cellStyle name="60% - 强调文字颜色 3 9 11" xfId="10149"/>
    <cellStyle name="60% - 强调文字颜色 3 9 12" xfId="10150"/>
    <cellStyle name="60% - 强调文字颜色 3 9 13" xfId="10151"/>
    <cellStyle name="60% - 强调文字颜色 3 9 14" xfId="10152"/>
    <cellStyle name="60% - 强调文字颜色 3 9 15" xfId="10153"/>
    <cellStyle name="60% - 强调文字颜色 3 9 16" xfId="10154"/>
    <cellStyle name="60% - 强调文字颜色 3 9 17" xfId="10155"/>
    <cellStyle name="60% - 强调文字颜色 3 9 18" xfId="10156"/>
    <cellStyle name="60% - 强调文字颜色 3 9 19" xfId="10157"/>
    <cellStyle name="60% - 强调文字颜色 3 9 2" xfId="10158"/>
    <cellStyle name="60% - 强调文字颜色 3 9 2 10" xfId="10159"/>
    <cellStyle name="60% - 强调文字颜色 3 9 2 11" xfId="10160"/>
    <cellStyle name="60% - 强调文字颜色 3 9 2 12" xfId="10161"/>
    <cellStyle name="60% - 强调文字颜色 3 9 2 13" xfId="10162"/>
    <cellStyle name="60% - 强调文字颜色 3 9 2 14" xfId="10163"/>
    <cellStyle name="60% - 强调文字颜色 3 9 2 15" xfId="10164"/>
    <cellStyle name="60% - 强调文字颜色 3 9 2 16" xfId="10165"/>
    <cellStyle name="60% - 强调文字颜色 3 9 2 17" xfId="10166"/>
    <cellStyle name="60% - 强调文字颜色 3 9 2 18" xfId="10167"/>
    <cellStyle name="60% - 强调文字颜色 3 9 2 19" xfId="10168"/>
    <cellStyle name="60% - 强调文字颜色 3 9 2 2" xfId="10169"/>
    <cellStyle name="60% - 强调文字颜色 3 9 2 20" xfId="10170"/>
    <cellStyle name="60% - 强调文字颜色 3 9 2 21" xfId="10171"/>
    <cellStyle name="60% - 强调文字颜色 3 9 2 22" xfId="10172"/>
    <cellStyle name="60% - 强调文字颜色 3 9 2 23" xfId="10173"/>
    <cellStyle name="60% - 强调文字颜色 3 9 2 24" xfId="10174"/>
    <cellStyle name="60% - 强调文字颜色 3 9 2 25" xfId="10175"/>
    <cellStyle name="60% - 强调文字颜色 3 9 2 26" xfId="10176"/>
    <cellStyle name="60% - 强调文字颜色 3 9 2 27" xfId="10177"/>
    <cellStyle name="60% - 强调文字颜色 3 9 2 3" xfId="10178"/>
    <cellStyle name="60% - 强调文字颜色 3 9 2 4" xfId="10179"/>
    <cellStyle name="60% - 强调文字颜色 3 9 2 5" xfId="10180"/>
    <cellStyle name="60% - 强调文字颜色 3 9 2 6" xfId="10181"/>
    <cellStyle name="60% - 强调文字颜色 3 9 2 7" xfId="10182"/>
    <cellStyle name="60% - 强调文字颜色 3 9 2 8" xfId="10183"/>
    <cellStyle name="60% - 强调文字颜色 3 9 2 9" xfId="10184"/>
    <cellStyle name="60% - 强调文字颜色 3 9 20" xfId="10185"/>
    <cellStyle name="60% - 强调文字颜色 3 9 21" xfId="10186"/>
    <cellStyle name="60% - 强调文字颜色 3 9 22" xfId="10187"/>
    <cellStyle name="60% - 强调文字颜色 3 9 23" xfId="10188"/>
    <cellStyle name="60% - 强调文字颜色 3 9 24" xfId="10189"/>
    <cellStyle name="60% - 强调文字颜色 3 9 25" xfId="10190"/>
    <cellStyle name="60% - 强调文字颜色 3 9 26" xfId="10191"/>
    <cellStyle name="60% - 强调文字颜色 3 9 27" xfId="10192"/>
    <cellStyle name="60% - 强调文字颜色 3 9 28" xfId="10193"/>
    <cellStyle name="60% - 强调文字颜色 3 9 3" xfId="10194"/>
    <cellStyle name="60% - 强调文字颜色 3 9 4" xfId="10195"/>
    <cellStyle name="60% - 强调文字颜色 3 9 5" xfId="10196"/>
    <cellStyle name="60% - 强调文字颜色 3 9 6" xfId="10197"/>
    <cellStyle name="60% - 强调文字颜色 3 9 7" xfId="10198"/>
    <cellStyle name="60% - 强调文字颜色 3 9 8" xfId="10199"/>
    <cellStyle name="60% - 强调文字颜色 3 9 9" xfId="10200"/>
    <cellStyle name="60% - 强调文字颜色 4 10" xfId="10201"/>
    <cellStyle name="60% - 强调文字颜色 4 10 10" xfId="10202"/>
    <cellStyle name="60% - 强调文字颜色 4 10 11" xfId="10203"/>
    <cellStyle name="60% - 强调文字颜色 4 10 12" xfId="10204"/>
    <cellStyle name="60% - 强调文字颜色 4 10 13" xfId="10205"/>
    <cellStyle name="60% - 强调文字颜色 4 10 14" xfId="10206"/>
    <cellStyle name="60% - 强调文字颜色 4 10 15" xfId="10207"/>
    <cellStyle name="60% - 强调文字颜色 4 10 16" xfId="10208"/>
    <cellStyle name="60% - 强调文字颜色 4 10 17" xfId="10209"/>
    <cellStyle name="60% - 强调文字颜色 4 10 18" xfId="10210"/>
    <cellStyle name="60% - 强调文字颜色 4 10 19" xfId="10211"/>
    <cellStyle name="60% - 强调文字颜色 4 10 2" xfId="10212"/>
    <cellStyle name="60% - 强调文字颜色 4 10 2 10" xfId="10213"/>
    <cellStyle name="60% - 强调文字颜色 4 10 2 11" xfId="10214"/>
    <cellStyle name="60% - 强调文字颜色 4 10 2 12" xfId="10215"/>
    <cellStyle name="60% - 强调文字颜色 4 10 2 13" xfId="10216"/>
    <cellStyle name="60% - 强调文字颜色 4 10 2 14" xfId="10217"/>
    <cellStyle name="60% - 强调文字颜色 4 10 2 15" xfId="10218"/>
    <cellStyle name="60% - 强调文字颜色 4 10 2 16" xfId="10219"/>
    <cellStyle name="60% - 强调文字颜色 4 10 2 17" xfId="10220"/>
    <cellStyle name="60% - 强调文字颜色 4 10 2 18" xfId="10221"/>
    <cellStyle name="60% - 强调文字颜色 4 10 2 19" xfId="10222"/>
    <cellStyle name="60% - 强调文字颜色 4 10 2 2" xfId="10223"/>
    <cellStyle name="60% - 强调文字颜色 4 10 2 20" xfId="10224"/>
    <cellStyle name="60% - 强调文字颜色 4 10 2 21" xfId="10225"/>
    <cellStyle name="60% - 强调文字颜色 4 10 2 22" xfId="10226"/>
    <cellStyle name="60% - 强调文字颜色 4 10 2 23" xfId="10227"/>
    <cellStyle name="60% - 强调文字颜色 4 10 2 24" xfId="10228"/>
    <cellStyle name="60% - 强调文字颜色 4 10 2 25" xfId="10229"/>
    <cellStyle name="60% - 强调文字颜色 4 10 2 26" xfId="10230"/>
    <cellStyle name="60% - 强调文字颜色 4 10 2 27" xfId="10231"/>
    <cellStyle name="60% - 强调文字颜色 4 10 2 3" xfId="10232"/>
    <cellStyle name="60% - 强调文字颜色 4 10 2 4" xfId="10233"/>
    <cellStyle name="60% - 强调文字颜色 4 10 2 5" xfId="10234"/>
    <cellStyle name="60% - 强调文字颜色 4 10 2 6" xfId="10235"/>
    <cellStyle name="60% - 强调文字颜色 4 10 2 7" xfId="10236"/>
    <cellStyle name="60% - 强调文字颜色 4 10 2 8" xfId="10237"/>
    <cellStyle name="60% - 强调文字颜色 4 10 2 9" xfId="10238"/>
    <cellStyle name="60% - 强调文字颜色 4 10 20" xfId="10239"/>
    <cellStyle name="60% - 强调文字颜色 4 10 21" xfId="10240"/>
    <cellStyle name="60% - 强调文字颜色 4 10 22" xfId="10241"/>
    <cellStyle name="60% - 强调文字颜色 4 10 23" xfId="10242"/>
    <cellStyle name="60% - 强调文字颜色 4 10 24" xfId="10243"/>
    <cellStyle name="60% - 强调文字颜色 4 10 25" xfId="10244"/>
    <cellStyle name="60% - 强调文字颜色 4 10 26" xfId="10245"/>
    <cellStyle name="60% - 强调文字颜色 4 10 27" xfId="10246"/>
    <cellStyle name="60% - 强调文字颜色 4 10 28" xfId="10247"/>
    <cellStyle name="60% - 强调文字颜色 4 10 3" xfId="10248"/>
    <cellStyle name="60% - 强调文字颜色 4 10 4" xfId="10249"/>
    <cellStyle name="60% - 强调文字颜色 4 10 5" xfId="10250"/>
    <cellStyle name="60% - 强调文字颜色 4 10 6" xfId="10251"/>
    <cellStyle name="60% - 强调文字颜色 4 10 7" xfId="10252"/>
    <cellStyle name="60% - 强调文字颜色 4 10 8" xfId="10253"/>
    <cellStyle name="60% - 强调文字颜色 4 10 9" xfId="10254"/>
    <cellStyle name="60% - 强调文字颜色 4 11" xfId="10255"/>
    <cellStyle name="60% - 强调文字颜色 4 11 10" xfId="10256"/>
    <cellStyle name="60% - 强调文字颜色 4 11 11" xfId="10257"/>
    <cellStyle name="60% - 强调文字颜色 4 11 12" xfId="10258"/>
    <cellStyle name="60% - 强调文字颜色 4 11 13" xfId="10259"/>
    <cellStyle name="60% - 强调文字颜色 4 11 14" xfId="10260"/>
    <cellStyle name="60% - 强调文字颜色 4 11 15" xfId="10261"/>
    <cellStyle name="60% - 强调文字颜色 4 11 16" xfId="10262"/>
    <cellStyle name="60% - 强调文字颜色 4 11 17" xfId="10263"/>
    <cellStyle name="60% - 强调文字颜色 4 11 18" xfId="10264"/>
    <cellStyle name="60% - 强调文字颜色 4 11 19" xfId="10265"/>
    <cellStyle name="60% - 强调文字颜色 4 11 2" xfId="10266"/>
    <cellStyle name="60% - 强调文字颜色 4 11 2 10" xfId="10267"/>
    <cellStyle name="60% - 强调文字颜色 4 11 2 11" xfId="10268"/>
    <cellStyle name="60% - 强调文字颜色 4 11 2 12" xfId="10269"/>
    <cellStyle name="60% - 强调文字颜色 4 11 2 13" xfId="10270"/>
    <cellStyle name="60% - 强调文字颜色 4 11 2 14" xfId="10271"/>
    <cellStyle name="60% - 强调文字颜色 4 11 2 15" xfId="10272"/>
    <cellStyle name="60% - 强调文字颜色 4 11 2 16" xfId="10273"/>
    <cellStyle name="60% - 强调文字颜色 4 11 2 17" xfId="10274"/>
    <cellStyle name="60% - 强调文字颜色 4 11 2 18" xfId="10275"/>
    <cellStyle name="60% - 强调文字颜色 4 11 2 19" xfId="10276"/>
    <cellStyle name="60% - 强调文字颜色 4 11 2 2" xfId="10277"/>
    <cellStyle name="60% - 强调文字颜色 4 11 2 20" xfId="10278"/>
    <cellStyle name="60% - 强调文字颜色 4 11 2 21" xfId="10279"/>
    <cellStyle name="60% - 强调文字颜色 4 11 2 22" xfId="10280"/>
    <cellStyle name="60% - 强调文字颜色 4 11 2 23" xfId="10281"/>
    <cellStyle name="60% - 强调文字颜色 4 11 2 24" xfId="10282"/>
    <cellStyle name="60% - 强调文字颜色 4 11 2 25" xfId="10283"/>
    <cellStyle name="60% - 强调文字颜色 4 11 2 26" xfId="10284"/>
    <cellStyle name="60% - 强调文字颜色 4 11 2 27" xfId="10285"/>
    <cellStyle name="60% - 强调文字颜色 4 11 2 3" xfId="10286"/>
    <cellStyle name="60% - 强调文字颜色 4 11 2 4" xfId="10287"/>
    <cellStyle name="60% - 强调文字颜色 4 11 2 5" xfId="10288"/>
    <cellStyle name="60% - 强调文字颜色 4 11 2 6" xfId="10289"/>
    <cellStyle name="60% - 强调文字颜色 4 11 2 7" xfId="10290"/>
    <cellStyle name="60% - 强调文字颜色 4 11 2 8" xfId="10291"/>
    <cellStyle name="60% - 强调文字颜色 4 11 2 9" xfId="10292"/>
    <cellStyle name="60% - 强调文字颜色 4 11 20" xfId="10293"/>
    <cellStyle name="60% - 强调文字颜色 4 11 21" xfId="10294"/>
    <cellStyle name="60% - 强调文字颜色 4 11 22" xfId="10295"/>
    <cellStyle name="60% - 强调文字颜色 4 11 23" xfId="10296"/>
    <cellStyle name="60% - 强调文字颜色 4 11 24" xfId="10297"/>
    <cellStyle name="60% - 强调文字颜色 4 11 25" xfId="10298"/>
    <cellStyle name="60% - 强调文字颜色 4 11 26" xfId="10299"/>
    <cellStyle name="60% - 强调文字颜色 4 11 27" xfId="10300"/>
    <cellStyle name="60% - 强调文字颜色 4 11 28" xfId="10301"/>
    <cellStyle name="60% - 强调文字颜色 4 11 3" xfId="10302"/>
    <cellStyle name="60% - 强调文字颜色 4 11 4" xfId="10303"/>
    <cellStyle name="60% - 强调文字颜色 4 11 5" xfId="10304"/>
    <cellStyle name="60% - 强调文字颜色 4 11 6" xfId="10305"/>
    <cellStyle name="60% - 强调文字颜色 4 11 7" xfId="10306"/>
    <cellStyle name="60% - 强调文字颜色 4 11 8" xfId="10307"/>
    <cellStyle name="60% - 强调文字颜色 4 11 9" xfId="10308"/>
    <cellStyle name="60% - 强调文字颜色 4 12" xfId="10309"/>
    <cellStyle name="60% - 强调文字颜色 4 13" xfId="10310"/>
    <cellStyle name="60% - 强调文字颜色 4 14" xfId="10311"/>
    <cellStyle name="60% - 强调文字颜色 4 15" xfId="10312"/>
    <cellStyle name="60% - 强调文字颜色 4 16" xfId="10313"/>
    <cellStyle name="60% - 强调文字颜色 4 17" xfId="10314"/>
    <cellStyle name="60% - 强调文字颜色 4 18" xfId="10315"/>
    <cellStyle name="60% - 强调文字颜色 4 19" xfId="10316"/>
    <cellStyle name="60% - 强调文字颜色 4 2" xfId="10317"/>
    <cellStyle name="60% - 强调文字颜色 4 2 10" xfId="10318"/>
    <cellStyle name="60% - 强调文字颜色 4 2 11" xfId="10319"/>
    <cellStyle name="60% - 强调文字颜色 4 2 12" xfId="10320"/>
    <cellStyle name="60% - 强调文字颜色 4 2 13" xfId="10321"/>
    <cellStyle name="60% - 强调文字颜色 4 2 14" xfId="10322"/>
    <cellStyle name="60% - 强调文字颜色 4 2 15" xfId="10323"/>
    <cellStyle name="60% - 强调文字颜色 4 2 16" xfId="10324"/>
    <cellStyle name="60% - 强调文字颜色 4 2 17" xfId="10325"/>
    <cellStyle name="60% - 强调文字颜色 4 2 18" xfId="10326"/>
    <cellStyle name="60% - 强调文字颜色 4 2 19" xfId="10327"/>
    <cellStyle name="60% - 强调文字颜色 4 2 2" xfId="10328"/>
    <cellStyle name="60% - 强调文字颜色 4 2 2 10" xfId="10329"/>
    <cellStyle name="60% - 强调文字颜色 4 2 2 11" xfId="10330"/>
    <cellStyle name="60% - 强调文字颜色 4 2 2 12" xfId="10331"/>
    <cellStyle name="60% - 强调文字颜色 4 2 2 13" xfId="10332"/>
    <cellStyle name="60% - 强调文字颜色 4 2 2 14" xfId="10333"/>
    <cellStyle name="60% - 强调文字颜色 4 2 2 15" xfId="10334"/>
    <cellStyle name="60% - 强调文字颜色 4 2 2 16" xfId="10335"/>
    <cellStyle name="60% - 强调文字颜色 4 2 2 17" xfId="10336"/>
    <cellStyle name="60% - 强调文字颜色 4 2 2 18" xfId="10337"/>
    <cellStyle name="60% - 强调文字颜色 4 2 2 19" xfId="10338"/>
    <cellStyle name="60% - 强调文字颜色 4 2 2 2" xfId="10339"/>
    <cellStyle name="60% - 强调文字颜色 4 2 2 2 10" xfId="10340"/>
    <cellStyle name="60% - 强调文字颜色 4 2 2 2 11" xfId="10341"/>
    <cellStyle name="60% - 强调文字颜色 4 2 2 2 12" xfId="10342"/>
    <cellStyle name="60% - 强调文字颜色 4 2 2 2 13" xfId="10343"/>
    <cellStyle name="60% - 强调文字颜色 4 2 2 2 14" xfId="10344"/>
    <cellStyle name="60% - 强调文字颜色 4 2 2 2 15" xfId="10345"/>
    <cellStyle name="60% - 强调文字颜色 4 2 2 2 16" xfId="10346"/>
    <cellStyle name="60% - 强调文字颜色 4 2 2 2 17" xfId="10347"/>
    <cellStyle name="60% - 强调文字颜色 4 2 2 2 18" xfId="10348"/>
    <cellStyle name="60% - 强调文字颜色 4 2 2 2 19" xfId="10349"/>
    <cellStyle name="60% - 强调文字颜色 4 2 2 2 2" xfId="10350"/>
    <cellStyle name="60% - 强调文字颜色 4 2 2 2 20" xfId="10351"/>
    <cellStyle name="60% - 强调文字颜色 4 2 2 2 21" xfId="10352"/>
    <cellStyle name="60% - 强调文字颜色 4 2 2 2 22" xfId="10353"/>
    <cellStyle name="60% - 强调文字颜色 4 2 2 2 23" xfId="10354"/>
    <cellStyle name="60% - 强调文字颜色 4 2 2 2 24" xfId="10355"/>
    <cellStyle name="60% - 强调文字颜色 4 2 2 2 25" xfId="10356"/>
    <cellStyle name="60% - 强调文字颜色 4 2 2 2 26" xfId="10357"/>
    <cellStyle name="60% - 强调文字颜色 4 2 2 2 27" xfId="10358"/>
    <cellStyle name="60% - 强调文字颜色 4 2 2 2 3" xfId="10359"/>
    <cellStyle name="60% - 强调文字颜色 4 2 2 2 4" xfId="10360"/>
    <cellStyle name="60% - 强调文字颜色 4 2 2 2 5" xfId="10361"/>
    <cellStyle name="60% - 强调文字颜色 4 2 2 2 6" xfId="10362"/>
    <cellStyle name="60% - 强调文字颜色 4 2 2 2 7" xfId="10363"/>
    <cellStyle name="60% - 强调文字颜色 4 2 2 2 8" xfId="10364"/>
    <cellStyle name="60% - 强调文字颜色 4 2 2 2 9" xfId="10365"/>
    <cellStyle name="60% - 强调文字颜色 4 2 2 20" xfId="10366"/>
    <cellStyle name="60% - 强调文字颜色 4 2 2 21" xfId="10367"/>
    <cellStyle name="60% - 强调文字颜色 4 2 2 22" xfId="10368"/>
    <cellStyle name="60% - 强调文字颜色 4 2 2 23" xfId="10369"/>
    <cellStyle name="60% - 强调文字颜色 4 2 2 24" xfId="10370"/>
    <cellStyle name="60% - 强调文字颜色 4 2 2 25" xfId="10371"/>
    <cellStyle name="60% - 强调文字颜色 4 2 2 26" xfId="10372"/>
    <cellStyle name="60% - 强调文字颜色 4 2 2 27" xfId="10373"/>
    <cellStyle name="60% - 强调文字颜色 4 2 2 28" xfId="10374"/>
    <cellStyle name="60% - 强调文字颜色 4 2 2 3" xfId="10375"/>
    <cellStyle name="60% - 强调文字颜色 4 2 2 4" xfId="10376"/>
    <cellStyle name="60% - 强调文字颜色 4 2 2 5" xfId="10377"/>
    <cellStyle name="60% - 强调文字颜色 4 2 2 6" xfId="10378"/>
    <cellStyle name="60% - 强调文字颜色 4 2 2 7" xfId="10379"/>
    <cellStyle name="60% - 强调文字颜色 4 2 2 8" xfId="10380"/>
    <cellStyle name="60% - 强调文字颜色 4 2 2 9" xfId="10381"/>
    <cellStyle name="60% - 强调文字颜色 4 2 20" xfId="10382"/>
    <cellStyle name="60% - 强调文字颜色 4 2 21" xfId="10383"/>
    <cellStyle name="60% - 强调文字颜色 4 2 22" xfId="10384"/>
    <cellStyle name="60% - 强调文字颜色 4 2 23" xfId="10385"/>
    <cellStyle name="60% - 强调文字颜色 4 2 24" xfId="10386"/>
    <cellStyle name="60% - 强调文字颜色 4 2 25" xfId="10387"/>
    <cellStyle name="60% - 强调文字颜色 4 2 26" xfId="10388"/>
    <cellStyle name="60% - 强调文字颜色 4 2 27" xfId="10389"/>
    <cellStyle name="60% - 强调文字颜色 4 2 28" xfId="10390"/>
    <cellStyle name="60% - 强调文字颜色 4 2 29" xfId="10391"/>
    <cellStyle name="60% - 强调文字颜色 4 2 3" xfId="10392"/>
    <cellStyle name="60% - 强调文字颜色 4 2 3 10" xfId="10393"/>
    <cellStyle name="60% - 强调文字颜色 4 2 3 11" xfId="10394"/>
    <cellStyle name="60% - 强调文字颜色 4 2 3 12" xfId="10395"/>
    <cellStyle name="60% - 强调文字颜色 4 2 3 13" xfId="10396"/>
    <cellStyle name="60% - 强调文字颜色 4 2 3 14" xfId="10397"/>
    <cellStyle name="60% - 强调文字颜色 4 2 3 15" xfId="10398"/>
    <cellStyle name="60% - 强调文字颜色 4 2 3 16" xfId="10399"/>
    <cellStyle name="60% - 强调文字颜色 4 2 3 17" xfId="10400"/>
    <cellStyle name="60% - 强调文字颜色 4 2 3 18" xfId="10401"/>
    <cellStyle name="60% - 强调文字颜色 4 2 3 19" xfId="10402"/>
    <cellStyle name="60% - 强调文字颜色 4 2 3 2" xfId="10403"/>
    <cellStyle name="60% - 强调文字颜色 4 2 3 2 10" xfId="10404"/>
    <cellStyle name="60% - 强调文字颜色 4 2 3 2 11" xfId="10405"/>
    <cellStyle name="60% - 强调文字颜色 4 2 3 2 12" xfId="10406"/>
    <cellStyle name="60% - 强调文字颜色 4 2 3 2 13" xfId="10407"/>
    <cellStyle name="60% - 强调文字颜色 4 2 3 2 14" xfId="10408"/>
    <cellStyle name="60% - 强调文字颜色 4 2 3 2 15" xfId="10409"/>
    <cellStyle name="60% - 强调文字颜色 4 2 3 2 16" xfId="10410"/>
    <cellStyle name="60% - 强调文字颜色 4 2 3 2 17" xfId="10411"/>
    <cellStyle name="60% - 强调文字颜色 4 2 3 2 18" xfId="10412"/>
    <cellStyle name="60% - 强调文字颜色 4 2 3 2 19" xfId="10413"/>
    <cellStyle name="60% - 强调文字颜色 4 2 3 2 2" xfId="10414"/>
    <cellStyle name="60% - 强调文字颜色 4 2 3 2 20" xfId="10415"/>
    <cellStyle name="60% - 强调文字颜色 4 2 3 2 21" xfId="10416"/>
    <cellStyle name="60% - 强调文字颜色 4 2 3 2 22" xfId="10417"/>
    <cellStyle name="60% - 强调文字颜色 4 2 3 2 23" xfId="10418"/>
    <cellStyle name="60% - 强调文字颜色 4 2 3 2 24" xfId="10419"/>
    <cellStyle name="60% - 强调文字颜色 4 2 3 2 25" xfId="10420"/>
    <cellStyle name="60% - 强调文字颜色 4 2 3 2 26" xfId="10421"/>
    <cellStyle name="60% - 强调文字颜色 4 2 3 2 27" xfId="10422"/>
    <cellStyle name="60% - 强调文字颜色 4 2 3 2 3" xfId="10423"/>
    <cellStyle name="60% - 强调文字颜色 4 2 3 2 4" xfId="10424"/>
    <cellStyle name="60% - 强调文字颜色 4 2 3 2 5" xfId="10425"/>
    <cellStyle name="60% - 强调文字颜色 4 2 3 2 6" xfId="10426"/>
    <cellStyle name="60% - 强调文字颜色 4 2 3 2 7" xfId="10427"/>
    <cellStyle name="60% - 强调文字颜色 4 2 3 2 8" xfId="10428"/>
    <cellStyle name="60% - 强调文字颜色 4 2 3 2 9" xfId="10429"/>
    <cellStyle name="60% - 强调文字颜色 4 2 3 20" xfId="10430"/>
    <cellStyle name="60% - 强调文字颜色 4 2 3 21" xfId="10431"/>
    <cellStyle name="60% - 强调文字颜色 4 2 3 22" xfId="10432"/>
    <cellStyle name="60% - 强调文字颜色 4 2 3 23" xfId="10433"/>
    <cellStyle name="60% - 强调文字颜色 4 2 3 24" xfId="10434"/>
    <cellStyle name="60% - 强调文字颜色 4 2 3 25" xfId="10435"/>
    <cellStyle name="60% - 强调文字颜色 4 2 3 26" xfId="10436"/>
    <cellStyle name="60% - 强调文字颜色 4 2 3 27" xfId="10437"/>
    <cellStyle name="60% - 强调文字颜色 4 2 3 28" xfId="10438"/>
    <cellStyle name="60% - 强调文字颜色 4 2 3 3" xfId="10439"/>
    <cellStyle name="60% - 强调文字颜色 4 2 3 4" xfId="10440"/>
    <cellStyle name="60% - 强调文字颜色 4 2 3 5" xfId="10441"/>
    <cellStyle name="60% - 强调文字颜色 4 2 3 6" xfId="10442"/>
    <cellStyle name="60% - 强调文字颜色 4 2 3 7" xfId="10443"/>
    <cellStyle name="60% - 强调文字颜色 4 2 3 8" xfId="10444"/>
    <cellStyle name="60% - 强调文字颜色 4 2 3 9" xfId="10445"/>
    <cellStyle name="60% - 强调文字颜色 4 2 30" xfId="10446"/>
    <cellStyle name="60% - 强调文字颜色 4 2 31" xfId="10447"/>
    <cellStyle name="60% - 强调文字颜色 4 2 32" xfId="10448"/>
    <cellStyle name="60% - 强调文字颜色 4 2 33" xfId="10449"/>
    <cellStyle name="60% - 强调文字颜色 4 2 4" xfId="10450"/>
    <cellStyle name="60% - 强调文字颜色 4 2 4 10" xfId="10451"/>
    <cellStyle name="60% - 强调文字颜色 4 2 4 11" xfId="10452"/>
    <cellStyle name="60% - 强调文字颜色 4 2 4 12" xfId="10453"/>
    <cellStyle name="60% - 强调文字颜色 4 2 4 13" xfId="10454"/>
    <cellStyle name="60% - 强调文字颜色 4 2 4 14" xfId="10455"/>
    <cellStyle name="60% - 强调文字颜色 4 2 4 15" xfId="10456"/>
    <cellStyle name="60% - 强调文字颜色 4 2 4 16" xfId="10457"/>
    <cellStyle name="60% - 强调文字颜色 4 2 4 17" xfId="10458"/>
    <cellStyle name="60% - 强调文字颜色 4 2 4 18" xfId="10459"/>
    <cellStyle name="60% - 强调文字颜色 4 2 4 19" xfId="10460"/>
    <cellStyle name="60% - 强调文字颜色 4 2 4 2" xfId="10461"/>
    <cellStyle name="60% - 强调文字颜色 4 2 4 20" xfId="10462"/>
    <cellStyle name="60% - 强调文字颜色 4 2 4 21" xfId="10463"/>
    <cellStyle name="60% - 强调文字颜色 4 2 4 22" xfId="10464"/>
    <cellStyle name="60% - 强调文字颜色 4 2 4 23" xfId="10465"/>
    <cellStyle name="60% - 强调文字颜色 4 2 4 24" xfId="10466"/>
    <cellStyle name="60% - 强调文字颜色 4 2 4 25" xfId="10467"/>
    <cellStyle name="60% - 强调文字颜色 4 2 4 26" xfId="10468"/>
    <cellStyle name="60% - 强调文字颜色 4 2 4 27" xfId="10469"/>
    <cellStyle name="60% - 强调文字颜色 4 2 4 3" xfId="10470"/>
    <cellStyle name="60% - 强调文字颜色 4 2 4 4" xfId="10471"/>
    <cellStyle name="60% - 强调文字颜色 4 2 4 5" xfId="10472"/>
    <cellStyle name="60% - 强调文字颜色 4 2 4 6" xfId="10473"/>
    <cellStyle name="60% - 强调文字颜色 4 2 4 7" xfId="10474"/>
    <cellStyle name="60% - 强调文字颜色 4 2 4 8" xfId="10475"/>
    <cellStyle name="60% - 强调文字颜色 4 2 4 9" xfId="10476"/>
    <cellStyle name="60% - 强调文字颜色 4 2 5" xfId="10477"/>
    <cellStyle name="60% - 强调文字颜色 4 2 6" xfId="10478"/>
    <cellStyle name="60% - 强调文字颜色 4 2 7" xfId="10479"/>
    <cellStyle name="60% - 强调文字颜色 4 2 8" xfId="10480"/>
    <cellStyle name="60% - 强调文字颜色 4 2 9" xfId="10481"/>
    <cellStyle name="60% - 强调文字颜色 4 20" xfId="10482"/>
    <cellStyle name="60% - 强调文字颜色 4 21" xfId="10483"/>
    <cellStyle name="60% - 强调文字颜色 4 22" xfId="10484"/>
    <cellStyle name="60% - 强调文字颜色 4 23" xfId="10485"/>
    <cellStyle name="60% - 强调文字颜色 4 24" xfId="10486"/>
    <cellStyle name="60% - 强调文字颜色 4 25" xfId="10487"/>
    <cellStyle name="60% - 强调文字颜色 4 26" xfId="10488"/>
    <cellStyle name="60% - 强调文字颜色 4 27" xfId="10489"/>
    <cellStyle name="60% - 强调文字颜色 4 28" xfId="10490"/>
    <cellStyle name="60% - 强调文字颜色 4 29" xfId="10491"/>
    <cellStyle name="60% - 强调文字颜色 4 3" xfId="10492"/>
    <cellStyle name="60% - 强调文字颜色 4 3 10" xfId="10493"/>
    <cellStyle name="60% - 强调文字颜色 4 3 11" xfId="10494"/>
    <cellStyle name="60% - 强调文字颜色 4 3 12" xfId="10495"/>
    <cellStyle name="60% - 强调文字颜色 4 3 13" xfId="10496"/>
    <cellStyle name="60% - 强调文字颜色 4 3 14" xfId="10497"/>
    <cellStyle name="60% - 强调文字颜色 4 3 15" xfId="10498"/>
    <cellStyle name="60% - 强调文字颜色 4 3 16" xfId="10499"/>
    <cellStyle name="60% - 强调文字颜色 4 3 17" xfId="10500"/>
    <cellStyle name="60% - 强调文字颜色 4 3 18" xfId="10501"/>
    <cellStyle name="60% - 强调文字颜色 4 3 19" xfId="10502"/>
    <cellStyle name="60% - 强调文字颜色 4 3 2" xfId="10503"/>
    <cellStyle name="60% - 强调文字颜色 4 3 2 10" xfId="10504"/>
    <cellStyle name="60% - 强调文字颜色 4 3 2 11" xfId="10505"/>
    <cellStyle name="60% - 强调文字颜色 4 3 2 12" xfId="10506"/>
    <cellStyle name="60% - 强调文字颜色 4 3 2 13" xfId="10507"/>
    <cellStyle name="60% - 强调文字颜色 4 3 2 14" xfId="10508"/>
    <cellStyle name="60% - 强调文字颜色 4 3 2 15" xfId="10509"/>
    <cellStyle name="60% - 强调文字颜色 4 3 2 16" xfId="10510"/>
    <cellStyle name="60% - 强调文字颜色 4 3 2 17" xfId="10511"/>
    <cellStyle name="60% - 强调文字颜色 4 3 2 18" xfId="10512"/>
    <cellStyle name="60% - 强调文字颜色 4 3 2 19" xfId="10513"/>
    <cellStyle name="60% - 强调文字颜色 4 3 2 2" xfId="10514"/>
    <cellStyle name="60% - 强调文字颜色 4 3 2 20" xfId="10515"/>
    <cellStyle name="60% - 强调文字颜色 4 3 2 21" xfId="10516"/>
    <cellStyle name="60% - 强调文字颜色 4 3 2 22" xfId="10517"/>
    <cellStyle name="60% - 强调文字颜色 4 3 2 23" xfId="10518"/>
    <cellStyle name="60% - 强调文字颜色 4 3 2 24" xfId="10519"/>
    <cellStyle name="60% - 强调文字颜色 4 3 2 25" xfId="10520"/>
    <cellStyle name="60% - 强调文字颜色 4 3 2 26" xfId="10521"/>
    <cellStyle name="60% - 强调文字颜色 4 3 2 27" xfId="10522"/>
    <cellStyle name="60% - 强调文字颜色 4 3 2 3" xfId="10523"/>
    <cellStyle name="60% - 强调文字颜色 4 3 2 4" xfId="10524"/>
    <cellStyle name="60% - 强调文字颜色 4 3 2 5" xfId="10525"/>
    <cellStyle name="60% - 强调文字颜色 4 3 2 6" xfId="10526"/>
    <cellStyle name="60% - 强调文字颜色 4 3 2 7" xfId="10527"/>
    <cellStyle name="60% - 强调文字颜色 4 3 2 8" xfId="10528"/>
    <cellStyle name="60% - 强调文字颜色 4 3 2 9" xfId="10529"/>
    <cellStyle name="60% - 强调文字颜色 4 3 20" xfId="10530"/>
    <cellStyle name="60% - 强调文字颜色 4 3 21" xfId="10531"/>
    <cellStyle name="60% - 强调文字颜色 4 3 22" xfId="10532"/>
    <cellStyle name="60% - 强调文字颜色 4 3 23" xfId="10533"/>
    <cellStyle name="60% - 强调文字颜色 4 3 24" xfId="10534"/>
    <cellStyle name="60% - 强调文字颜色 4 3 25" xfId="10535"/>
    <cellStyle name="60% - 强调文字颜色 4 3 26" xfId="10536"/>
    <cellStyle name="60% - 强调文字颜色 4 3 27" xfId="10537"/>
    <cellStyle name="60% - 强调文字颜色 4 3 28" xfId="10538"/>
    <cellStyle name="60% - 强调文字颜色 4 3 3" xfId="10539"/>
    <cellStyle name="60% - 强调文字颜色 4 3 4" xfId="10540"/>
    <cellStyle name="60% - 强调文字颜色 4 3 5" xfId="10541"/>
    <cellStyle name="60% - 强调文字颜色 4 3 6" xfId="10542"/>
    <cellStyle name="60% - 强调文字颜色 4 3 7" xfId="10543"/>
    <cellStyle name="60% - 强调文字颜色 4 3 8" xfId="10544"/>
    <cellStyle name="60% - 强调文字颜色 4 3 9" xfId="10545"/>
    <cellStyle name="60% - 强调文字颜色 4 30" xfId="10546"/>
    <cellStyle name="60% - 强调文字颜色 4 31" xfId="10547"/>
    <cellStyle name="60% - 强调文字颜色 4 32" xfId="10548"/>
    <cellStyle name="60% - 强调文字颜色 4 33" xfId="10549"/>
    <cellStyle name="60% - 强调文字颜色 4 34" xfId="10550"/>
    <cellStyle name="60% - 强调文字颜色 4 35" xfId="10551"/>
    <cellStyle name="60% - 强调文字颜色 4 36" xfId="10552"/>
    <cellStyle name="60% - 强调文字颜色 4 37" xfId="10553"/>
    <cellStyle name="60% - 强调文字颜色 4 38" xfId="10554"/>
    <cellStyle name="60% - 强调文字颜色 4 39" xfId="10555"/>
    <cellStyle name="60% - 强调文字颜色 4 4" xfId="10556"/>
    <cellStyle name="60% - 强调文字颜色 4 4 10" xfId="10557"/>
    <cellStyle name="60% - 强调文字颜色 4 4 11" xfId="10558"/>
    <cellStyle name="60% - 强调文字颜色 4 4 12" xfId="10559"/>
    <cellStyle name="60% - 强调文字颜色 4 4 13" xfId="10560"/>
    <cellStyle name="60% - 强调文字颜色 4 4 14" xfId="10561"/>
    <cellStyle name="60% - 强调文字颜色 4 4 15" xfId="10562"/>
    <cellStyle name="60% - 强调文字颜色 4 4 16" xfId="10563"/>
    <cellStyle name="60% - 强调文字颜色 4 4 17" xfId="10564"/>
    <cellStyle name="60% - 强调文字颜色 4 4 18" xfId="10565"/>
    <cellStyle name="60% - 强调文字颜色 4 4 19" xfId="10566"/>
    <cellStyle name="60% - 强调文字颜色 4 4 2" xfId="10567"/>
    <cellStyle name="60% - 强调文字颜色 4 4 2 10" xfId="10568"/>
    <cellStyle name="60% - 强调文字颜色 4 4 2 11" xfId="10569"/>
    <cellStyle name="60% - 强调文字颜色 4 4 2 12" xfId="10570"/>
    <cellStyle name="60% - 强调文字颜色 4 4 2 13" xfId="10571"/>
    <cellStyle name="60% - 强调文字颜色 4 4 2 14" xfId="10572"/>
    <cellStyle name="60% - 强调文字颜色 4 4 2 15" xfId="10573"/>
    <cellStyle name="60% - 强调文字颜色 4 4 2 16" xfId="10574"/>
    <cellStyle name="60% - 强调文字颜色 4 4 2 17" xfId="10575"/>
    <cellStyle name="60% - 强调文字颜色 4 4 2 18" xfId="10576"/>
    <cellStyle name="60% - 强调文字颜色 4 4 2 19" xfId="10577"/>
    <cellStyle name="60% - 强调文字颜色 4 4 2 2" xfId="10578"/>
    <cellStyle name="60% - 强调文字颜色 4 4 2 20" xfId="10579"/>
    <cellStyle name="60% - 强调文字颜色 4 4 2 21" xfId="10580"/>
    <cellStyle name="60% - 强调文字颜色 4 4 2 22" xfId="10581"/>
    <cellStyle name="60% - 强调文字颜色 4 4 2 23" xfId="10582"/>
    <cellStyle name="60% - 强调文字颜色 4 4 2 24" xfId="10583"/>
    <cellStyle name="60% - 强调文字颜色 4 4 2 25" xfId="10584"/>
    <cellStyle name="60% - 强调文字颜色 4 4 2 26" xfId="10585"/>
    <cellStyle name="60% - 强调文字颜色 4 4 2 27" xfId="10586"/>
    <cellStyle name="60% - 强调文字颜色 4 4 2 3" xfId="10587"/>
    <cellStyle name="60% - 强调文字颜色 4 4 2 4" xfId="10588"/>
    <cellStyle name="60% - 强调文字颜色 4 4 2 5" xfId="10589"/>
    <cellStyle name="60% - 强调文字颜色 4 4 2 6" xfId="10590"/>
    <cellStyle name="60% - 强调文字颜色 4 4 2 7" xfId="10591"/>
    <cellStyle name="60% - 强调文字颜色 4 4 2 8" xfId="10592"/>
    <cellStyle name="60% - 强调文字颜色 4 4 2 9" xfId="10593"/>
    <cellStyle name="60% - 强调文字颜色 4 4 20" xfId="10594"/>
    <cellStyle name="60% - 强调文字颜色 4 4 21" xfId="10595"/>
    <cellStyle name="60% - 强调文字颜色 4 4 22" xfId="10596"/>
    <cellStyle name="60% - 强调文字颜色 4 4 23" xfId="10597"/>
    <cellStyle name="60% - 强调文字颜色 4 4 24" xfId="10598"/>
    <cellStyle name="60% - 强调文字颜色 4 4 25" xfId="10599"/>
    <cellStyle name="60% - 强调文字颜色 4 4 26" xfId="10600"/>
    <cellStyle name="60% - 强调文字颜色 4 4 27" xfId="10601"/>
    <cellStyle name="60% - 强调文字颜色 4 4 28" xfId="10602"/>
    <cellStyle name="60% - 强调文字颜色 4 4 3" xfId="10603"/>
    <cellStyle name="60% - 强调文字颜色 4 4 4" xfId="10604"/>
    <cellStyle name="60% - 强调文字颜色 4 4 5" xfId="10605"/>
    <cellStyle name="60% - 强调文字颜色 4 4 6" xfId="10606"/>
    <cellStyle name="60% - 强调文字颜色 4 4 7" xfId="10607"/>
    <cellStyle name="60% - 强调文字颜色 4 4 8" xfId="10608"/>
    <cellStyle name="60% - 强调文字颜色 4 4 9" xfId="10609"/>
    <cellStyle name="60% - 强调文字颜色 4 40" xfId="10610"/>
    <cellStyle name="60% - 强调文字颜色 4 5" xfId="10611"/>
    <cellStyle name="60% - 强调文字颜色 4 5 10" xfId="10612"/>
    <cellStyle name="60% - 强调文字颜色 4 5 11" xfId="10613"/>
    <cellStyle name="60% - 强调文字颜色 4 5 12" xfId="10614"/>
    <cellStyle name="60% - 强调文字颜色 4 5 13" xfId="10615"/>
    <cellStyle name="60% - 强调文字颜色 4 5 14" xfId="10616"/>
    <cellStyle name="60% - 强调文字颜色 4 5 15" xfId="10617"/>
    <cellStyle name="60% - 强调文字颜色 4 5 16" xfId="10618"/>
    <cellStyle name="60% - 强调文字颜色 4 5 17" xfId="10619"/>
    <cellStyle name="60% - 强调文字颜色 4 5 18" xfId="10620"/>
    <cellStyle name="60% - 强调文字颜色 4 5 19" xfId="10621"/>
    <cellStyle name="60% - 强调文字颜色 4 5 2" xfId="10622"/>
    <cellStyle name="60% - 强调文字颜色 4 5 2 10" xfId="10623"/>
    <cellStyle name="60% - 强调文字颜色 4 5 2 11" xfId="10624"/>
    <cellStyle name="60% - 强调文字颜色 4 5 2 12" xfId="10625"/>
    <cellStyle name="60% - 强调文字颜色 4 5 2 13" xfId="10626"/>
    <cellStyle name="60% - 强调文字颜色 4 5 2 14" xfId="10627"/>
    <cellStyle name="60% - 强调文字颜色 4 5 2 15" xfId="10628"/>
    <cellStyle name="60% - 强调文字颜色 4 5 2 16" xfId="10629"/>
    <cellStyle name="60% - 强调文字颜色 4 5 2 17" xfId="10630"/>
    <cellStyle name="60% - 强调文字颜色 4 5 2 18" xfId="10631"/>
    <cellStyle name="60% - 强调文字颜色 4 5 2 19" xfId="10632"/>
    <cellStyle name="60% - 强调文字颜色 4 5 2 2" xfId="10633"/>
    <cellStyle name="60% - 强调文字颜色 4 5 2 20" xfId="10634"/>
    <cellStyle name="60% - 强调文字颜色 4 5 2 21" xfId="10635"/>
    <cellStyle name="60% - 强调文字颜色 4 5 2 22" xfId="10636"/>
    <cellStyle name="60% - 强调文字颜色 4 5 2 23" xfId="10637"/>
    <cellStyle name="60% - 强调文字颜色 4 5 2 24" xfId="10638"/>
    <cellStyle name="60% - 强调文字颜色 4 5 2 25" xfId="10639"/>
    <cellStyle name="60% - 强调文字颜色 4 5 2 26" xfId="10640"/>
    <cellStyle name="60% - 强调文字颜色 4 5 2 27" xfId="10641"/>
    <cellStyle name="60% - 强调文字颜色 4 5 2 3" xfId="10642"/>
    <cellStyle name="60% - 强调文字颜色 4 5 2 4" xfId="10643"/>
    <cellStyle name="60% - 强调文字颜色 4 5 2 5" xfId="10644"/>
    <cellStyle name="60% - 强调文字颜色 4 5 2 6" xfId="10645"/>
    <cellStyle name="60% - 强调文字颜色 4 5 2 7" xfId="10646"/>
    <cellStyle name="60% - 强调文字颜色 4 5 2 8" xfId="10647"/>
    <cellStyle name="60% - 强调文字颜色 4 5 2 9" xfId="10648"/>
    <cellStyle name="60% - 强调文字颜色 4 5 20" xfId="10649"/>
    <cellStyle name="60% - 强调文字颜色 4 5 21" xfId="10650"/>
    <cellStyle name="60% - 强调文字颜色 4 5 22" xfId="10651"/>
    <cellStyle name="60% - 强调文字颜色 4 5 23" xfId="10652"/>
    <cellStyle name="60% - 强调文字颜色 4 5 24" xfId="10653"/>
    <cellStyle name="60% - 强调文字颜色 4 5 25" xfId="10654"/>
    <cellStyle name="60% - 强调文字颜色 4 5 26" xfId="10655"/>
    <cellStyle name="60% - 强调文字颜色 4 5 27" xfId="10656"/>
    <cellStyle name="60% - 强调文字颜色 4 5 28" xfId="10657"/>
    <cellStyle name="60% - 强调文字颜色 4 5 3" xfId="10658"/>
    <cellStyle name="60% - 强调文字颜色 4 5 4" xfId="10659"/>
    <cellStyle name="60% - 强调文字颜色 4 5 5" xfId="10660"/>
    <cellStyle name="60% - 强调文字颜色 4 5 6" xfId="10661"/>
    <cellStyle name="60% - 强调文字颜色 4 5 7" xfId="10662"/>
    <cellStyle name="60% - 强调文字颜色 4 5 8" xfId="10663"/>
    <cellStyle name="60% - 强调文字颜色 4 5 9" xfId="10664"/>
    <cellStyle name="60% - 强调文字颜色 4 6" xfId="10665"/>
    <cellStyle name="60% - 强调文字颜色 4 6 10" xfId="10666"/>
    <cellStyle name="60% - 强调文字颜色 4 6 11" xfId="10667"/>
    <cellStyle name="60% - 强调文字颜色 4 6 12" xfId="10668"/>
    <cellStyle name="60% - 强调文字颜色 4 6 13" xfId="10669"/>
    <cellStyle name="60% - 强调文字颜色 4 6 14" xfId="10670"/>
    <cellStyle name="60% - 强调文字颜色 4 6 15" xfId="10671"/>
    <cellStyle name="60% - 强调文字颜色 4 6 16" xfId="10672"/>
    <cellStyle name="60% - 强调文字颜色 4 6 17" xfId="10673"/>
    <cellStyle name="60% - 强调文字颜色 4 6 18" xfId="10674"/>
    <cellStyle name="60% - 强调文字颜色 4 6 19" xfId="10675"/>
    <cellStyle name="60% - 强调文字颜色 4 6 2" xfId="10676"/>
    <cellStyle name="60% - 强调文字颜色 4 6 2 10" xfId="10677"/>
    <cellStyle name="60% - 强调文字颜色 4 6 2 11" xfId="10678"/>
    <cellStyle name="60% - 强调文字颜色 4 6 2 12" xfId="10679"/>
    <cellStyle name="60% - 强调文字颜色 4 6 2 13" xfId="10680"/>
    <cellStyle name="60% - 强调文字颜色 4 6 2 14" xfId="10681"/>
    <cellStyle name="60% - 强调文字颜色 4 6 2 15" xfId="10682"/>
    <cellStyle name="60% - 强调文字颜色 4 6 2 16" xfId="10683"/>
    <cellStyle name="60% - 强调文字颜色 4 6 2 17" xfId="10684"/>
    <cellStyle name="60% - 强调文字颜色 4 6 2 18" xfId="10685"/>
    <cellStyle name="60% - 强调文字颜色 4 6 2 19" xfId="10686"/>
    <cellStyle name="60% - 强调文字颜色 4 6 2 2" xfId="10687"/>
    <cellStyle name="60% - 强调文字颜色 4 6 2 20" xfId="10688"/>
    <cellStyle name="60% - 强调文字颜色 4 6 2 21" xfId="10689"/>
    <cellStyle name="60% - 强调文字颜色 4 6 2 22" xfId="10690"/>
    <cellStyle name="60% - 强调文字颜色 4 6 2 23" xfId="10691"/>
    <cellStyle name="60% - 强调文字颜色 4 6 2 24" xfId="10692"/>
    <cellStyle name="60% - 强调文字颜色 4 6 2 25" xfId="10693"/>
    <cellStyle name="60% - 强调文字颜色 4 6 2 26" xfId="10694"/>
    <cellStyle name="60% - 强调文字颜色 4 6 2 27" xfId="10695"/>
    <cellStyle name="60% - 强调文字颜色 4 6 2 3" xfId="10696"/>
    <cellStyle name="60% - 强调文字颜色 4 6 2 4" xfId="10697"/>
    <cellStyle name="60% - 强调文字颜色 4 6 2 5" xfId="10698"/>
    <cellStyle name="60% - 强调文字颜色 4 6 2 6" xfId="10699"/>
    <cellStyle name="60% - 强调文字颜色 4 6 2 7" xfId="10700"/>
    <cellStyle name="60% - 强调文字颜色 4 6 2 8" xfId="10701"/>
    <cellStyle name="60% - 强调文字颜色 4 6 2 9" xfId="10702"/>
    <cellStyle name="60% - 强调文字颜色 4 6 20" xfId="10703"/>
    <cellStyle name="60% - 强调文字颜色 4 6 21" xfId="10704"/>
    <cellStyle name="60% - 强调文字颜色 4 6 22" xfId="10705"/>
    <cellStyle name="60% - 强调文字颜色 4 6 23" xfId="10706"/>
    <cellStyle name="60% - 强调文字颜色 4 6 24" xfId="10707"/>
    <cellStyle name="60% - 强调文字颜色 4 6 25" xfId="10708"/>
    <cellStyle name="60% - 强调文字颜色 4 6 26" xfId="10709"/>
    <cellStyle name="60% - 强调文字颜色 4 6 27" xfId="10710"/>
    <cellStyle name="60% - 强调文字颜色 4 6 28" xfId="10711"/>
    <cellStyle name="60% - 强调文字颜色 4 6 3" xfId="10712"/>
    <cellStyle name="60% - 强调文字颜色 4 6 4" xfId="10713"/>
    <cellStyle name="60% - 强调文字颜色 4 6 5" xfId="10714"/>
    <cellStyle name="60% - 强调文字颜色 4 6 6" xfId="10715"/>
    <cellStyle name="60% - 强调文字颜色 4 6 7" xfId="10716"/>
    <cellStyle name="60% - 强调文字颜色 4 6 8" xfId="10717"/>
    <cellStyle name="60% - 强调文字颜色 4 6 9" xfId="10718"/>
    <cellStyle name="60% - 强调文字颜色 4 7" xfId="10719"/>
    <cellStyle name="60% - 强调文字颜色 4 7 10" xfId="10720"/>
    <cellStyle name="60% - 强调文字颜色 4 7 11" xfId="10721"/>
    <cellStyle name="60% - 强调文字颜色 4 7 12" xfId="10722"/>
    <cellStyle name="60% - 强调文字颜色 4 7 13" xfId="10723"/>
    <cellStyle name="60% - 强调文字颜色 4 7 14" xfId="10724"/>
    <cellStyle name="60% - 强调文字颜色 4 7 15" xfId="10725"/>
    <cellStyle name="60% - 强调文字颜色 4 7 16" xfId="10726"/>
    <cellStyle name="60% - 强调文字颜色 4 7 17" xfId="10727"/>
    <cellStyle name="60% - 强调文字颜色 4 7 18" xfId="10728"/>
    <cellStyle name="60% - 强调文字颜色 4 7 19" xfId="10729"/>
    <cellStyle name="60% - 强调文字颜色 4 7 2" xfId="10730"/>
    <cellStyle name="60% - 强调文字颜色 4 7 2 10" xfId="10731"/>
    <cellStyle name="60% - 强调文字颜色 4 7 2 11" xfId="10732"/>
    <cellStyle name="60% - 强调文字颜色 4 7 2 12" xfId="10733"/>
    <cellStyle name="60% - 强调文字颜色 4 7 2 13" xfId="10734"/>
    <cellStyle name="60% - 强调文字颜色 4 7 2 14" xfId="10735"/>
    <cellStyle name="60% - 强调文字颜色 4 7 2 15" xfId="10736"/>
    <cellStyle name="60% - 强调文字颜色 4 7 2 16" xfId="10737"/>
    <cellStyle name="60% - 强调文字颜色 4 7 2 17" xfId="10738"/>
    <cellStyle name="60% - 强调文字颜色 4 7 2 18" xfId="10739"/>
    <cellStyle name="60% - 强调文字颜色 4 7 2 19" xfId="10740"/>
    <cellStyle name="60% - 强调文字颜色 4 7 2 2" xfId="10741"/>
    <cellStyle name="60% - 强调文字颜色 4 7 2 20" xfId="10742"/>
    <cellStyle name="60% - 强调文字颜色 4 7 2 21" xfId="10743"/>
    <cellStyle name="60% - 强调文字颜色 4 7 2 22" xfId="10744"/>
    <cellStyle name="60% - 强调文字颜色 4 7 2 23" xfId="10745"/>
    <cellStyle name="60% - 强调文字颜色 4 7 2 24" xfId="10746"/>
    <cellStyle name="60% - 强调文字颜色 4 7 2 25" xfId="10747"/>
    <cellStyle name="60% - 强调文字颜色 4 7 2 26" xfId="10748"/>
    <cellStyle name="60% - 强调文字颜色 4 7 2 27" xfId="10749"/>
    <cellStyle name="60% - 强调文字颜色 4 7 2 3" xfId="10750"/>
    <cellStyle name="60% - 强调文字颜色 4 7 2 4" xfId="10751"/>
    <cellStyle name="60% - 强调文字颜色 4 7 2 5" xfId="10752"/>
    <cellStyle name="60% - 强调文字颜色 4 7 2 6" xfId="10753"/>
    <cellStyle name="60% - 强调文字颜色 4 7 2 7" xfId="10754"/>
    <cellStyle name="60% - 强调文字颜色 4 7 2 8" xfId="10755"/>
    <cellStyle name="60% - 强调文字颜色 4 7 2 9" xfId="10756"/>
    <cellStyle name="60% - 强调文字颜色 4 7 20" xfId="10757"/>
    <cellStyle name="60% - 强调文字颜色 4 7 21" xfId="10758"/>
    <cellStyle name="60% - 强调文字颜色 4 7 22" xfId="10759"/>
    <cellStyle name="60% - 强调文字颜色 4 7 23" xfId="10760"/>
    <cellStyle name="60% - 强调文字颜色 4 7 24" xfId="10761"/>
    <cellStyle name="60% - 强调文字颜色 4 7 25" xfId="10762"/>
    <cellStyle name="60% - 强调文字颜色 4 7 26" xfId="10763"/>
    <cellStyle name="60% - 强调文字颜色 4 7 27" xfId="10764"/>
    <cellStyle name="60% - 强调文字颜色 4 7 28" xfId="10765"/>
    <cellStyle name="60% - 强调文字颜色 4 7 3" xfId="10766"/>
    <cellStyle name="60% - 强调文字颜色 4 7 4" xfId="10767"/>
    <cellStyle name="60% - 强调文字颜色 4 7 5" xfId="10768"/>
    <cellStyle name="60% - 强调文字颜色 4 7 6" xfId="10769"/>
    <cellStyle name="60% - 强调文字颜色 4 7 7" xfId="10770"/>
    <cellStyle name="60% - 强调文字颜色 4 7 8" xfId="10771"/>
    <cellStyle name="60% - 强调文字颜色 4 7 9" xfId="10772"/>
    <cellStyle name="60% - 强调文字颜色 4 8" xfId="10773"/>
    <cellStyle name="60% - 强调文字颜色 4 8 10" xfId="10774"/>
    <cellStyle name="60% - 强调文字颜色 4 8 11" xfId="10775"/>
    <cellStyle name="60% - 强调文字颜色 4 8 12" xfId="10776"/>
    <cellStyle name="60% - 强调文字颜色 4 8 13" xfId="10777"/>
    <cellStyle name="60% - 强调文字颜色 4 8 14" xfId="10778"/>
    <cellStyle name="60% - 强调文字颜色 4 8 15" xfId="10779"/>
    <cellStyle name="60% - 强调文字颜色 4 8 16" xfId="10780"/>
    <cellStyle name="60% - 强调文字颜色 4 8 17" xfId="10781"/>
    <cellStyle name="60% - 强调文字颜色 4 8 18" xfId="10782"/>
    <cellStyle name="60% - 强调文字颜色 4 8 19" xfId="10783"/>
    <cellStyle name="60% - 强调文字颜色 4 8 2" xfId="10784"/>
    <cellStyle name="60% - 强调文字颜色 4 8 2 10" xfId="10785"/>
    <cellStyle name="60% - 强调文字颜色 4 8 2 11" xfId="10786"/>
    <cellStyle name="60% - 强调文字颜色 4 8 2 12" xfId="10787"/>
    <cellStyle name="60% - 强调文字颜色 4 8 2 13" xfId="10788"/>
    <cellStyle name="60% - 强调文字颜色 4 8 2 14" xfId="10789"/>
    <cellStyle name="60% - 强调文字颜色 4 8 2 15" xfId="10790"/>
    <cellStyle name="60% - 强调文字颜色 4 8 2 16" xfId="10791"/>
    <cellStyle name="60% - 强调文字颜色 4 8 2 17" xfId="10792"/>
    <cellStyle name="60% - 强调文字颜色 4 8 2 18" xfId="10793"/>
    <cellStyle name="60% - 强调文字颜色 4 8 2 19" xfId="10794"/>
    <cellStyle name="60% - 强调文字颜色 4 8 2 2" xfId="10795"/>
    <cellStyle name="60% - 强调文字颜色 4 8 2 20" xfId="10796"/>
    <cellStyle name="60% - 强调文字颜色 4 8 2 21" xfId="10797"/>
    <cellStyle name="60% - 强调文字颜色 4 8 2 22" xfId="10798"/>
    <cellStyle name="60% - 强调文字颜色 4 8 2 23" xfId="10799"/>
    <cellStyle name="60% - 强调文字颜色 4 8 2 24" xfId="10800"/>
    <cellStyle name="60% - 强调文字颜色 4 8 2 25" xfId="10801"/>
    <cellStyle name="60% - 强调文字颜色 4 8 2 26" xfId="10802"/>
    <cellStyle name="60% - 强调文字颜色 4 8 2 27" xfId="10803"/>
    <cellStyle name="60% - 强调文字颜色 4 8 2 3" xfId="10804"/>
    <cellStyle name="60% - 强调文字颜色 4 8 2 4" xfId="10805"/>
    <cellStyle name="60% - 强调文字颜色 4 8 2 5" xfId="10806"/>
    <cellStyle name="60% - 强调文字颜色 4 8 2 6" xfId="10807"/>
    <cellStyle name="60% - 强调文字颜色 4 8 2 7" xfId="10808"/>
    <cellStyle name="60% - 强调文字颜色 4 8 2 8" xfId="10809"/>
    <cellStyle name="60% - 强调文字颜色 4 8 2 9" xfId="10810"/>
    <cellStyle name="60% - 强调文字颜色 4 8 20" xfId="10811"/>
    <cellStyle name="60% - 强调文字颜色 4 8 21" xfId="10812"/>
    <cellStyle name="60% - 强调文字颜色 4 8 22" xfId="10813"/>
    <cellStyle name="60% - 强调文字颜色 4 8 23" xfId="10814"/>
    <cellStyle name="60% - 强调文字颜色 4 8 24" xfId="10815"/>
    <cellStyle name="60% - 强调文字颜色 4 8 25" xfId="10816"/>
    <cellStyle name="60% - 强调文字颜色 4 8 26" xfId="10817"/>
    <cellStyle name="60% - 强调文字颜色 4 8 27" xfId="10818"/>
    <cellStyle name="60% - 强调文字颜色 4 8 28" xfId="10819"/>
    <cellStyle name="60% - 强调文字颜色 4 8 3" xfId="10820"/>
    <cellStyle name="60% - 强调文字颜色 4 8 4" xfId="10821"/>
    <cellStyle name="60% - 强调文字颜色 4 8 5" xfId="10822"/>
    <cellStyle name="60% - 强调文字颜色 4 8 6" xfId="10823"/>
    <cellStyle name="60% - 强调文字颜色 4 8 7" xfId="10824"/>
    <cellStyle name="60% - 强调文字颜色 4 8 8" xfId="10825"/>
    <cellStyle name="60% - 强调文字颜色 4 8 9" xfId="10826"/>
    <cellStyle name="60% - 强调文字颜色 4 9" xfId="10827"/>
    <cellStyle name="60% - 强调文字颜色 4 9 10" xfId="10828"/>
    <cellStyle name="60% - 强调文字颜色 4 9 11" xfId="10829"/>
    <cellStyle name="60% - 强调文字颜色 4 9 12" xfId="10830"/>
    <cellStyle name="60% - 强调文字颜色 4 9 13" xfId="10831"/>
    <cellStyle name="60% - 强调文字颜色 4 9 14" xfId="10832"/>
    <cellStyle name="60% - 强调文字颜色 4 9 15" xfId="10833"/>
    <cellStyle name="60% - 强调文字颜色 4 9 16" xfId="10834"/>
    <cellStyle name="60% - 强调文字颜色 4 9 17" xfId="10835"/>
    <cellStyle name="60% - 强调文字颜色 4 9 18" xfId="10836"/>
    <cellStyle name="60% - 强调文字颜色 4 9 19" xfId="10837"/>
    <cellStyle name="60% - 强调文字颜色 4 9 2" xfId="10838"/>
    <cellStyle name="60% - 强调文字颜色 4 9 2 10" xfId="10839"/>
    <cellStyle name="60% - 强调文字颜色 4 9 2 11" xfId="10840"/>
    <cellStyle name="60% - 强调文字颜色 4 9 2 12" xfId="10841"/>
    <cellStyle name="60% - 强调文字颜色 4 9 2 13" xfId="10842"/>
    <cellStyle name="60% - 强调文字颜色 4 9 2 14" xfId="10843"/>
    <cellStyle name="60% - 强调文字颜色 4 9 2 15" xfId="10844"/>
    <cellStyle name="60% - 强调文字颜色 4 9 2 16" xfId="10845"/>
    <cellStyle name="60% - 强调文字颜色 4 9 2 17" xfId="10846"/>
    <cellStyle name="60% - 强调文字颜色 4 9 2 18" xfId="10847"/>
    <cellStyle name="60% - 强调文字颜色 4 9 2 19" xfId="10848"/>
    <cellStyle name="60% - 强调文字颜色 4 9 2 2" xfId="10849"/>
    <cellStyle name="60% - 强调文字颜色 4 9 2 20" xfId="10850"/>
    <cellStyle name="60% - 强调文字颜色 4 9 2 21" xfId="10851"/>
    <cellStyle name="60% - 强调文字颜色 4 9 2 22" xfId="10852"/>
    <cellStyle name="60% - 强调文字颜色 4 9 2 23" xfId="10853"/>
    <cellStyle name="60% - 强调文字颜色 4 9 2 24" xfId="10854"/>
    <cellStyle name="60% - 强调文字颜色 4 9 2 25" xfId="10855"/>
    <cellStyle name="60% - 强调文字颜色 4 9 2 26" xfId="10856"/>
    <cellStyle name="60% - 强调文字颜色 4 9 2 27" xfId="10857"/>
    <cellStyle name="60% - 强调文字颜色 4 9 2 3" xfId="10858"/>
    <cellStyle name="60% - 强调文字颜色 4 9 2 4" xfId="10859"/>
    <cellStyle name="60% - 强调文字颜色 4 9 2 5" xfId="10860"/>
    <cellStyle name="60% - 强调文字颜色 4 9 2 6" xfId="10861"/>
    <cellStyle name="60% - 强调文字颜色 4 9 2 7" xfId="10862"/>
    <cellStyle name="60% - 强调文字颜色 4 9 2 8" xfId="10863"/>
    <cellStyle name="60% - 强调文字颜色 4 9 2 9" xfId="10864"/>
    <cellStyle name="60% - 强调文字颜色 4 9 20" xfId="10865"/>
    <cellStyle name="60% - 强调文字颜色 4 9 21" xfId="10866"/>
    <cellStyle name="60% - 强调文字颜色 4 9 22" xfId="10867"/>
    <cellStyle name="60% - 强调文字颜色 4 9 23" xfId="10868"/>
    <cellStyle name="60% - 强调文字颜色 4 9 24" xfId="10869"/>
    <cellStyle name="60% - 强调文字颜色 4 9 25" xfId="10870"/>
    <cellStyle name="60% - 强调文字颜色 4 9 26" xfId="10871"/>
    <cellStyle name="60% - 强调文字颜色 4 9 27" xfId="10872"/>
    <cellStyle name="60% - 强调文字颜色 4 9 28" xfId="10873"/>
    <cellStyle name="60% - 强调文字颜色 4 9 3" xfId="10874"/>
    <cellStyle name="60% - 强调文字颜色 4 9 4" xfId="10875"/>
    <cellStyle name="60% - 强调文字颜色 4 9 5" xfId="10876"/>
    <cellStyle name="60% - 强调文字颜色 4 9 6" xfId="10877"/>
    <cellStyle name="60% - 强调文字颜色 4 9 7" xfId="10878"/>
    <cellStyle name="60% - 强调文字颜色 4 9 8" xfId="10879"/>
    <cellStyle name="60% - 强调文字颜色 4 9 9" xfId="10880"/>
    <cellStyle name="60% - 强调文字颜色 5 10" xfId="10881"/>
    <cellStyle name="60% - 强调文字颜色 5 10 10" xfId="10882"/>
    <cellStyle name="60% - 强调文字颜色 5 10 11" xfId="10883"/>
    <cellStyle name="60% - 强调文字颜色 5 10 12" xfId="10884"/>
    <cellStyle name="60% - 强调文字颜色 5 10 13" xfId="10885"/>
    <cellStyle name="60% - 强调文字颜色 5 10 14" xfId="10886"/>
    <cellStyle name="60% - 强调文字颜色 5 10 15" xfId="10887"/>
    <cellStyle name="60% - 强调文字颜色 5 10 16" xfId="10888"/>
    <cellStyle name="60% - 强调文字颜色 5 10 17" xfId="10889"/>
    <cellStyle name="60% - 强调文字颜色 5 10 18" xfId="10890"/>
    <cellStyle name="60% - 强调文字颜色 5 10 19" xfId="10891"/>
    <cellStyle name="60% - 强调文字颜色 5 10 2" xfId="10892"/>
    <cellStyle name="60% - 强调文字颜色 5 10 2 10" xfId="10893"/>
    <cellStyle name="60% - 强调文字颜色 5 10 2 11" xfId="10894"/>
    <cellStyle name="60% - 强调文字颜色 5 10 2 12" xfId="10895"/>
    <cellStyle name="60% - 强调文字颜色 5 10 2 13" xfId="10896"/>
    <cellStyle name="60% - 强调文字颜色 5 10 2 14" xfId="10897"/>
    <cellStyle name="60% - 强调文字颜色 5 10 2 15" xfId="10898"/>
    <cellStyle name="60% - 强调文字颜色 5 10 2 16" xfId="10899"/>
    <cellStyle name="60% - 强调文字颜色 5 10 2 17" xfId="10900"/>
    <cellStyle name="60% - 强调文字颜色 5 10 2 18" xfId="10901"/>
    <cellStyle name="60% - 强调文字颜色 5 10 2 19" xfId="10902"/>
    <cellStyle name="60% - 强调文字颜色 5 10 2 2" xfId="10903"/>
    <cellStyle name="60% - 强调文字颜色 5 10 2 20" xfId="10904"/>
    <cellStyle name="60% - 强调文字颜色 5 10 2 21" xfId="10905"/>
    <cellStyle name="60% - 强调文字颜色 5 10 2 22" xfId="10906"/>
    <cellStyle name="60% - 强调文字颜色 5 10 2 23" xfId="10907"/>
    <cellStyle name="60% - 强调文字颜色 5 10 2 24" xfId="10908"/>
    <cellStyle name="60% - 强调文字颜色 5 10 2 25" xfId="10909"/>
    <cellStyle name="60% - 强调文字颜色 5 10 2 26" xfId="10910"/>
    <cellStyle name="60% - 强调文字颜色 5 10 2 27" xfId="10911"/>
    <cellStyle name="60% - 强调文字颜色 5 10 2 3" xfId="10912"/>
    <cellStyle name="60% - 强调文字颜色 5 10 2 4" xfId="10913"/>
    <cellStyle name="60% - 强调文字颜色 5 10 2 5" xfId="10914"/>
    <cellStyle name="60% - 强调文字颜色 5 10 2 6" xfId="10915"/>
    <cellStyle name="60% - 强调文字颜色 5 10 2 7" xfId="10916"/>
    <cellStyle name="60% - 强调文字颜色 5 10 2 8" xfId="10917"/>
    <cellStyle name="60% - 强调文字颜色 5 10 2 9" xfId="10918"/>
    <cellStyle name="60% - 强调文字颜色 5 10 20" xfId="10919"/>
    <cellStyle name="60% - 强调文字颜色 5 10 21" xfId="10920"/>
    <cellStyle name="60% - 强调文字颜色 5 10 22" xfId="10921"/>
    <cellStyle name="60% - 强调文字颜色 5 10 23" xfId="10922"/>
    <cellStyle name="60% - 强调文字颜色 5 10 24" xfId="10923"/>
    <cellStyle name="60% - 强调文字颜色 5 10 25" xfId="10924"/>
    <cellStyle name="60% - 强调文字颜色 5 10 26" xfId="10925"/>
    <cellStyle name="60% - 强调文字颜色 5 10 27" xfId="10926"/>
    <cellStyle name="60% - 强调文字颜色 5 10 28" xfId="10927"/>
    <cellStyle name="60% - 强调文字颜色 5 10 3" xfId="10928"/>
    <cellStyle name="60% - 强调文字颜色 5 10 4" xfId="10929"/>
    <cellStyle name="60% - 强调文字颜色 5 10 5" xfId="10930"/>
    <cellStyle name="60% - 强调文字颜色 5 10 6" xfId="10931"/>
    <cellStyle name="60% - 强调文字颜色 5 10 7" xfId="10932"/>
    <cellStyle name="60% - 强调文字颜色 5 10 8" xfId="10933"/>
    <cellStyle name="60% - 强调文字颜色 5 10 9" xfId="10934"/>
    <cellStyle name="60% - 强调文字颜色 5 11" xfId="10935"/>
    <cellStyle name="60% - 强调文字颜色 5 11 10" xfId="10936"/>
    <cellStyle name="60% - 强调文字颜色 5 11 11" xfId="10937"/>
    <cellStyle name="60% - 强调文字颜色 5 11 12" xfId="10938"/>
    <cellStyle name="60% - 强调文字颜色 5 11 13" xfId="10939"/>
    <cellStyle name="60% - 强调文字颜色 5 11 14" xfId="10940"/>
    <cellStyle name="60% - 强调文字颜色 5 11 15" xfId="10941"/>
    <cellStyle name="60% - 强调文字颜色 5 11 16" xfId="10942"/>
    <cellStyle name="60% - 强调文字颜色 5 11 17" xfId="10943"/>
    <cellStyle name="60% - 强调文字颜色 5 11 18" xfId="10944"/>
    <cellStyle name="60% - 强调文字颜色 5 11 19" xfId="10945"/>
    <cellStyle name="60% - 强调文字颜色 5 11 2" xfId="10946"/>
    <cellStyle name="60% - 强调文字颜色 5 11 2 10" xfId="10947"/>
    <cellStyle name="60% - 强调文字颜色 5 11 2 11" xfId="10948"/>
    <cellStyle name="60% - 强调文字颜色 5 11 2 12" xfId="10949"/>
    <cellStyle name="60% - 强调文字颜色 5 11 2 13" xfId="10950"/>
    <cellStyle name="60% - 强调文字颜色 5 11 2 14" xfId="10951"/>
    <cellStyle name="60% - 强调文字颜色 5 11 2 15" xfId="10952"/>
    <cellStyle name="60% - 强调文字颜色 5 11 2 16" xfId="10953"/>
    <cellStyle name="60% - 强调文字颜色 5 11 2 17" xfId="10954"/>
    <cellStyle name="60% - 强调文字颜色 5 11 2 18" xfId="10955"/>
    <cellStyle name="60% - 强调文字颜色 5 11 2 19" xfId="10956"/>
    <cellStyle name="60% - 强调文字颜色 5 11 2 2" xfId="10957"/>
    <cellStyle name="60% - 强调文字颜色 5 11 2 20" xfId="10958"/>
    <cellStyle name="60% - 强调文字颜色 5 11 2 21" xfId="10959"/>
    <cellStyle name="60% - 强调文字颜色 5 11 2 22" xfId="10960"/>
    <cellStyle name="60% - 强调文字颜色 5 11 2 23" xfId="10961"/>
    <cellStyle name="60% - 强调文字颜色 5 11 2 24" xfId="10962"/>
    <cellStyle name="60% - 强调文字颜色 5 11 2 25" xfId="10963"/>
    <cellStyle name="60% - 强调文字颜色 5 11 2 26" xfId="10964"/>
    <cellStyle name="60% - 强调文字颜色 5 11 2 27" xfId="10965"/>
    <cellStyle name="60% - 强调文字颜色 5 11 2 3" xfId="10966"/>
    <cellStyle name="60% - 强调文字颜色 5 11 2 4" xfId="10967"/>
    <cellStyle name="60% - 强调文字颜色 5 11 2 5" xfId="10968"/>
    <cellStyle name="60% - 强调文字颜色 5 11 2 6" xfId="10969"/>
    <cellStyle name="60% - 强调文字颜色 5 11 2 7" xfId="10970"/>
    <cellStyle name="60% - 强调文字颜色 5 11 2 8" xfId="10971"/>
    <cellStyle name="60% - 强调文字颜色 5 11 2 9" xfId="10972"/>
    <cellStyle name="60% - 强调文字颜色 5 11 20" xfId="10973"/>
    <cellStyle name="60% - 强调文字颜色 5 11 21" xfId="10974"/>
    <cellStyle name="60% - 强调文字颜色 5 11 22" xfId="10975"/>
    <cellStyle name="60% - 强调文字颜色 5 11 23" xfId="10976"/>
    <cellStyle name="60% - 强调文字颜色 5 11 24" xfId="10977"/>
    <cellStyle name="60% - 强调文字颜色 5 11 25" xfId="10978"/>
    <cellStyle name="60% - 强调文字颜色 5 11 26" xfId="10979"/>
    <cellStyle name="60% - 强调文字颜色 5 11 27" xfId="10980"/>
    <cellStyle name="60% - 强调文字颜色 5 11 28" xfId="10981"/>
    <cellStyle name="60% - 强调文字颜色 5 11 3" xfId="10982"/>
    <cellStyle name="60% - 强调文字颜色 5 11 4" xfId="10983"/>
    <cellStyle name="60% - 强调文字颜色 5 11 5" xfId="10984"/>
    <cellStyle name="60% - 强调文字颜色 5 11 6" xfId="10985"/>
    <cellStyle name="60% - 强调文字颜色 5 11 7" xfId="10986"/>
    <cellStyle name="60% - 强调文字颜色 5 11 8" xfId="10987"/>
    <cellStyle name="60% - 强调文字颜色 5 11 9" xfId="10988"/>
    <cellStyle name="60% - 强调文字颜色 5 12" xfId="10989"/>
    <cellStyle name="60% - 强调文字颜色 5 13" xfId="10990"/>
    <cellStyle name="60% - 强调文字颜色 5 14" xfId="10991"/>
    <cellStyle name="60% - 强调文字颜色 5 15" xfId="10992"/>
    <cellStyle name="60% - 强调文字颜色 5 16" xfId="10993"/>
    <cellStyle name="60% - 强调文字颜色 5 17" xfId="10994"/>
    <cellStyle name="60% - 强调文字颜色 5 18" xfId="10995"/>
    <cellStyle name="60% - 强调文字颜色 5 19" xfId="10996"/>
    <cellStyle name="60% - 强调文字颜色 5 2" xfId="10997"/>
    <cellStyle name="60% - 强调文字颜色 5 2 10" xfId="10998"/>
    <cellStyle name="60% - 强调文字颜色 5 2 11" xfId="10999"/>
    <cellStyle name="60% - 强调文字颜色 5 2 12" xfId="11000"/>
    <cellStyle name="60% - 强调文字颜色 5 2 13" xfId="11001"/>
    <cellStyle name="60% - 强调文字颜色 5 2 14" xfId="11002"/>
    <cellStyle name="60% - 强调文字颜色 5 2 15" xfId="11003"/>
    <cellStyle name="60% - 强调文字颜色 5 2 16" xfId="11004"/>
    <cellStyle name="60% - 强调文字颜色 5 2 17" xfId="11005"/>
    <cellStyle name="60% - 强调文字颜色 5 2 18" xfId="11006"/>
    <cellStyle name="60% - 强调文字颜色 5 2 19" xfId="11007"/>
    <cellStyle name="60% - 强调文字颜色 5 2 2" xfId="11008"/>
    <cellStyle name="60% - 强调文字颜色 5 2 2 10" xfId="11009"/>
    <cellStyle name="60% - 强调文字颜色 5 2 2 11" xfId="11010"/>
    <cellStyle name="60% - 强调文字颜色 5 2 2 12" xfId="11011"/>
    <cellStyle name="60% - 强调文字颜色 5 2 2 13" xfId="11012"/>
    <cellStyle name="60% - 强调文字颜色 5 2 2 14" xfId="11013"/>
    <cellStyle name="60% - 强调文字颜色 5 2 2 15" xfId="11014"/>
    <cellStyle name="60% - 强调文字颜色 5 2 2 16" xfId="11015"/>
    <cellStyle name="60% - 强调文字颜色 5 2 2 17" xfId="11016"/>
    <cellStyle name="60% - 强调文字颜色 5 2 2 18" xfId="11017"/>
    <cellStyle name="60% - 强调文字颜色 5 2 2 19" xfId="11018"/>
    <cellStyle name="60% - 强调文字颜色 5 2 2 2" xfId="11019"/>
    <cellStyle name="60% - 强调文字颜色 5 2 2 2 10" xfId="11020"/>
    <cellStyle name="60% - 强调文字颜色 5 2 2 2 11" xfId="11021"/>
    <cellStyle name="60% - 强调文字颜色 5 2 2 2 12" xfId="11022"/>
    <cellStyle name="60% - 强调文字颜色 5 2 2 2 13" xfId="11023"/>
    <cellStyle name="60% - 强调文字颜色 5 2 2 2 14" xfId="11024"/>
    <cellStyle name="60% - 强调文字颜色 5 2 2 2 15" xfId="11025"/>
    <cellStyle name="60% - 强调文字颜色 5 2 2 2 16" xfId="11026"/>
    <cellStyle name="60% - 强调文字颜色 5 2 2 2 17" xfId="11027"/>
    <cellStyle name="60% - 强调文字颜色 5 2 2 2 18" xfId="11028"/>
    <cellStyle name="60% - 强调文字颜色 5 2 2 2 19" xfId="11029"/>
    <cellStyle name="60% - 强调文字颜色 5 2 2 2 2" xfId="11030"/>
    <cellStyle name="60% - 强调文字颜色 5 2 2 2 20" xfId="11031"/>
    <cellStyle name="60% - 强调文字颜色 5 2 2 2 21" xfId="11032"/>
    <cellStyle name="60% - 强调文字颜色 5 2 2 2 22" xfId="11033"/>
    <cellStyle name="60% - 强调文字颜色 5 2 2 2 23" xfId="11034"/>
    <cellStyle name="60% - 强调文字颜色 5 2 2 2 24" xfId="11035"/>
    <cellStyle name="60% - 强调文字颜色 5 2 2 2 25" xfId="11036"/>
    <cellStyle name="60% - 强调文字颜色 5 2 2 2 26" xfId="11037"/>
    <cellStyle name="60% - 强调文字颜色 5 2 2 2 27" xfId="11038"/>
    <cellStyle name="60% - 强调文字颜色 5 2 2 2 3" xfId="11039"/>
    <cellStyle name="60% - 强调文字颜色 5 2 2 2 4" xfId="11040"/>
    <cellStyle name="60% - 强调文字颜色 5 2 2 2 5" xfId="11041"/>
    <cellStyle name="60% - 强调文字颜色 5 2 2 2 6" xfId="11042"/>
    <cellStyle name="60% - 强调文字颜色 5 2 2 2 7" xfId="11043"/>
    <cellStyle name="60% - 强调文字颜色 5 2 2 2 8" xfId="11044"/>
    <cellStyle name="60% - 强调文字颜色 5 2 2 2 9" xfId="11045"/>
    <cellStyle name="60% - 强调文字颜色 5 2 2 20" xfId="11046"/>
    <cellStyle name="60% - 强调文字颜色 5 2 2 21" xfId="11047"/>
    <cellStyle name="60% - 强调文字颜色 5 2 2 22" xfId="11048"/>
    <cellStyle name="60% - 强调文字颜色 5 2 2 23" xfId="11049"/>
    <cellStyle name="60% - 强调文字颜色 5 2 2 24" xfId="11050"/>
    <cellStyle name="60% - 强调文字颜色 5 2 2 25" xfId="11051"/>
    <cellStyle name="60% - 强调文字颜色 5 2 2 26" xfId="11052"/>
    <cellStyle name="60% - 强调文字颜色 5 2 2 27" xfId="11053"/>
    <cellStyle name="60% - 强调文字颜色 5 2 2 28" xfId="11054"/>
    <cellStyle name="60% - 强调文字颜色 5 2 2 3" xfId="11055"/>
    <cellStyle name="60% - 强调文字颜色 5 2 2 4" xfId="11056"/>
    <cellStyle name="60% - 强调文字颜色 5 2 2 5" xfId="11057"/>
    <cellStyle name="60% - 强调文字颜色 5 2 2 6" xfId="11058"/>
    <cellStyle name="60% - 强调文字颜色 5 2 2 7" xfId="11059"/>
    <cellStyle name="60% - 强调文字颜色 5 2 2 8" xfId="11060"/>
    <cellStyle name="60% - 强调文字颜色 5 2 2 9" xfId="11061"/>
    <cellStyle name="60% - 强调文字颜色 5 2 20" xfId="11062"/>
    <cellStyle name="60% - 强调文字颜色 5 2 21" xfId="11063"/>
    <cellStyle name="60% - 强调文字颜色 5 2 22" xfId="11064"/>
    <cellStyle name="60% - 强调文字颜色 5 2 23" xfId="11065"/>
    <cellStyle name="60% - 强调文字颜色 5 2 24" xfId="11066"/>
    <cellStyle name="60% - 强调文字颜色 5 2 25" xfId="11067"/>
    <cellStyle name="60% - 强调文字颜色 5 2 26" xfId="11068"/>
    <cellStyle name="60% - 强调文字颜色 5 2 27" xfId="11069"/>
    <cellStyle name="60% - 强调文字颜色 5 2 28" xfId="11070"/>
    <cellStyle name="60% - 强调文字颜色 5 2 29" xfId="11071"/>
    <cellStyle name="60% - 强调文字颜色 5 2 3" xfId="11072"/>
    <cellStyle name="60% - 强调文字颜色 5 2 3 10" xfId="11073"/>
    <cellStyle name="60% - 强调文字颜色 5 2 3 11" xfId="11074"/>
    <cellStyle name="60% - 强调文字颜色 5 2 3 12" xfId="11075"/>
    <cellStyle name="60% - 强调文字颜色 5 2 3 13" xfId="11076"/>
    <cellStyle name="60% - 强调文字颜色 5 2 3 14" xfId="11077"/>
    <cellStyle name="60% - 强调文字颜色 5 2 3 15" xfId="11078"/>
    <cellStyle name="60% - 强调文字颜色 5 2 3 16" xfId="11079"/>
    <cellStyle name="60% - 强调文字颜色 5 2 3 17" xfId="11080"/>
    <cellStyle name="60% - 强调文字颜色 5 2 3 18" xfId="11081"/>
    <cellStyle name="60% - 强调文字颜色 5 2 3 19" xfId="11082"/>
    <cellStyle name="60% - 强调文字颜色 5 2 3 2" xfId="11083"/>
    <cellStyle name="60% - 强调文字颜色 5 2 3 2 10" xfId="11084"/>
    <cellStyle name="60% - 强调文字颜色 5 2 3 2 11" xfId="11085"/>
    <cellStyle name="60% - 强调文字颜色 5 2 3 2 12" xfId="11086"/>
    <cellStyle name="60% - 强调文字颜色 5 2 3 2 13" xfId="11087"/>
    <cellStyle name="60% - 强调文字颜色 5 2 3 2 14" xfId="11088"/>
    <cellStyle name="60% - 强调文字颜色 5 2 3 2 15" xfId="11089"/>
    <cellStyle name="60% - 强调文字颜色 5 2 3 2 16" xfId="11090"/>
    <cellStyle name="60% - 强调文字颜色 5 2 3 2 17" xfId="11091"/>
    <cellStyle name="60% - 强调文字颜色 5 2 3 2 18" xfId="11092"/>
    <cellStyle name="60% - 强调文字颜色 5 2 3 2 19" xfId="11093"/>
    <cellStyle name="60% - 强调文字颜色 5 2 3 2 2" xfId="11094"/>
    <cellStyle name="60% - 强调文字颜色 5 2 3 2 20" xfId="11095"/>
    <cellStyle name="60% - 强调文字颜色 5 2 3 2 21" xfId="11096"/>
    <cellStyle name="60% - 强调文字颜色 5 2 3 2 22" xfId="11097"/>
    <cellStyle name="60% - 强调文字颜色 5 2 3 2 23" xfId="11098"/>
    <cellStyle name="60% - 强调文字颜色 5 2 3 2 24" xfId="11099"/>
    <cellStyle name="60% - 强调文字颜色 5 2 3 2 25" xfId="11100"/>
    <cellStyle name="60% - 强调文字颜色 5 2 3 2 26" xfId="11101"/>
    <cellStyle name="60% - 强调文字颜色 5 2 3 2 27" xfId="11102"/>
    <cellStyle name="60% - 强调文字颜色 5 2 3 2 3" xfId="11103"/>
    <cellStyle name="60% - 强调文字颜色 5 2 3 2 4" xfId="11104"/>
    <cellStyle name="60% - 强调文字颜色 5 2 3 2 5" xfId="11105"/>
    <cellStyle name="60% - 强调文字颜色 5 2 3 2 6" xfId="11106"/>
    <cellStyle name="60% - 强调文字颜色 5 2 3 2 7" xfId="11107"/>
    <cellStyle name="60% - 强调文字颜色 5 2 3 2 8" xfId="11108"/>
    <cellStyle name="60% - 强调文字颜色 5 2 3 2 9" xfId="11109"/>
    <cellStyle name="60% - 强调文字颜色 5 2 3 20" xfId="11110"/>
    <cellStyle name="60% - 强调文字颜色 5 2 3 21" xfId="11111"/>
    <cellStyle name="60% - 强调文字颜色 5 2 3 22" xfId="11112"/>
    <cellStyle name="60% - 强调文字颜色 5 2 3 23" xfId="11113"/>
    <cellStyle name="60% - 强调文字颜色 5 2 3 24" xfId="11114"/>
    <cellStyle name="60% - 强调文字颜色 5 2 3 25" xfId="11115"/>
    <cellStyle name="60% - 强调文字颜色 5 2 3 26" xfId="11116"/>
    <cellStyle name="60% - 强调文字颜色 5 2 3 27" xfId="11117"/>
    <cellStyle name="60% - 强调文字颜色 5 2 3 28" xfId="11118"/>
    <cellStyle name="60% - 强调文字颜色 5 2 3 3" xfId="11119"/>
    <cellStyle name="60% - 强调文字颜色 5 2 3 4" xfId="11120"/>
    <cellStyle name="60% - 强调文字颜色 5 2 3 5" xfId="11121"/>
    <cellStyle name="60% - 强调文字颜色 5 2 3 6" xfId="11122"/>
    <cellStyle name="60% - 强调文字颜色 5 2 3 7" xfId="11123"/>
    <cellStyle name="60% - 强调文字颜色 5 2 3 8" xfId="11124"/>
    <cellStyle name="60% - 强调文字颜色 5 2 3 9" xfId="11125"/>
    <cellStyle name="60% - 强调文字颜色 5 2 30" xfId="11126"/>
    <cellStyle name="60% - 强调文字颜色 5 2 31" xfId="11127"/>
    <cellStyle name="60% - 强调文字颜色 5 2 32" xfId="11128"/>
    <cellStyle name="60% - 强调文字颜色 5 2 33" xfId="11129"/>
    <cellStyle name="60% - 强调文字颜色 5 2 4" xfId="11130"/>
    <cellStyle name="60% - 强调文字颜色 5 2 4 10" xfId="11131"/>
    <cellStyle name="60% - 强调文字颜色 5 2 4 11" xfId="11132"/>
    <cellStyle name="60% - 强调文字颜色 5 2 4 12" xfId="11133"/>
    <cellStyle name="60% - 强调文字颜色 5 2 4 13" xfId="11134"/>
    <cellStyle name="60% - 强调文字颜色 5 2 4 14" xfId="11135"/>
    <cellStyle name="60% - 强调文字颜色 5 2 4 15" xfId="11136"/>
    <cellStyle name="60% - 强调文字颜色 5 2 4 16" xfId="11137"/>
    <cellStyle name="60% - 强调文字颜色 5 2 4 17" xfId="11138"/>
    <cellStyle name="60% - 强调文字颜色 5 2 4 18" xfId="11139"/>
    <cellStyle name="60% - 强调文字颜色 5 2 4 19" xfId="11140"/>
    <cellStyle name="60% - 强调文字颜色 5 2 4 2" xfId="11141"/>
    <cellStyle name="60% - 强调文字颜色 5 2 4 20" xfId="11142"/>
    <cellStyle name="60% - 强调文字颜色 5 2 4 21" xfId="11143"/>
    <cellStyle name="60% - 强调文字颜色 5 2 4 22" xfId="11144"/>
    <cellStyle name="60% - 强调文字颜色 5 2 4 23" xfId="11145"/>
    <cellStyle name="60% - 强调文字颜色 5 2 4 24" xfId="11146"/>
    <cellStyle name="60% - 强调文字颜色 5 2 4 25" xfId="11147"/>
    <cellStyle name="60% - 强调文字颜色 5 2 4 26" xfId="11148"/>
    <cellStyle name="60% - 强调文字颜色 5 2 4 27" xfId="11149"/>
    <cellStyle name="60% - 强调文字颜色 5 2 4 3" xfId="11150"/>
    <cellStyle name="60% - 强调文字颜色 5 2 4 4" xfId="11151"/>
    <cellStyle name="60% - 强调文字颜色 5 2 4 5" xfId="11152"/>
    <cellStyle name="60% - 强调文字颜色 5 2 4 6" xfId="11153"/>
    <cellStyle name="60% - 强调文字颜色 5 2 4 7" xfId="11154"/>
    <cellStyle name="60% - 强调文字颜色 5 2 4 8" xfId="11155"/>
    <cellStyle name="60% - 强调文字颜色 5 2 4 9" xfId="11156"/>
    <cellStyle name="60% - 强调文字颜色 5 2 5" xfId="11157"/>
    <cellStyle name="60% - 强调文字颜色 5 2 6" xfId="11158"/>
    <cellStyle name="60% - 强调文字颜色 5 2 7" xfId="11159"/>
    <cellStyle name="60% - 强调文字颜色 5 2 8" xfId="11160"/>
    <cellStyle name="60% - 强调文字颜色 5 2 9" xfId="11161"/>
    <cellStyle name="60% - 强调文字颜色 5 20" xfId="11162"/>
    <cellStyle name="60% - 强调文字颜色 5 21" xfId="11163"/>
    <cellStyle name="60% - 强调文字颜色 5 22" xfId="11164"/>
    <cellStyle name="60% - 强调文字颜色 5 23" xfId="11165"/>
    <cellStyle name="60% - 强调文字颜色 5 24" xfId="11166"/>
    <cellStyle name="60% - 强调文字颜色 5 25" xfId="11167"/>
    <cellStyle name="60% - 强调文字颜色 5 26" xfId="11168"/>
    <cellStyle name="60% - 强调文字颜色 5 27" xfId="11169"/>
    <cellStyle name="60% - 强调文字颜色 5 28" xfId="11170"/>
    <cellStyle name="60% - 强调文字颜色 5 29" xfId="11171"/>
    <cellStyle name="60% - 强调文字颜色 5 3" xfId="11172"/>
    <cellStyle name="60% - 强调文字颜色 5 3 10" xfId="11173"/>
    <cellStyle name="60% - 强调文字颜色 5 3 11" xfId="11174"/>
    <cellStyle name="60% - 强调文字颜色 5 3 12" xfId="11175"/>
    <cellStyle name="60% - 强调文字颜色 5 3 13" xfId="11176"/>
    <cellStyle name="60% - 强调文字颜色 5 3 14" xfId="11177"/>
    <cellStyle name="60% - 强调文字颜色 5 3 15" xfId="11178"/>
    <cellStyle name="60% - 强调文字颜色 5 3 16" xfId="11179"/>
    <cellStyle name="60% - 强调文字颜色 5 3 17" xfId="11180"/>
    <cellStyle name="60% - 强调文字颜色 5 3 18" xfId="11181"/>
    <cellStyle name="60% - 强调文字颜色 5 3 19" xfId="11182"/>
    <cellStyle name="60% - 强调文字颜色 5 3 2" xfId="11183"/>
    <cellStyle name="60% - 强调文字颜色 5 3 2 10" xfId="11184"/>
    <cellStyle name="60% - 强调文字颜色 5 3 2 11" xfId="11185"/>
    <cellStyle name="60% - 强调文字颜色 5 3 2 12" xfId="11186"/>
    <cellStyle name="60% - 强调文字颜色 5 3 2 13" xfId="11187"/>
    <cellStyle name="60% - 强调文字颜色 5 3 2 14" xfId="11188"/>
    <cellStyle name="60% - 强调文字颜色 5 3 2 15" xfId="11189"/>
    <cellStyle name="60% - 强调文字颜色 5 3 2 16" xfId="11190"/>
    <cellStyle name="60% - 强调文字颜色 5 3 2 17" xfId="11191"/>
    <cellStyle name="60% - 强调文字颜色 5 3 2 18" xfId="11192"/>
    <cellStyle name="60% - 强调文字颜色 5 3 2 19" xfId="11193"/>
    <cellStyle name="60% - 强调文字颜色 5 3 2 2" xfId="11194"/>
    <cellStyle name="60% - 强调文字颜色 5 3 2 20" xfId="11195"/>
    <cellStyle name="60% - 强调文字颜色 5 3 2 21" xfId="11196"/>
    <cellStyle name="60% - 强调文字颜色 5 3 2 22" xfId="11197"/>
    <cellStyle name="60% - 强调文字颜色 5 3 2 23" xfId="11198"/>
    <cellStyle name="60% - 强调文字颜色 5 3 2 24" xfId="11199"/>
    <cellStyle name="60% - 强调文字颜色 5 3 2 25" xfId="11200"/>
    <cellStyle name="60% - 强调文字颜色 5 3 2 26" xfId="11201"/>
    <cellStyle name="60% - 强调文字颜色 5 3 2 27" xfId="11202"/>
    <cellStyle name="60% - 强调文字颜色 5 3 2 3" xfId="11203"/>
    <cellStyle name="60% - 强调文字颜色 5 3 2 4" xfId="11204"/>
    <cellStyle name="60% - 强调文字颜色 5 3 2 5" xfId="11205"/>
    <cellStyle name="60% - 强调文字颜色 5 3 2 6" xfId="11206"/>
    <cellStyle name="60% - 强调文字颜色 5 3 2 7" xfId="11207"/>
    <cellStyle name="60% - 强调文字颜色 5 3 2 8" xfId="11208"/>
    <cellStyle name="60% - 强调文字颜色 5 3 2 9" xfId="11209"/>
    <cellStyle name="60% - 强调文字颜色 5 3 20" xfId="11210"/>
    <cellStyle name="60% - 强调文字颜色 5 3 21" xfId="11211"/>
    <cellStyle name="60% - 强调文字颜色 5 3 22" xfId="11212"/>
    <cellStyle name="60% - 强调文字颜色 5 3 23" xfId="11213"/>
    <cellStyle name="60% - 强调文字颜色 5 3 24" xfId="11214"/>
    <cellStyle name="60% - 强调文字颜色 5 3 25" xfId="11215"/>
    <cellStyle name="60% - 强调文字颜色 5 3 26" xfId="11216"/>
    <cellStyle name="60% - 强调文字颜色 5 3 27" xfId="11217"/>
    <cellStyle name="60% - 强调文字颜色 5 3 28" xfId="11218"/>
    <cellStyle name="60% - 强调文字颜色 5 3 3" xfId="11219"/>
    <cellStyle name="60% - 强调文字颜色 5 3 4" xfId="11220"/>
    <cellStyle name="60% - 强调文字颜色 5 3 5" xfId="11221"/>
    <cellStyle name="60% - 强调文字颜色 5 3 6" xfId="11222"/>
    <cellStyle name="60% - 强调文字颜色 5 3 7" xfId="11223"/>
    <cellStyle name="60% - 强调文字颜色 5 3 8" xfId="11224"/>
    <cellStyle name="60% - 强调文字颜色 5 3 9" xfId="11225"/>
    <cellStyle name="60% - 强调文字颜色 5 30" xfId="11226"/>
    <cellStyle name="60% - 强调文字颜色 5 31" xfId="11227"/>
    <cellStyle name="60% - 强调文字颜色 5 32" xfId="11228"/>
    <cellStyle name="60% - 强调文字颜色 5 33" xfId="11229"/>
    <cellStyle name="60% - 强调文字颜色 5 34" xfId="11230"/>
    <cellStyle name="60% - 强调文字颜色 5 35" xfId="11231"/>
    <cellStyle name="60% - 强调文字颜色 5 36" xfId="11232"/>
    <cellStyle name="60% - 强调文字颜色 5 37" xfId="11233"/>
    <cellStyle name="60% - 强调文字颜色 5 38" xfId="11234"/>
    <cellStyle name="60% - 强调文字颜色 5 39" xfId="11235"/>
    <cellStyle name="60% - 强调文字颜色 5 4" xfId="11236"/>
    <cellStyle name="60% - 强调文字颜色 5 4 10" xfId="11237"/>
    <cellStyle name="60% - 强调文字颜色 5 4 11" xfId="11238"/>
    <cellStyle name="60% - 强调文字颜色 5 4 12" xfId="11239"/>
    <cellStyle name="60% - 强调文字颜色 5 4 13" xfId="11240"/>
    <cellStyle name="60% - 强调文字颜色 5 4 14" xfId="11241"/>
    <cellStyle name="60% - 强调文字颜色 5 4 15" xfId="11242"/>
    <cellStyle name="60% - 强调文字颜色 5 4 16" xfId="11243"/>
    <cellStyle name="60% - 强调文字颜色 5 4 17" xfId="11244"/>
    <cellStyle name="60% - 强调文字颜色 5 4 18" xfId="11245"/>
    <cellStyle name="60% - 强调文字颜色 5 4 19" xfId="11246"/>
    <cellStyle name="60% - 强调文字颜色 5 4 2" xfId="11247"/>
    <cellStyle name="60% - 强调文字颜色 5 4 2 10" xfId="11248"/>
    <cellStyle name="60% - 强调文字颜色 5 4 2 11" xfId="11249"/>
    <cellStyle name="60% - 强调文字颜色 5 4 2 12" xfId="11250"/>
    <cellStyle name="60% - 强调文字颜色 5 4 2 13" xfId="11251"/>
    <cellStyle name="60% - 强调文字颜色 5 4 2 14" xfId="11252"/>
    <cellStyle name="60% - 强调文字颜色 5 4 2 15" xfId="11253"/>
    <cellStyle name="60% - 强调文字颜色 5 4 2 16" xfId="11254"/>
    <cellStyle name="60% - 强调文字颜色 5 4 2 17" xfId="11255"/>
    <cellStyle name="60% - 强调文字颜色 5 4 2 18" xfId="11256"/>
    <cellStyle name="60% - 强调文字颜色 5 4 2 19" xfId="11257"/>
    <cellStyle name="60% - 强调文字颜色 5 4 2 2" xfId="11258"/>
    <cellStyle name="60% - 强调文字颜色 5 4 2 20" xfId="11259"/>
    <cellStyle name="60% - 强调文字颜色 5 4 2 21" xfId="11260"/>
    <cellStyle name="60% - 强调文字颜色 5 4 2 22" xfId="11261"/>
    <cellStyle name="60% - 强调文字颜色 5 4 2 23" xfId="11262"/>
    <cellStyle name="60% - 强调文字颜色 5 4 2 24" xfId="11263"/>
    <cellStyle name="60% - 强调文字颜色 5 4 2 25" xfId="11264"/>
    <cellStyle name="60% - 强调文字颜色 5 4 2 26" xfId="11265"/>
    <cellStyle name="60% - 强调文字颜色 5 4 2 27" xfId="11266"/>
    <cellStyle name="60% - 强调文字颜色 5 4 2 3" xfId="11267"/>
    <cellStyle name="60% - 强调文字颜色 5 4 2 4" xfId="11268"/>
    <cellStyle name="60% - 强调文字颜色 5 4 2 5" xfId="11269"/>
    <cellStyle name="60% - 强调文字颜色 5 4 2 6" xfId="11270"/>
    <cellStyle name="60% - 强调文字颜色 5 4 2 7" xfId="11271"/>
    <cellStyle name="60% - 强调文字颜色 5 4 2 8" xfId="11272"/>
    <cellStyle name="60% - 强调文字颜色 5 4 2 9" xfId="11273"/>
    <cellStyle name="60% - 强调文字颜色 5 4 20" xfId="11274"/>
    <cellStyle name="60% - 强调文字颜色 5 4 21" xfId="11275"/>
    <cellStyle name="60% - 强调文字颜色 5 4 22" xfId="11276"/>
    <cellStyle name="60% - 强调文字颜色 5 4 23" xfId="11277"/>
    <cellStyle name="60% - 强调文字颜色 5 4 24" xfId="11278"/>
    <cellStyle name="60% - 强调文字颜色 5 4 25" xfId="11279"/>
    <cellStyle name="60% - 强调文字颜色 5 4 26" xfId="11280"/>
    <cellStyle name="60% - 强调文字颜色 5 4 27" xfId="11281"/>
    <cellStyle name="60% - 强调文字颜色 5 4 28" xfId="11282"/>
    <cellStyle name="60% - 强调文字颜色 5 4 3" xfId="11283"/>
    <cellStyle name="60% - 强调文字颜色 5 4 4" xfId="11284"/>
    <cellStyle name="60% - 强调文字颜色 5 4 5" xfId="11285"/>
    <cellStyle name="60% - 强调文字颜色 5 4 6" xfId="11286"/>
    <cellStyle name="60% - 强调文字颜色 5 4 7" xfId="11287"/>
    <cellStyle name="60% - 强调文字颜色 5 4 8" xfId="11288"/>
    <cellStyle name="60% - 强调文字颜色 5 4 9" xfId="11289"/>
    <cellStyle name="60% - 强调文字颜色 5 40" xfId="11290"/>
    <cellStyle name="60% - 强调文字颜色 5 5" xfId="11291"/>
    <cellStyle name="60% - 强调文字颜色 5 5 10" xfId="11292"/>
    <cellStyle name="60% - 强调文字颜色 5 5 11" xfId="11293"/>
    <cellStyle name="60% - 强调文字颜色 5 5 12" xfId="11294"/>
    <cellStyle name="60% - 强调文字颜色 5 5 13" xfId="11295"/>
    <cellStyle name="60% - 强调文字颜色 5 5 14" xfId="11296"/>
    <cellStyle name="60% - 强调文字颜色 5 5 15" xfId="11297"/>
    <cellStyle name="60% - 强调文字颜色 5 5 16" xfId="11298"/>
    <cellStyle name="60% - 强调文字颜色 5 5 17" xfId="11299"/>
    <cellStyle name="60% - 强调文字颜色 5 5 18" xfId="11300"/>
    <cellStyle name="60% - 强调文字颜色 5 5 19" xfId="11301"/>
    <cellStyle name="60% - 强调文字颜色 5 5 2" xfId="11302"/>
    <cellStyle name="60% - 强调文字颜色 5 5 2 10" xfId="11303"/>
    <cellStyle name="60% - 强调文字颜色 5 5 2 11" xfId="11304"/>
    <cellStyle name="60% - 强调文字颜色 5 5 2 12" xfId="11305"/>
    <cellStyle name="60% - 强调文字颜色 5 5 2 13" xfId="11306"/>
    <cellStyle name="60% - 强调文字颜色 5 5 2 14" xfId="11307"/>
    <cellStyle name="60% - 强调文字颜色 5 5 2 15" xfId="11308"/>
    <cellStyle name="60% - 强调文字颜色 5 5 2 16" xfId="11309"/>
    <cellStyle name="60% - 强调文字颜色 5 5 2 17" xfId="11310"/>
    <cellStyle name="60% - 强调文字颜色 5 5 2 18" xfId="11311"/>
    <cellStyle name="60% - 强调文字颜色 5 5 2 19" xfId="11312"/>
    <cellStyle name="60% - 强调文字颜色 5 5 2 2" xfId="11313"/>
    <cellStyle name="60% - 强调文字颜色 5 5 2 20" xfId="11314"/>
    <cellStyle name="60% - 强调文字颜色 5 5 2 21" xfId="11315"/>
    <cellStyle name="60% - 强调文字颜色 5 5 2 22" xfId="11316"/>
    <cellStyle name="60% - 强调文字颜色 5 5 2 23" xfId="11317"/>
    <cellStyle name="60% - 强调文字颜色 5 5 2 24" xfId="11318"/>
    <cellStyle name="60% - 强调文字颜色 5 5 2 25" xfId="11319"/>
    <cellStyle name="60% - 强调文字颜色 5 5 2 26" xfId="11320"/>
    <cellStyle name="60% - 强调文字颜色 5 5 2 27" xfId="11321"/>
    <cellStyle name="60% - 强调文字颜色 5 5 2 3" xfId="11322"/>
    <cellStyle name="60% - 强调文字颜色 5 5 2 4" xfId="11323"/>
    <cellStyle name="60% - 强调文字颜色 5 5 2 5" xfId="11324"/>
    <cellStyle name="60% - 强调文字颜色 5 5 2 6" xfId="11325"/>
    <cellStyle name="60% - 强调文字颜色 5 5 2 7" xfId="11326"/>
    <cellStyle name="60% - 强调文字颜色 5 5 2 8" xfId="11327"/>
    <cellStyle name="60% - 强调文字颜色 5 5 2 9" xfId="11328"/>
    <cellStyle name="60% - 强调文字颜色 5 5 20" xfId="11329"/>
    <cellStyle name="60% - 强调文字颜色 5 5 21" xfId="11330"/>
    <cellStyle name="60% - 强调文字颜色 5 5 22" xfId="11331"/>
    <cellStyle name="60% - 强调文字颜色 5 5 23" xfId="11332"/>
    <cellStyle name="60% - 强调文字颜色 5 5 24" xfId="11333"/>
    <cellStyle name="60% - 强调文字颜色 5 5 25" xfId="11334"/>
    <cellStyle name="60% - 强调文字颜色 5 5 26" xfId="11335"/>
    <cellStyle name="60% - 强调文字颜色 5 5 27" xfId="11336"/>
    <cellStyle name="60% - 强调文字颜色 5 5 28" xfId="11337"/>
    <cellStyle name="60% - 强调文字颜色 5 5 3" xfId="11338"/>
    <cellStyle name="60% - 强调文字颜色 5 5 4" xfId="11339"/>
    <cellStyle name="60% - 强调文字颜色 5 5 5" xfId="11340"/>
    <cellStyle name="60% - 强调文字颜色 5 5 6" xfId="11341"/>
    <cellStyle name="60% - 强调文字颜色 5 5 7" xfId="11342"/>
    <cellStyle name="60% - 强调文字颜色 5 5 8" xfId="11343"/>
    <cellStyle name="60% - 强调文字颜色 5 5 9" xfId="11344"/>
    <cellStyle name="60% - 强调文字颜色 5 6" xfId="11345"/>
    <cellStyle name="60% - 强调文字颜色 5 6 10" xfId="11346"/>
    <cellStyle name="60% - 强调文字颜色 5 6 11" xfId="11347"/>
    <cellStyle name="60% - 强调文字颜色 5 6 12" xfId="11348"/>
    <cellStyle name="60% - 强调文字颜色 5 6 13" xfId="11349"/>
    <cellStyle name="60% - 强调文字颜色 5 6 14" xfId="11350"/>
    <cellStyle name="60% - 强调文字颜色 5 6 15" xfId="11351"/>
    <cellStyle name="60% - 强调文字颜色 5 6 16" xfId="11352"/>
    <cellStyle name="60% - 强调文字颜色 5 6 17" xfId="11353"/>
    <cellStyle name="60% - 强调文字颜色 5 6 18" xfId="11354"/>
    <cellStyle name="60% - 强调文字颜色 5 6 19" xfId="11355"/>
    <cellStyle name="60% - 强调文字颜色 5 6 2" xfId="11356"/>
    <cellStyle name="60% - 强调文字颜色 5 6 2 10" xfId="11357"/>
    <cellStyle name="60% - 强调文字颜色 5 6 2 11" xfId="11358"/>
    <cellStyle name="60% - 强调文字颜色 5 6 2 12" xfId="11359"/>
    <cellStyle name="60% - 强调文字颜色 5 6 2 13" xfId="11360"/>
    <cellStyle name="60% - 强调文字颜色 5 6 2 14" xfId="11361"/>
    <cellStyle name="60% - 强调文字颜色 5 6 2 15" xfId="11362"/>
    <cellStyle name="60% - 强调文字颜色 5 6 2 16" xfId="11363"/>
    <cellStyle name="60% - 强调文字颜色 5 6 2 17" xfId="11364"/>
    <cellStyle name="60% - 强调文字颜色 5 6 2 18" xfId="11365"/>
    <cellStyle name="60% - 强调文字颜色 5 6 2 19" xfId="11366"/>
    <cellStyle name="60% - 强调文字颜色 5 6 2 2" xfId="11367"/>
    <cellStyle name="60% - 强调文字颜色 5 6 2 20" xfId="11368"/>
    <cellStyle name="60% - 强调文字颜色 5 6 2 21" xfId="11369"/>
    <cellStyle name="60% - 强调文字颜色 5 6 2 22" xfId="11370"/>
    <cellStyle name="60% - 强调文字颜色 5 6 2 23" xfId="11371"/>
    <cellStyle name="60% - 强调文字颜色 5 6 2 24" xfId="11372"/>
    <cellStyle name="60% - 强调文字颜色 5 6 2 25" xfId="11373"/>
    <cellStyle name="60% - 强调文字颜色 5 6 2 26" xfId="11374"/>
    <cellStyle name="60% - 强调文字颜色 5 6 2 27" xfId="11375"/>
    <cellStyle name="60% - 强调文字颜色 5 6 2 3" xfId="11376"/>
    <cellStyle name="60% - 强调文字颜色 5 6 2 4" xfId="11377"/>
    <cellStyle name="60% - 强调文字颜色 5 6 2 5" xfId="11378"/>
    <cellStyle name="60% - 强调文字颜色 5 6 2 6" xfId="11379"/>
    <cellStyle name="60% - 强调文字颜色 5 6 2 7" xfId="11380"/>
    <cellStyle name="60% - 强调文字颜色 5 6 2 8" xfId="11381"/>
    <cellStyle name="60% - 强调文字颜色 5 6 2 9" xfId="11382"/>
    <cellStyle name="60% - 强调文字颜色 5 6 20" xfId="11383"/>
    <cellStyle name="60% - 强调文字颜色 5 6 21" xfId="11384"/>
    <cellStyle name="60% - 强调文字颜色 5 6 22" xfId="11385"/>
    <cellStyle name="60% - 强调文字颜色 5 6 23" xfId="11386"/>
    <cellStyle name="60% - 强调文字颜色 5 6 24" xfId="11387"/>
    <cellStyle name="60% - 强调文字颜色 5 6 25" xfId="11388"/>
    <cellStyle name="60% - 强调文字颜色 5 6 26" xfId="11389"/>
    <cellStyle name="60% - 强调文字颜色 5 6 27" xfId="11390"/>
    <cellStyle name="60% - 强调文字颜色 5 6 28" xfId="11391"/>
    <cellStyle name="60% - 强调文字颜色 5 6 3" xfId="11392"/>
    <cellStyle name="60% - 强调文字颜色 5 6 4" xfId="11393"/>
    <cellStyle name="60% - 强调文字颜色 5 6 5" xfId="11394"/>
    <cellStyle name="60% - 强调文字颜色 5 6 6" xfId="11395"/>
    <cellStyle name="60% - 强调文字颜色 5 6 7" xfId="11396"/>
    <cellStyle name="60% - 强调文字颜色 5 6 8" xfId="11397"/>
    <cellStyle name="60% - 强调文字颜色 5 6 9" xfId="11398"/>
    <cellStyle name="60% - 强调文字颜色 5 7" xfId="11399"/>
    <cellStyle name="60% - 强调文字颜色 5 7 10" xfId="11400"/>
    <cellStyle name="60% - 强调文字颜色 5 7 11" xfId="11401"/>
    <cellStyle name="60% - 强调文字颜色 5 7 12" xfId="11402"/>
    <cellStyle name="60% - 强调文字颜色 5 7 13" xfId="11403"/>
    <cellStyle name="60% - 强调文字颜色 5 7 14" xfId="11404"/>
    <cellStyle name="60% - 强调文字颜色 5 7 15" xfId="11405"/>
    <cellStyle name="60% - 强调文字颜色 5 7 16" xfId="11406"/>
    <cellStyle name="60% - 强调文字颜色 5 7 17" xfId="11407"/>
    <cellStyle name="60% - 强调文字颜色 5 7 18" xfId="11408"/>
    <cellStyle name="60% - 强调文字颜色 5 7 19" xfId="11409"/>
    <cellStyle name="60% - 强调文字颜色 5 7 2" xfId="11410"/>
    <cellStyle name="60% - 强调文字颜色 5 7 2 10" xfId="11411"/>
    <cellStyle name="60% - 强调文字颜色 5 7 2 11" xfId="11412"/>
    <cellStyle name="60% - 强调文字颜色 5 7 2 12" xfId="11413"/>
    <cellStyle name="60% - 强调文字颜色 5 7 2 13" xfId="11414"/>
    <cellStyle name="60% - 强调文字颜色 5 7 2 14" xfId="11415"/>
    <cellStyle name="60% - 强调文字颜色 5 7 2 15" xfId="11416"/>
    <cellStyle name="60% - 强调文字颜色 5 7 2 16" xfId="11417"/>
    <cellStyle name="60% - 强调文字颜色 5 7 2 17" xfId="11418"/>
    <cellStyle name="60% - 强调文字颜色 5 7 2 18" xfId="11419"/>
    <cellStyle name="60% - 强调文字颜色 5 7 2 19" xfId="11420"/>
    <cellStyle name="60% - 强调文字颜色 5 7 2 2" xfId="11421"/>
    <cellStyle name="60% - 强调文字颜色 5 7 2 20" xfId="11422"/>
    <cellStyle name="60% - 强调文字颜色 5 7 2 21" xfId="11423"/>
    <cellStyle name="60% - 强调文字颜色 5 7 2 22" xfId="11424"/>
    <cellStyle name="60% - 强调文字颜色 5 7 2 23" xfId="11425"/>
    <cellStyle name="60% - 强调文字颜色 5 7 2 24" xfId="11426"/>
    <cellStyle name="60% - 强调文字颜色 5 7 2 25" xfId="11427"/>
    <cellStyle name="60% - 强调文字颜色 5 7 2 26" xfId="11428"/>
    <cellStyle name="60% - 强调文字颜色 5 7 2 27" xfId="11429"/>
    <cellStyle name="60% - 强调文字颜色 5 7 2 3" xfId="11430"/>
    <cellStyle name="60% - 强调文字颜色 5 7 2 4" xfId="11431"/>
    <cellStyle name="60% - 强调文字颜色 5 7 2 5" xfId="11432"/>
    <cellStyle name="60% - 强调文字颜色 5 7 2 6" xfId="11433"/>
    <cellStyle name="60% - 强调文字颜色 5 7 2 7" xfId="11434"/>
    <cellStyle name="60% - 强调文字颜色 5 7 2 8" xfId="11435"/>
    <cellStyle name="60% - 强调文字颜色 5 7 2 9" xfId="11436"/>
    <cellStyle name="60% - 强调文字颜色 5 7 20" xfId="11437"/>
    <cellStyle name="60% - 强调文字颜色 5 7 21" xfId="11438"/>
    <cellStyle name="60% - 强调文字颜色 5 7 22" xfId="11439"/>
    <cellStyle name="60% - 强调文字颜色 5 7 23" xfId="11440"/>
    <cellStyle name="60% - 强调文字颜色 5 7 24" xfId="11441"/>
    <cellStyle name="60% - 强调文字颜色 5 7 25" xfId="11442"/>
    <cellStyle name="60% - 强调文字颜色 5 7 26" xfId="11443"/>
    <cellStyle name="60% - 强调文字颜色 5 7 27" xfId="11444"/>
    <cellStyle name="60% - 强调文字颜色 5 7 28" xfId="11445"/>
    <cellStyle name="60% - 强调文字颜色 5 7 3" xfId="11446"/>
    <cellStyle name="60% - 强调文字颜色 5 7 4" xfId="11447"/>
    <cellStyle name="60% - 强调文字颜色 5 7 5" xfId="11448"/>
    <cellStyle name="60% - 强调文字颜色 5 7 6" xfId="11449"/>
    <cellStyle name="60% - 强调文字颜色 5 7 7" xfId="11450"/>
    <cellStyle name="60% - 强调文字颜色 5 7 8" xfId="11451"/>
    <cellStyle name="60% - 强调文字颜色 5 7 9" xfId="11452"/>
    <cellStyle name="60% - 强调文字颜色 5 8" xfId="11453"/>
    <cellStyle name="60% - 强调文字颜色 5 8 10" xfId="11454"/>
    <cellStyle name="60% - 强调文字颜色 5 8 11" xfId="11455"/>
    <cellStyle name="60% - 强调文字颜色 5 8 12" xfId="11456"/>
    <cellStyle name="60% - 强调文字颜色 5 8 13" xfId="11457"/>
    <cellStyle name="60% - 强调文字颜色 5 8 14" xfId="11458"/>
    <cellStyle name="60% - 强调文字颜色 5 8 15" xfId="11459"/>
    <cellStyle name="60% - 强调文字颜色 5 8 16" xfId="11460"/>
    <cellStyle name="60% - 强调文字颜色 5 8 17" xfId="11461"/>
    <cellStyle name="60% - 强调文字颜色 5 8 18" xfId="11462"/>
    <cellStyle name="60% - 强调文字颜色 5 8 19" xfId="11463"/>
    <cellStyle name="60% - 强调文字颜色 5 8 2" xfId="11464"/>
    <cellStyle name="60% - 强调文字颜色 5 8 2 10" xfId="11465"/>
    <cellStyle name="60% - 强调文字颜色 5 8 2 11" xfId="11466"/>
    <cellStyle name="60% - 强调文字颜色 5 8 2 12" xfId="11467"/>
    <cellStyle name="60% - 强调文字颜色 5 8 2 13" xfId="11468"/>
    <cellStyle name="60% - 强调文字颜色 5 8 2 14" xfId="11469"/>
    <cellStyle name="60% - 强调文字颜色 5 8 2 15" xfId="11470"/>
    <cellStyle name="60% - 强调文字颜色 5 8 2 16" xfId="11471"/>
    <cellStyle name="60% - 强调文字颜色 5 8 2 17" xfId="11472"/>
    <cellStyle name="60% - 强调文字颜色 5 8 2 18" xfId="11473"/>
    <cellStyle name="60% - 强调文字颜色 5 8 2 19" xfId="11474"/>
    <cellStyle name="60% - 强调文字颜色 5 8 2 2" xfId="11475"/>
    <cellStyle name="60% - 强调文字颜色 5 8 2 20" xfId="11476"/>
    <cellStyle name="60% - 强调文字颜色 5 8 2 21" xfId="11477"/>
    <cellStyle name="60% - 强调文字颜色 5 8 2 22" xfId="11478"/>
    <cellStyle name="60% - 强调文字颜色 5 8 2 23" xfId="11479"/>
    <cellStyle name="60% - 强调文字颜色 5 8 2 24" xfId="11480"/>
    <cellStyle name="60% - 强调文字颜色 5 8 2 25" xfId="11481"/>
    <cellStyle name="60% - 强调文字颜色 5 8 2 26" xfId="11482"/>
    <cellStyle name="60% - 强调文字颜色 5 8 2 27" xfId="11483"/>
    <cellStyle name="60% - 强调文字颜色 5 8 2 3" xfId="11484"/>
    <cellStyle name="60% - 强调文字颜色 5 8 2 4" xfId="11485"/>
    <cellStyle name="60% - 强调文字颜色 5 8 2 5" xfId="11486"/>
    <cellStyle name="60% - 强调文字颜色 5 8 2 6" xfId="11487"/>
    <cellStyle name="60% - 强调文字颜色 5 8 2 7" xfId="11488"/>
    <cellStyle name="60% - 强调文字颜色 5 8 2 8" xfId="11489"/>
    <cellStyle name="60% - 强调文字颜色 5 8 2 9" xfId="11490"/>
    <cellStyle name="60% - 强调文字颜色 5 8 20" xfId="11491"/>
    <cellStyle name="60% - 强调文字颜色 5 8 21" xfId="11492"/>
    <cellStyle name="60% - 强调文字颜色 5 8 22" xfId="11493"/>
    <cellStyle name="60% - 强调文字颜色 5 8 23" xfId="11494"/>
    <cellStyle name="60% - 强调文字颜色 5 8 24" xfId="11495"/>
    <cellStyle name="60% - 强调文字颜色 5 8 25" xfId="11496"/>
    <cellStyle name="60% - 强调文字颜色 5 8 26" xfId="11497"/>
    <cellStyle name="60% - 强调文字颜色 5 8 27" xfId="11498"/>
    <cellStyle name="60% - 强调文字颜色 5 8 28" xfId="11499"/>
    <cellStyle name="60% - 强调文字颜色 5 8 3" xfId="11500"/>
    <cellStyle name="60% - 强调文字颜色 5 8 4" xfId="11501"/>
    <cellStyle name="60% - 强调文字颜色 5 8 5" xfId="11502"/>
    <cellStyle name="60% - 强调文字颜色 5 8 6" xfId="11503"/>
    <cellStyle name="60% - 强调文字颜色 5 8 7" xfId="11504"/>
    <cellStyle name="60% - 强调文字颜色 5 8 8" xfId="11505"/>
    <cellStyle name="60% - 强调文字颜色 5 8 9" xfId="11506"/>
    <cellStyle name="60% - 强调文字颜色 5 9" xfId="11507"/>
    <cellStyle name="60% - 强调文字颜色 5 9 10" xfId="11508"/>
    <cellStyle name="60% - 强调文字颜色 5 9 11" xfId="11509"/>
    <cellStyle name="60% - 强调文字颜色 5 9 12" xfId="11510"/>
    <cellStyle name="60% - 强调文字颜色 5 9 13" xfId="11511"/>
    <cellStyle name="60% - 强调文字颜色 5 9 14" xfId="11512"/>
    <cellStyle name="60% - 强调文字颜色 5 9 15" xfId="11513"/>
    <cellStyle name="60% - 强调文字颜色 5 9 16" xfId="11514"/>
    <cellStyle name="60% - 强调文字颜色 5 9 17" xfId="11515"/>
    <cellStyle name="60% - 强调文字颜色 5 9 18" xfId="11516"/>
    <cellStyle name="60% - 强调文字颜色 5 9 19" xfId="11517"/>
    <cellStyle name="60% - 强调文字颜色 5 9 2" xfId="11518"/>
    <cellStyle name="60% - 强调文字颜色 5 9 2 10" xfId="11519"/>
    <cellStyle name="60% - 强调文字颜色 5 9 2 11" xfId="11520"/>
    <cellStyle name="60% - 强调文字颜色 5 9 2 12" xfId="11521"/>
    <cellStyle name="60% - 强调文字颜色 5 9 2 13" xfId="11522"/>
    <cellStyle name="60% - 强调文字颜色 5 9 2 14" xfId="11523"/>
    <cellStyle name="60% - 强调文字颜色 5 9 2 15" xfId="11524"/>
    <cellStyle name="60% - 强调文字颜色 5 9 2 16" xfId="11525"/>
    <cellStyle name="60% - 强调文字颜色 5 9 2 17" xfId="11526"/>
    <cellStyle name="60% - 强调文字颜色 5 9 2 18" xfId="11527"/>
    <cellStyle name="60% - 强调文字颜色 5 9 2 19" xfId="11528"/>
    <cellStyle name="60% - 强调文字颜色 5 9 2 2" xfId="11529"/>
    <cellStyle name="60% - 强调文字颜色 5 9 2 20" xfId="11530"/>
    <cellStyle name="60% - 强调文字颜色 5 9 2 21" xfId="11531"/>
    <cellStyle name="60% - 强调文字颜色 5 9 2 22" xfId="11532"/>
    <cellStyle name="60% - 强调文字颜色 5 9 2 23" xfId="11533"/>
    <cellStyle name="60% - 强调文字颜色 5 9 2 24" xfId="11534"/>
    <cellStyle name="60% - 强调文字颜色 5 9 2 25" xfId="11535"/>
    <cellStyle name="60% - 强调文字颜色 5 9 2 26" xfId="11536"/>
    <cellStyle name="60% - 强调文字颜色 5 9 2 27" xfId="11537"/>
    <cellStyle name="60% - 强调文字颜色 5 9 2 3" xfId="11538"/>
    <cellStyle name="60% - 强调文字颜色 5 9 2 4" xfId="11539"/>
    <cellStyle name="60% - 强调文字颜色 5 9 2 5" xfId="11540"/>
    <cellStyle name="60% - 强调文字颜色 5 9 2 6" xfId="11541"/>
    <cellStyle name="60% - 强调文字颜色 5 9 2 7" xfId="11542"/>
    <cellStyle name="60% - 强调文字颜色 5 9 2 8" xfId="11543"/>
    <cellStyle name="60% - 强调文字颜色 5 9 2 9" xfId="11544"/>
    <cellStyle name="60% - 强调文字颜色 5 9 20" xfId="11545"/>
    <cellStyle name="60% - 强调文字颜色 5 9 21" xfId="11546"/>
    <cellStyle name="60% - 强调文字颜色 5 9 22" xfId="11547"/>
    <cellStyle name="60% - 强调文字颜色 5 9 23" xfId="11548"/>
    <cellStyle name="60% - 强调文字颜色 5 9 24" xfId="11549"/>
    <cellStyle name="60% - 强调文字颜色 5 9 25" xfId="11550"/>
    <cellStyle name="60% - 强调文字颜色 5 9 26" xfId="11551"/>
    <cellStyle name="60% - 强调文字颜色 5 9 27" xfId="11552"/>
    <cellStyle name="60% - 强调文字颜色 5 9 28" xfId="11553"/>
    <cellStyle name="60% - 强调文字颜色 5 9 3" xfId="11554"/>
    <cellStyle name="60% - 强调文字颜色 5 9 4" xfId="11555"/>
    <cellStyle name="60% - 强调文字颜色 5 9 5" xfId="11556"/>
    <cellStyle name="60% - 强调文字颜色 5 9 6" xfId="11557"/>
    <cellStyle name="60% - 强调文字颜色 5 9 7" xfId="11558"/>
    <cellStyle name="60% - 强调文字颜色 5 9 8" xfId="11559"/>
    <cellStyle name="60% - 强调文字颜色 5 9 9" xfId="11560"/>
    <cellStyle name="60% - 强调文字颜色 6 10" xfId="11561"/>
    <cellStyle name="60% - 强调文字颜色 6 10 10" xfId="11562"/>
    <cellStyle name="60% - 强调文字颜色 6 10 11" xfId="11563"/>
    <cellStyle name="60% - 强调文字颜色 6 10 12" xfId="11564"/>
    <cellStyle name="60% - 强调文字颜色 6 10 13" xfId="11565"/>
    <cellStyle name="60% - 强调文字颜色 6 10 14" xfId="11566"/>
    <cellStyle name="60% - 强调文字颜色 6 10 15" xfId="11567"/>
    <cellStyle name="60% - 强调文字颜色 6 10 16" xfId="11568"/>
    <cellStyle name="60% - 强调文字颜色 6 10 17" xfId="11569"/>
    <cellStyle name="60% - 强调文字颜色 6 10 18" xfId="11570"/>
    <cellStyle name="60% - 强调文字颜色 6 10 19" xfId="11571"/>
    <cellStyle name="60% - 强调文字颜色 6 10 2" xfId="11572"/>
    <cellStyle name="60% - 强调文字颜色 6 10 2 10" xfId="11573"/>
    <cellStyle name="60% - 强调文字颜色 6 10 2 11" xfId="11574"/>
    <cellStyle name="60% - 强调文字颜色 6 10 2 12" xfId="11575"/>
    <cellStyle name="60% - 强调文字颜色 6 10 2 13" xfId="11576"/>
    <cellStyle name="60% - 强调文字颜色 6 10 2 14" xfId="11577"/>
    <cellStyle name="60% - 强调文字颜色 6 10 2 15" xfId="11578"/>
    <cellStyle name="60% - 强调文字颜色 6 10 2 16" xfId="11579"/>
    <cellStyle name="60% - 强调文字颜色 6 10 2 17" xfId="11580"/>
    <cellStyle name="60% - 强调文字颜色 6 10 2 18" xfId="11581"/>
    <cellStyle name="60% - 强调文字颜色 6 10 2 19" xfId="11582"/>
    <cellStyle name="60% - 强调文字颜色 6 10 2 2" xfId="11583"/>
    <cellStyle name="60% - 强调文字颜色 6 10 2 20" xfId="11584"/>
    <cellStyle name="60% - 强调文字颜色 6 10 2 21" xfId="11585"/>
    <cellStyle name="60% - 强调文字颜色 6 10 2 22" xfId="11586"/>
    <cellStyle name="60% - 强调文字颜色 6 10 2 23" xfId="11587"/>
    <cellStyle name="60% - 强调文字颜色 6 10 2 24" xfId="11588"/>
    <cellStyle name="60% - 强调文字颜色 6 10 2 25" xfId="11589"/>
    <cellStyle name="60% - 强调文字颜色 6 10 2 26" xfId="11590"/>
    <cellStyle name="60% - 强调文字颜色 6 10 2 27" xfId="11591"/>
    <cellStyle name="60% - 强调文字颜色 6 10 2 3" xfId="11592"/>
    <cellStyle name="60% - 强调文字颜色 6 10 2 4" xfId="11593"/>
    <cellStyle name="60% - 强调文字颜色 6 10 2 5" xfId="11594"/>
    <cellStyle name="60% - 强调文字颜色 6 10 2 6" xfId="11595"/>
    <cellStyle name="60% - 强调文字颜色 6 10 2 7" xfId="11596"/>
    <cellStyle name="60% - 强调文字颜色 6 10 2 8" xfId="11597"/>
    <cellStyle name="60% - 强调文字颜色 6 10 2 9" xfId="11598"/>
    <cellStyle name="60% - 强调文字颜色 6 10 20" xfId="11599"/>
    <cellStyle name="60% - 强调文字颜色 6 10 21" xfId="11600"/>
    <cellStyle name="60% - 强调文字颜色 6 10 22" xfId="11601"/>
    <cellStyle name="60% - 强调文字颜色 6 10 23" xfId="11602"/>
    <cellStyle name="60% - 强调文字颜色 6 10 24" xfId="11603"/>
    <cellStyle name="60% - 强调文字颜色 6 10 25" xfId="11604"/>
    <cellStyle name="60% - 强调文字颜色 6 10 26" xfId="11605"/>
    <cellStyle name="60% - 强调文字颜色 6 10 27" xfId="11606"/>
    <cellStyle name="60% - 强调文字颜色 6 10 28" xfId="11607"/>
    <cellStyle name="60% - 强调文字颜色 6 10 3" xfId="11608"/>
    <cellStyle name="60% - 强调文字颜色 6 10 4" xfId="11609"/>
    <cellStyle name="60% - 强调文字颜色 6 10 5" xfId="11610"/>
    <cellStyle name="60% - 强调文字颜色 6 10 6" xfId="11611"/>
    <cellStyle name="60% - 强调文字颜色 6 10 7" xfId="11612"/>
    <cellStyle name="60% - 强调文字颜色 6 10 8" xfId="11613"/>
    <cellStyle name="60% - 强调文字颜色 6 10 9" xfId="11614"/>
    <cellStyle name="60% - 强调文字颜色 6 11" xfId="11615"/>
    <cellStyle name="60% - 强调文字颜色 6 11 10" xfId="11616"/>
    <cellStyle name="60% - 强调文字颜色 6 11 11" xfId="11617"/>
    <cellStyle name="60% - 强调文字颜色 6 11 12" xfId="11618"/>
    <cellStyle name="60% - 强调文字颜色 6 11 13" xfId="11619"/>
    <cellStyle name="60% - 强调文字颜色 6 11 14" xfId="11620"/>
    <cellStyle name="60% - 强调文字颜色 6 11 15" xfId="11621"/>
    <cellStyle name="60% - 强调文字颜色 6 11 16" xfId="11622"/>
    <cellStyle name="60% - 强调文字颜色 6 11 17" xfId="11623"/>
    <cellStyle name="60% - 强调文字颜色 6 11 18" xfId="11624"/>
    <cellStyle name="60% - 强调文字颜色 6 11 19" xfId="11625"/>
    <cellStyle name="60% - 强调文字颜色 6 11 2" xfId="11626"/>
    <cellStyle name="60% - 强调文字颜色 6 11 2 10" xfId="11627"/>
    <cellStyle name="60% - 强调文字颜色 6 11 2 11" xfId="11628"/>
    <cellStyle name="60% - 强调文字颜色 6 11 2 12" xfId="11629"/>
    <cellStyle name="60% - 强调文字颜色 6 11 2 13" xfId="11630"/>
    <cellStyle name="60% - 强调文字颜色 6 11 2 14" xfId="11631"/>
    <cellStyle name="60% - 强调文字颜色 6 11 2 15" xfId="11632"/>
    <cellStyle name="60% - 强调文字颜色 6 11 2 16" xfId="11633"/>
    <cellStyle name="60% - 强调文字颜色 6 11 2 17" xfId="11634"/>
    <cellStyle name="60% - 强调文字颜色 6 11 2 18" xfId="11635"/>
    <cellStyle name="60% - 强调文字颜色 6 11 2 19" xfId="11636"/>
    <cellStyle name="60% - 强调文字颜色 6 11 2 2" xfId="11637"/>
    <cellStyle name="60% - 强调文字颜色 6 11 2 20" xfId="11638"/>
    <cellStyle name="60% - 强调文字颜色 6 11 2 21" xfId="11639"/>
    <cellStyle name="60% - 强调文字颜色 6 11 2 22" xfId="11640"/>
    <cellStyle name="60% - 强调文字颜色 6 11 2 23" xfId="11641"/>
    <cellStyle name="60% - 强调文字颜色 6 11 2 24" xfId="11642"/>
    <cellStyle name="60% - 强调文字颜色 6 11 2 25" xfId="11643"/>
    <cellStyle name="60% - 强调文字颜色 6 11 2 26" xfId="11644"/>
    <cellStyle name="60% - 强调文字颜色 6 11 2 27" xfId="11645"/>
    <cellStyle name="60% - 强调文字颜色 6 11 2 3" xfId="11646"/>
    <cellStyle name="60% - 强调文字颜色 6 11 2 4" xfId="11647"/>
    <cellStyle name="60% - 强调文字颜色 6 11 2 5" xfId="11648"/>
    <cellStyle name="60% - 强调文字颜色 6 11 2 6" xfId="11649"/>
    <cellStyle name="60% - 强调文字颜色 6 11 2 7" xfId="11650"/>
    <cellStyle name="60% - 强调文字颜色 6 11 2 8" xfId="11651"/>
    <cellStyle name="60% - 强调文字颜色 6 11 2 9" xfId="11652"/>
    <cellStyle name="60% - 强调文字颜色 6 11 20" xfId="11653"/>
    <cellStyle name="60% - 强调文字颜色 6 11 21" xfId="11654"/>
    <cellStyle name="60% - 强调文字颜色 6 11 22" xfId="11655"/>
    <cellStyle name="60% - 强调文字颜色 6 11 23" xfId="11656"/>
    <cellStyle name="60% - 强调文字颜色 6 11 24" xfId="11657"/>
    <cellStyle name="60% - 强调文字颜色 6 11 25" xfId="11658"/>
    <cellStyle name="60% - 强调文字颜色 6 11 26" xfId="11659"/>
    <cellStyle name="60% - 强调文字颜色 6 11 27" xfId="11660"/>
    <cellStyle name="60% - 强调文字颜色 6 11 28" xfId="11661"/>
    <cellStyle name="60% - 强调文字颜色 6 11 3" xfId="11662"/>
    <cellStyle name="60% - 强调文字颜色 6 11 4" xfId="11663"/>
    <cellStyle name="60% - 强调文字颜色 6 11 5" xfId="11664"/>
    <cellStyle name="60% - 强调文字颜色 6 11 6" xfId="11665"/>
    <cellStyle name="60% - 强调文字颜色 6 11 7" xfId="11666"/>
    <cellStyle name="60% - 强调文字颜色 6 11 8" xfId="11667"/>
    <cellStyle name="60% - 强调文字颜色 6 11 9" xfId="11668"/>
    <cellStyle name="60% - 强调文字颜色 6 12" xfId="11669"/>
    <cellStyle name="60% - 强调文字颜色 6 13" xfId="11670"/>
    <cellStyle name="60% - 强调文字颜色 6 14" xfId="11671"/>
    <cellStyle name="60% - 强调文字颜色 6 15" xfId="11672"/>
    <cellStyle name="60% - 强调文字颜色 6 16" xfId="11673"/>
    <cellStyle name="60% - 强调文字颜色 6 17" xfId="11674"/>
    <cellStyle name="60% - 强调文字颜色 6 18" xfId="11675"/>
    <cellStyle name="60% - 强调文字颜色 6 19" xfId="11676"/>
    <cellStyle name="60% - 强调文字颜色 6 2" xfId="11677"/>
    <cellStyle name="60% - 强调文字颜色 6 2 10" xfId="11678"/>
    <cellStyle name="60% - 强调文字颜色 6 2 11" xfId="11679"/>
    <cellStyle name="60% - 强调文字颜色 6 2 12" xfId="11680"/>
    <cellStyle name="60% - 强调文字颜色 6 2 13" xfId="11681"/>
    <cellStyle name="60% - 强调文字颜色 6 2 14" xfId="11682"/>
    <cellStyle name="60% - 强调文字颜色 6 2 15" xfId="11683"/>
    <cellStyle name="60% - 强调文字颜色 6 2 16" xfId="11684"/>
    <cellStyle name="60% - 强调文字颜色 6 2 17" xfId="11685"/>
    <cellStyle name="60% - 强调文字颜色 6 2 18" xfId="11686"/>
    <cellStyle name="60% - 强调文字颜色 6 2 19" xfId="11687"/>
    <cellStyle name="60% - 强调文字颜色 6 2 2" xfId="11688"/>
    <cellStyle name="60% - 强调文字颜色 6 2 2 10" xfId="11689"/>
    <cellStyle name="60% - 强调文字颜色 6 2 2 11" xfId="11690"/>
    <cellStyle name="60% - 强调文字颜色 6 2 2 12" xfId="11691"/>
    <cellStyle name="60% - 强调文字颜色 6 2 2 13" xfId="11692"/>
    <cellStyle name="60% - 强调文字颜色 6 2 2 14" xfId="11693"/>
    <cellStyle name="60% - 强调文字颜色 6 2 2 15" xfId="11694"/>
    <cellStyle name="60% - 强调文字颜色 6 2 2 16" xfId="11695"/>
    <cellStyle name="60% - 强调文字颜色 6 2 2 17" xfId="11696"/>
    <cellStyle name="60% - 强调文字颜色 6 2 2 18" xfId="11697"/>
    <cellStyle name="60% - 强调文字颜色 6 2 2 19" xfId="11698"/>
    <cellStyle name="60% - 强调文字颜色 6 2 2 2" xfId="11699"/>
    <cellStyle name="60% - 强调文字颜色 6 2 2 2 10" xfId="11700"/>
    <cellStyle name="60% - 强调文字颜色 6 2 2 2 11" xfId="11701"/>
    <cellStyle name="60% - 强调文字颜色 6 2 2 2 12" xfId="11702"/>
    <cellStyle name="60% - 强调文字颜色 6 2 2 2 13" xfId="11703"/>
    <cellStyle name="60% - 强调文字颜色 6 2 2 2 14" xfId="11704"/>
    <cellStyle name="60% - 强调文字颜色 6 2 2 2 15" xfId="11705"/>
    <cellStyle name="60% - 强调文字颜色 6 2 2 2 16" xfId="11706"/>
    <cellStyle name="60% - 强调文字颜色 6 2 2 2 17" xfId="11707"/>
    <cellStyle name="60% - 强调文字颜色 6 2 2 2 18" xfId="11708"/>
    <cellStyle name="60% - 强调文字颜色 6 2 2 2 19" xfId="11709"/>
    <cellStyle name="60% - 强调文字颜色 6 2 2 2 2" xfId="11710"/>
    <cellStyle name="60% - 强调文字颜色 6 2 2 2 20" xfId="11711"/>
    <cellStyle name="60% - 强调文字颜色 6 2 2 2 21" xfId="11712"/>
    <cellStyle name="60% - 强调文字颜色 6 2 2 2 22" xfId="11713"/>
    <cellStyle name="60% - 强调文字颜色 6 2 2 2 23" xfId="11714"/>
    <cellStyle name="60% - 强调文字颜色 6 2 2 2 24" xfId="11715"/>
    <cellStyle name="60% - 强调文字颜色 6 2 2 2 25" xfId="11716"/>
    <cellStyle name="60% - 强调文字颜色 6 2 2 2 26" xfId="11717"/>
    <cellStyle name="60% - 强调文字颜色 6 2 2 2 27" xfId="11718"/>
    <cellStyle name="60% - 强调文字颜色 6 2 2 2 3" xfId="11719"/>
    <cellStyle name="60% - 强调文字颜色 6 2 2 2 4" xfId="11720"/>
    <cellStyle name="60% - 强调文字颜色 6 2 2 2 5" xfId="11721"/>
    <cellStyle name="60% - 强调文字颜色 6 2 2 2 6" xfId="11722"/>
    <cellStyle name="60% - 强调文字颜色 6 2 2 2 7" xfId="11723"/>
    <cellStyle name="60% - 强调文字颜色 6 2 2 2 8" xfId="11724"/>
    <cellStyle name="60% - 强调文字颜色 6 2 2 2 9" xfId="11725"/>
    <cellStyle name="60% - 强调文字颜色 6 2 2 20" xfId="11726"/>
    <cellStyle name="60% - 强调文字颜色 6 2 2 21" xfId="11727"/>
    <cellStyle name="60% - 强调文字颜色 6 2 2 22" xfId="11728"/>
    <cellStyle name="60% - 强调文字颜色 6 2 2 23" xfId="11729"/>
    <cellStyle name="60% - 强调文字颜色 6 2 2 24" xfId="11730"/>
    <cellStyle name="60% - 强调文字颜色 6 2 2 25" xfId="11731"/>
    <cellStyle name="60% - 强调文字颜色 6 2 2 26" xfId="11732"/>
    <cellStyle name="60% - 强调文字颜色 6 2 2 27" xfId="11733"/>
    <cellStyle name="60% - 强调文字颜色 6 2 2 28" xfId="11734"/>
    <cellStyle name="60% - 强调文字颜色 6 2 2 3" xfId="11735"/>
    <cellStyle name="60% - 强调文字颜色 6 2 2 4" xfId="11736"/>
    <cellStyle name="60% - 强调文字颜色 6 2 2 5" xfId="11737"/>
    <cellStyle name="60% - 强调文字颜色 6 2 2 6" xfId="11738"/>
    <cellStyle name="60% - 强调文字颜色 6 2 2 7" xfId="11739"/>
    <cellStyle name="60% - 强调文字颜色 6 2 2 8" xfId="11740"/>
    <cellStyle name="60% - 强调文字颜色 6 2 2 9" xfId="11741"/>
    <cellStyle name="60% - 强调文字颜色 6 2 20" xfId="11742"/>
    <cellStyle name="60% - 强调文字颜色 6 2 21" xfId="11743"/>
    <cellStyle name="60% - 强调文字颜色 6 2 22" xfId="11744"/>
    <cellStyle name="60% - 强调文字颜色 6 2 23" xfId="11745"/>
    <cellStyle name="60% - 强调文字颜色 6 2 24" xfId="11746"/>
    <cellStyle name="60% - 强调文字颜色 6 2 25" xfId="11747"/>
    <cellStyle name="60% - 强调文字颜色 6 2 26" xfId="11748"/>
    <cellStyle name="60% - 强调文字颜色 6 2 27" xfId="11749"/>
    <cellStyle name="60% - 强调文字颜色 6 2 28" xfId="11750"/>
    <cellStyle name="60% - 强调文字颜色 6 2 29" xfId="11751"/>
    <cellStyle name="60% - 强调文字颜色 6 2 3" xfId="11752"/>
    <cellStyle name="60% - 强调文字颜色 6 2 3 10" xfId="11753"/>
    <cellStyle name="60% - 强调文字颜色 6 2 3 11" xfId="11754"/>
    <cellStyle name="60% - 强调文字颜色 6 2 3 12" xfId="11755"/>
    <cellStyle name="60% - 强调文字颜色 6 2 3 13" xfId="11756"/>
    <cellStyle name="60% - 强调文字颜色 6 2 3 14" xfId="11757"/>
    <cellStyle name="60% - 强调文字颜色 6 2 3 15" xfId="11758"/>
    <cellStyle name="60% - 强调文字颜色 6 2 3 16" xfId="11759"/>
    <cellStyle name="60% - 强调文字颜色 6 2 3 17" xfId="11760"/>
    <cellStyle name="60% - 强调文字颜色 6 2 3 18" xfId="11761"/>
    <cellStyle name="60% - 强调文字颜色 6 2 3 19" xfId="11762"/>
    <cellStyle name="60% - 强调文字颜色 6 2 3 2" xfId="11763"/>
    <cellStyle name="60% - 强调文字颜色 6 2 3 2 10" xfId="11764"/>
    <cellStyle name="60% - 强调文字颜色 6 2 3 2 11" xfId="11765"/>
    <cellStyle name="60% - 强调文字颜色 6 2 3 2 12" xfId="11766"/>
    <cellStyle name="60% - 强调文字颜色 6 2 3 2 13" xfId="11767"/>
    <cellStyle name="60% - 强调文字颜色 6 2 3 2 14" xfId="11768"/>
    <cellStyle name="60% - 强调文字颜色 6 2 3 2 15" xfId="11769"/>
    <cellStyle name="60% - 强调文字颜色 6 2 3 2 16" xfId="11770"/>
    <cellStyle name="60% - 强调文字颜色 6 2 3 2 17" xfId="11771"/>
    <cellStyle name="60% - 强调文字颜色 6 2 3 2 18" xfId="11772"/>
    <cellStyle name="60% - 强调文字颜色 6 2 3 2 19" xfId="11773"/>
    <cellStyle name="60% - 强调文字颜色 6 2 3 2 2" xfId="11774"/>
    <cellStyle name="60% - 强调文字颜色 6 2 3 2 20" xfId="11775"/>
    <cellStyle name="60% - 强调文字颜色 6 2 3 2 21" xfId="11776"/>
    <cellStyle name="60% - 强调文字颜色 6 2 3 2 22" xfId="11777"/>
    <cellStyle name="60% - 强调文字颜色 6 2 3 2 23" xfId="11778"/>
    <cellStyle name="60% - 强调文字颜色 6 2 3 2 24" xfId="11779"/>
    <cellStyle name="60% - 强调文字颜色 6 2 3 2 25" xfId="11780"/>
    <cellStyle name="60% - 强调文字颜色 6 2 3 2 26" xfId="11781"/>
    <cellStyle name="60% - 强调文字颜色 6 2 3 2 27" xfId="11782"/>
    <cellStyle name="60% - 强调文字颜色 6 2 3 2 3" xfId="11783"/>
    <cellStyle name="60% - 强调文字颜色 6 2 3 2 4" xfId="11784"/>
    <cellStyle name="60% - 强调文字颜色 6 2 3 2 5" xfId="11785"/>
    <cellStyle name="60% - 强调文字颜色 6 2 3 2 6" xfId="11786"/>
    <cellStyle name="60% - 强调文字颜色 6 2 3 2 7" xfId="11787"/>
    <cellStyle name="60% - 强调文字颜色 6 2 3 2 8" xfId="11788"/>
    <cellStyle name="60% - 强调文字颜色 6 2 3 2 9" xfId="11789"/>
    <cellStyle name="60% - 强调文字颜色 6 2 3 20" xfId="11790"/>
    <cellStyle name="60% - 强调文字颜色 6 2 3 21" xfId="11791"/>
    <cellStyle name="60% - 强调文字颜色 6 2 3 22" xfId="11792"/>
    <cellStyle name="60% - 强调文字颜色 6 2 3 23" xfId="11793"/>
    <cellStyle name="60% - 强调文字颜色 6 2 3 24" xfId="11794"/>
    <cellStyle name="60% - 强调文字颜色 6 2 3 25" xfId="11795"/>
    <cellStyle name="60% - 强调文字颜色 6 2 3 26" xfId="11796"/>
    <cellStyle name="60% - 强调文字颜色 6 2 3 27" xfId="11797"/>
    <cellStyle name="60% - 强调文字颜色 6 2 3 28" xfId="11798"/>
    <cellStyle name="60% - 强调文字颜色 6 2 3 3" xfId="11799"/>
    <cellStyle name="60% - 强调文字颜色 6 2 3 4" xfId="11800"/>
    <cellStyle name="60% - 强调文字颜色 6 2 3 5" xfId="11801"/>
    <cellStyle name="60% - 强调文字颜色 6 2 3 6" xfId="11802"/>
    <cellStyle name="60% - 强调文字颜色 6 2 3 7" xfId="11803"/>
    <cellStyle name="60% - 强调文字颜色 6 2 3 8" xfId="11804"/>
    <cellStyle name="60% - 强调文字颜色 6 2 3 9" xfId="11805"/>
    <cellStyle name="60% - 强调文字颜色 6 2 30" xfId="11806"/>
    <cellStyle name="60% - 强调文字颜色 6 2 31" xfId="11807"/>
    <cellStyle name="60% - 强调文字颜色 6 2 32" xfId="11808"/>
    <cellStyle name="60% - 强调文字颜色 6 2 33" xfId="11809"/>
    <cellStyle name="60% - 强调文字颜色 6 2 4" xfId="11810"/>
    <cellStyle name="60% - 强调文字颜色 6 2 4 10" xfId="11811"/>
    <cellStyle name="60% - 强调文字颜色 6 2 4 11" xfId="11812"/>
    <cellStyle name="60% - 强调文字颜色 6 2 4 12" xfId="11813"/>
    <cellStyle name="60% - 强调文字颜色 6 2 4 13" xfId="11814"/>
    <cellStyle name="60% - 强调文字颜色 6 2 4 14" xfId="11815"/>
    <cellStyle name="60% - 强调文字颜色 6 2 4 15" xfId="11816"/>
    <cellStyle name="60% - 强调文字颜色 6 2 4 16" xfId="11817"/>
    <cellStyle name="60% - 强调文字颜色 6 2 4 17" xfId="11818"/>
    <cellStyle name="60% - 强调文字颜色 6 2 4 18" xfId="11819"/>
    <cellStyle name="60% - 强调文字颜色 6 2 4 19" xfId="11820"/>
    <cellStyle name="60% - 强调文字颜色 6 2 4 2" xfId="11821"/>
    <cellStyle name="60% - 强调文字颜色 6 2 4 20" xfId="11822"/>
    <cellStyle name="60% - 强调文字颜色 6 2 4 21" xfId="11823"/>
    <cellStyle name="60% - 强调文字颜色 6 2 4 22" xfId="11824"/>
    <cellStyle name="60% - 强调文字颜色 6 2 4 23" xfId="11825"/>
    <cellStyle name="60% - 强调文字颜色 6 2 4 24" xfId="11826"/>
    <cellStyle name="60% - 强调文字颜色 6 2 4 25" xfId="11827"/>
    <cellStyle name="60% - 强调文字颜色 6 2 4 26" xfId="11828"/>
    <cellStyle name="60% - 强调文字颜色 6 2 4 27" xfId="11829"/>
    <cellStyle name="60% - 强调文字颜色 6 2 4 3" xfId="11830"/>
    <cellStyle name="60% - 强调文字颜色 6 2 4 4" xfId="11831"/>
    <cellStyle name="60% - 强调文字颜色 6 2 4 5" xfId="11832"/>
    <cellStyle name="60% - 强调文字颜色 6 2 4 6" xfId="11833"/>
    <cellStyle name="60% - 强调文字颜色 6 2 4 7" xfId="11834"/>
    <cellStyle name="60% - 强调文字颜色 6 2 4 8" xfId="11835"/>
    <cellStyle name="60% - 强调文字颜色 6 2 4 9" xfId="11836"/>
    <cellStyle name="60% - 强调文字颜色 6 2 5" xfId="11837"/>
    <cellStyle name="60% - 强调文字颜色 6 2 6" xfId="11838"/>
    <cellStyle name="60% - 强调文字颜色 6 2 7" xfId="11839"/>
    <cellStyle name="60% - 强调文字颜色 6 2 8" xfId="11840"/>
    <cellStyle name="60% - 强调文字颜色 6 2 9" xfId="11841"/>
    <cellStyle name="60% - 强调文字颜色 6 20" xfId="11842"/>
    <cellStyle name="60% - 强调文字颜色 6 21" xfId="11843"/>
    <cellStyle name="60% - 强调文字颜色 6 22" xfId="11844"/>
    <cellStyle name="60% - 强调文字颜色 6 23" xfId="11845"/>
    <cellStyle name="60% - 强调文字颜色 6 24" xfId="11846"/>
    <cellStyle name="60% - 强调文字颜色 6 25" xfId="11847"/>
    <cellStyle name="60% - 强调文字颜色 6 26" xfId="11848"/>
    <cellStyle name="60% - 强调文字颜色 6 27" xfId="11849"/>
    <cellStyle name="60% - 强调文字颜色 6 28" xfId="11850"/>
    <cellStyle name="60% - 强调文字颜色 6 29" xfId="11851"/>
    <cellStyle name="60% - 强调文字颜色 6 3" xfId="11852"/>
    <cellStyle name="60% - 强调文字颜色 6 3 10" xfId="11853"/>
    <cellStyle name="60% - 强调文字颜色 6 3 11" xfId="11854"/>
    <cellStyle name="60% - 强调文字颜色 6 3 12" xfId="11855"/>
    <cellStyle name="60% - 强调文字颜色 6 3 13" xfId="11856"/>
    <cellStyle name="60% - 强调文字颜色 6 3 14" xfId="11857"/>
    <cellStyle name="60% - 强调文字颜色 6 3 15" xfId="11858"/>
    <cellStyle name="60% - 强调文字颜色 6 3 16" xfId="11859"/>
    <cellStyle name="60% - 强调文字颜色 6 3 17" xfId="11860"/>
    <cellStyle name="60% - 强调文字颜色 6 3 18" xfId="11861"/>
    <cellStyle name="60% - 强调文字颜色 6 3 19" xfId="11862"/>
    <cellStyle name="60% - 强调文字颜色 6 3 2" xfId="11863"/>
    <cellStyle name="60% - 强调文字颜色 6 3 2 10" xfId="11864"/>
    <cellStyle name="60% - 强调文字颜色 6 3 2 11" xfId="11865"/>
    <cellStyle name="60% - 强调文字颜色 6 3 2 12" xfId="11866"/>
    <cellStyle name="60% - 强调文字颜色 6 3 2 13" xfId="11867"/>
    <cellStyle name="60% - 强调文字颜色 6 3 2 14" xfId="11868"/>
    <cellStyle name="60% - 强调文字颜色 6 3 2 15" xfId="11869"/>
    <cellStyle name="60% - 强调文字颜色 6 3 2 16" xfId="11870"/>
    <cellStyle name="60% - 强调文字颜色 6 3 2 17" xfId="11871"/>
    <cellStyle name="60% - 强调文字颜色 6 3 2 18" xfId="11872"/>
    <cellStyle name="60% - 强调文字颜色 6 3 2 19" xfId="11873"/>
    <cellStyle name="60% - 强调文字颜色 6 3 2 2" xfId="11874"/>
    <cellStyle name="60% - 强调文字颜色 6 3 2 20" xfId="11875"/>
    <cellStyle name="60% - 强调文字颜色 6 3 2 21" xfId="11876"/>
    <cellStyle name="60% - 强调文字颜色 6 3 2 22" xfId="11877"/>
    <cellStyle name="60% - 强调文字颜色 6 3 2 23" xfId="11878"/>
    <cellStyle name="60% - 强调文字颜色 6 3 2 24" xfId="11879"/>
    <cellStyle name="60% - 强调文字颜色 6 3 2 25" xfId="11880"/>
    <cellStyle name="60% - 强调文字颜色 6 3 2 26" xfId="11881"/>
    <cellStyle name="60% - 强调文字颜色 6 3 2 27" xfId="11882"/>
    <cellStyle name="60% - 强调文字颜色 6 3 2 3" xfId="11883"/>
    <cellStyle name="60% - 强调文字颜色 6 3 2 4" xfId="11884"/>
    <cellStyle name="60% - 强调文字颜色 6 3 2 5" xfId="11885"/>
    <cellStyle name="60% - 强调文字颜色 6 3 2 6" xfId="11886"/>
    <cellStyle name="60% - 强调文字颜色 6 3 2 7" xfId="11887"/>
    <cellStyle name="60% - 强调文字颜色 6 3 2 8" xfId="11888"/>
    <cellStyle name="60% - 强调文字颜色 6 3 2 9" xfId="11889"/>
    <cellStyle name="60% - 强调文字颜色 6 3 20" xfId="11890"/>
    <cellStyle name="60% - 强调文字颜色 6 3 21" xfId="11891"/>
    <cellStyle name="60% - 强调文字颜色 6 3 22" xfId="11892"/>
    <cellStyle name="60% - 强调文字颜色 6 3 23" xfId="11893"/>
    <cellStyle name="60% - 强调文字颜色 6 3 24" xfId="11894"/>
    <cellStyle name="60% - 强调文字颜色 6 3 25" xfId="11895"/>
    <cellStyle name="60% - 强调文字颜色 6 3 26" xfId="11896"/>
    <cellStyle name="60% - 强调文字颜色 6 3 27" xfId="11897"/>
    <cellStyle name="60% - 强调文字颜色 6 3 28" xfId="11898"/>
    <cellStyle name="60% - 强调文字颜色 6 3 3" xfId="11899"/>
    <cellStyle name="60% - 强调文字颜色 6 3 4" xfId="11900"/>
    <cellStyle name="60% - 强调文字颜色 6 3 5" xfId="11901"/>
    <cellStyle name="60% - 强调文字颜色 6 3 6" xfId="11902"/>
    <cellStyle name="60% - 强调文字颜色 6 3 7" xfId="11903"/>
    <cellStyle name="60% - 强调文字颜色 6 3 8" xfId="11904"/>
    <cellStyle name="60% - 强调文字颜色 6 3 9" xfId="11905"/>
    <cellStyle name="60% - 强调文字颜色 6 30" xfId="11906"/>
    <cellStyle name="60% - 强调文字颜色 6 31" xfId="11907"/>
    <cellStyle name="60% - 强调文字颜色 6 32" xfId="11908"/>
    <cellStyle name="60% - 强调文字颜色 6 33" xfId="11909"/>
    <cellStyle name="60% - 强调文字颜色 6 34" xfId="11910"/>
    <cellStyle name="60% - 强调文字颜色 6 35" xfId="11911"/>
    <cellStyle name="60% - 强调文字颜色 6 36" xfId="11912"/>
    <cellStyle name="60% - 强调文字颜色 6 37" xfId="11913"/>
    <cellStyle name="60% - 强调文字颜色 6 38" xfId="11914"/>
    <cellStyle name="60% - 强调文字颜色 6 39" xfId="11915"/>
    <cellStyle name="60% - 强调文字颜色 6 4" xfId="11916"/>
    <cellStyle name="60% - 强调文字颜色 6 4 10" xfId="11917"/>
    <cellStyle name="60% - 强调文字颜色 6 4 11" xfId="11918"/>
    <cellStyle name="60% - 强调文字颜色 6 4 12" xfId="11919"/>
    <cellStyle name="60% - 强调文字颜色 6 4 13" xfId="11920"/>
    <cellStyle name="60% - 强调文字颜色 6 4 14" xfId="11921"/>
    <cellStyle name="60% - 强调文字颜色 6 4 15" xfId="11922"/>
    <cellStyle name="60% - 强调文字颜色 6 4 16" xfId="11923"/>
    <cellStyle name="60% - 强调文字颜色 6 4 17" xfId="11924"/>
    <cellStyle name="60% - 强调文字颜色 6 4 18" xfId="11925"/>
    <cellStyle name="60% - 强调文字颜色 6 4 19" xfId="11926"/>
    <cellStyle name="60% - 强调文字颜色 6 4 2" xfId="11927"/>
    <cellStyle name="60% - 强调文字颜色 6 4 2 10" xfId="11928"/>
    <cellStyle name="60% - 强调文字颜色 6 4 2 11" xfId="11929"/>
    <cellStyle name="60% - 强调文字颜色 6 4 2 12" xfId="11930"/>
    <cellStyle name="60% - 强调文字颜色 6 4 2 13" xfId="11931"/>
    <cellStyle name="60% - 强调文字颜色 6 4 2 14" xfId="11932"/>
    <cellStyle name="60% - 强调文字颜色 6 4 2 15" xfId="11933"/>
    <cellStyle name="60% - 强调文字颜色 6 4 2 16" xfId="11934"/>
    <cellStyle name="60% - 强调文字颜色 6 4 2 17" xfId="11935"/>
    <cellStyle name="60% - 强调文字颜色 6 4 2 18" xfId="11936"/>
    <cellStyle name="60% - 强调文字颜色 6 4 2 19" xfId="11937"/>
    <cellStyle name="60% - 强调文字颜色 6 4 2 2" xfId="11938"/>
    <cellStyle name="60% - 强调文字颜色 6 4 2 20" xfId="11939"/>
    <cellStyle name="60% - 强调文字颜色 6 4 2 21" xfId="11940"/>
    <cellStyle name="60% - 强调文字颜色 6 4 2 22" xfId="11941"/>
    <cellStyle name="60% - 强调文字颜色 6 4 2 23" xfId="11942"/>
    <cellStyle name="60% - 强调文字颜色 6 4 2 24" xfId="11943"/>
    <cellStyle name="60% - 强调文字颜色 6 4 2 25" xfId="11944"/>
    <cellStyle name="60% - 强调文字颜色 6 4 2 26" xfId="11945"/>
    <cellStyle name="60% - 强调文字颜色 6 4 2 27" xfId="11946"/>
    <cellStyle name="60% - 强调文字颜色 6 4 2 3" xfId="11947"/>
    <cellStyle name="60% - 强调文字颜色 6 4 2 4" xfId="11948"/>
    <cellStyle name="60% - 强调文字颜色 6 4 2 5" xfId="11949"/>
    <cellStyle name="60% - 强调文字颜色 6 4 2 6" xfId="11950"/>
    <cellStyle name="60% - 强调文字颜色 6 4 2 7" xfId="11951"/>
    <cellStyle name="60% - 强调文字颜色 6 4 2 8" xfId="11952"/>
    <cellStyle name="60% - 强调文字颜色 6 4 2 9" xfId="11953"/>
    <cellStyle name="60% - 强调文字颜色 6 4 20" xfId="11954"/>
    <cellStyle name="60% - 强调文字颜色 6 4 21" xfId="11955"/>
    <cellStyle name="60% - 强调文字颜色 6 4 22" xfId="11956"/>
    <cellStyle name="60% - 强调文字颜色 6 4 23" xfId="11957"/>
    <cellStyle name="60% - 强调文字颜色 6 4 24" xfId="11958"/>
    <cellStyle name="60% - 强调文字颜色 6 4 25" xfId="11959"/>
    <cellStyle name="60% - 强调文字颜色 6 4 26" xfId="11960"/>
    <cellStyle name="60% - 强调文字颜色 6 4 27" xfId="11961"/>
    <cellStyle name="60% - 强调文字颜色 6 4 28" xfId="11962"/>
    <cellStyle name="60% - 强调文字颜色 6 4 3" xfId="11963"/>
    <cellStyle name="60% - 强调文字颜色 6 4 4" xfId="11964"/>
    <cellStyle name="60% - 强调文字颜色 6 4 5" xfId="11965"/>
    <cellStyle name="60% - 强调文字颜色 6 4 6" xfId="11966"/>
    <cellStyle name="60% - 强调文字颜色 6 4 7" xfId="11967"/>
    <cellStyle name="60% - 强调文字颜色 6 4 8" xfId="11968"/>
    <cellStyle name="60% - 强调文字颜色 6 4 9" xfId="11969"/>
    <cellStyle name="60% - 强调文字颜色 6 40" xfId="11970"/>
    <cellStyle name="60% - 强调文字颜色 6 5" xfId="11971"/>
    <cellStyle name="60% - 强调文字颜色 6 5 10" xfId="11972"/>
    <cellStyle name="60% - 强调文字颜色 6 5 11" xfId="11973"/>
    <cellStyle name="60% - 强调文字颜色 6 5 12" xfId="11974"/>
    <cellStyle name="60% - 强调文字颜色 6 5 13" xfId="11975"/>
    <cellStyle name="60% - 强调文字颜色 6 5 14" xfId="11976"/>
    <cellStyle name="60% - 强调文字颜色 6 5 15" xfId="11977"/>
    <cellStyle name="60% - 强调文字颜色 6 5 16" xfId="11978"/>
    <cellStyle name="60% - 强调文字颜色 6 5 17" xfId="11979"/>
    <cellStyle name="60% - 强调文字颜色 6 5 18" xfId="11980"/>
    <cellStyle name="60% - 强调文字颜色 6 5 19" xfId="11981"/>
    <cellStyle name="60% - 强调文字颜色 6 5 2" xfId="11982"/>
    <cellStyle name="60% - 强调文字颜色 6 5 2 10" xfId="11983"/>
    <cellStyle name="60% - 强调文字颜色 6 5 2 11" xfId="11984"/>
    <cellStyle name="60% - 强调文字颜色 6 5 2 12" xfId="11985"/>
    <cellStyle name="60% - 强调文字颜色 6 5 2 13" xfId="11986"/>
    <cellStyle name="60% - 强调文字颜色 6 5 2 14" xfId="11987"/>
    <cellStyle name="60% - 强调文字颜色 6 5 2 15" xfId="11988"/>
    <cellStyle name="60% - 强调文字颜色 6 5 2 16" xfId="11989"/>
    <cellStyle name="60% - 强调文字颜色 6 5 2 17" xfId="11990"/>
    <cellStyle name="60% - 强调文字颜色 6 5 2 18" xfId="11991"/>
    <cellStyle name="60% - 强调文字颜色 6 5 2 19" xfId="11992"/>
    <cellStyle name="60% - 强调文字颜色 6 5 2 2" xfId="11993"/>
    <cellStyle name="60% - 强调文字颜色 6 5 2 20" xfId="11994"/>
    <cellStyle name="60% - 强调文字颜色 6 5 2 21" xfId="11995"/>
    <cellStyle name="60% - 强调文字颜色 6 5 2 22" xfId="11996"/>
    <cellStyle name="60% - 强调文字颜色 6 5 2 23" xfId="11997"/>
    <cellStyle name="60% - 强调文字颜色 6 5 2 24" xfId="11998"/>
    <cellStyle name="60% - 强调文字颜色 6 5 2 25" xfId="11999"/>
    <cellStyle name="60% - 强调文字颜色 6 5 2 26" xfId="12000"/>
    <cellStyle name="60% - 强调文字颜色 6 5 2 27" xfId="12001"/>
    <cellStyle name="60% - 强调文字颜色 6 5 2 3" xfId="12002"/>
    <cellStyle name="60% - 强调文字颜色 6 5 2 4" xfId="12003"/>
    <cellStyle name="60% - 强调文字颜色 6 5 2 5" xfId="12004"/>
    <cellStyle name="60% - 强调文字颜色 6 5 2 6" xfId="12005"/>
    <cellStyle name="60% - 强调文字颜色 6 5 2 7" xfId="12006"/>
    <cellStyle name="60% - 强调文字颜色 6 5 2 8" xfId="12007"/>
    <cellStyle name="60% - 强调文字颜色 6 5 2 9" xfId="12008"/>
    <cellStyle name="60% - 强调文字颜色 6 5 20" xfId="12009"/>
    <cellStyle name="60% - 强调文字颜色 6 5 21" xfId="12010"/>
    <cellStyle name="60% - 强调文字颜色 6 5 22" xfId="12011"/>
    <cellStyle name="60% - 强调文字颜色 6 5 23" xfId="12012"/>
    <cellStyle name="60% - 强调文字颜色 6 5 24" xfId="12013"/>
    <cellStyle name="60% - 强调文字颜色 6 5 25" xfId="12014"/>
    <cellStyle name="60% - 强调文字颜色 6 5 26" xfId="12015"/>
    <cellStyle name="60% - 强调文字颜色 6 5 27" xfId="12016"/>
    <cellStyle name="60% - 强调文字颜色 6 5 28" xfId="12017"/>
    <cellStyle name="60% - 强调文字颜色 6 5 3" xfId="12018"/>
    <cellStyle name="60% - 强调文字颜色 6 5 4" xfId="12019"/>
    <cellStyle name="60% - 强调文字颜色 6 5 5" xfId="12020"/>
    <cellStyle name="60% - 强调文字颜色 6 5 6" xfId="12021"/>
    <cellStyle name="60% - 强调文字颜色 6 5 7" xfId="12022"/>
    <cellStyle name="60% - 强调文字颜色 6 5 8" xfId="12023"/>
    <cellStyle name="60% - 强调文字颜色 6 5 9" xfId="12024"/>
    <cellStyle name="60% - 强调文字颜色 6 6" xfId="12025"/>
    <cellStyle name="60% - 强调文字颜色 6 6 10" xfId="12026"/>
    <cellStyle name="60% - 强调文字颜色 6 6 11" xfId="12027"/>
    <cellStyle name="60% - 强调文字颜色 6 6 12" xfId="12028"/>
    <cellStyle name="60% - 强调文字颜色 6 6 13" xfId="12029"/>
    <cellStyle name="60% - 强调文字颜色 6 6 14" xfId="12030"/>
    <cellStyle name="60% - 强调文字颜色 6 6 15" xfId="12031"/>
    <cellStyle name="60% - 强调文字颜色 6 6 16" xfId="12032"/>
    <cellStyle name="60% - 强调文字颜色 6 6 17" xfId="12033"/>
    <cellStyle name="60% - 强调文字颜色 6 6 18" xfId="12034"/>
    <cellStyle name="60% - 强调文字颜色 6 6 19" xfId="12035"/>
    <cellStyle name="60% - 强调文字颜色 6 6 2" xfId="12036"/>
    <cellStyle name="60% - 强调文字颜色 6 6 2 10" xfId="12037"/>
    <cellStyle name="60% - 强调文字颜色 6 6 2 11" xfId="12038"/>
    <cellStyle name="60% - 强调文字颜色 6 6 2 12" xfId="12039"/>
    <cellStyle name="60% - 强调文字颜色 6 6 2 13" xfId="12040"/>
    <cellStyle name="60% - 强调文字颜色 6 6 2 14" xfId="12041"/>
    <cellStyle name="60% - 强调文字颜色 6 6 2 15" xfId="12042"/>
    <cellStyle name="60% - 强调文字颜色 6 6 2 16" xfId="12043"/>
    <cellStyle name="60% - 强调文字颜色 6 6 2 17" xfId="12044"/>
    <cellStyle name="60% - 强调文字颜色 6 6 2 18" xfId="12045"/>
    <cellStyle name="60% - 强调文字颜色 6 6 2 19" xfId="12046"/>
    <cellStyle name="60% - 强调文字颜色 6 6 2 2" xfId="12047"/>
    <cellStyle name="60% - 强调文字颜色 6 6 2 20" xfId="12048"/>
    <cellStyle name="60% - 强调文字颜色 6 6 2 21" xfId="12049"/>
    <cellStyle name="60% - 强调文字颜色 6 6 2 22" xfId="12050"/>
    <cellStyle name="60% - 强调文字颜色 6 6 2 23" xfId="12051"/>
    <cellStyle name="60% - 强调文字颜色 6 6 2 24" xfId="12052"/>
    <cellStyle name="60% - 强调文字颜色 6 6 2 25" xfId="12053"/>
    <cellStyle name="60% - 强调文字颜色 6 6 2 26" xfId="12054"/>
    <cellStyle name="60% - 强调文字颜色 6 6 2 27" xfId="12055"/>
    <cellStyle name="60% - 强调文字颜色 6 6 2 3" xfId="12056"/>
    <cellStyle name="60% - 强调文字颜色 6 6 2 4" xfId="12057"/>
    <cellStyle name="60% - 强调文字颜色 6 6 2 5" xfId="12058"/>
    <cellStyle name="60% - 强调文字颜色 6 6 2 6" xfId="12059"/>
    <cellStyle name="60% - 强调文字颜色 6 6 2 7" xfId="12060"/>
    <cellStyle name="60% - 强调文字颜色 6 6 2 8" xfId="12061"/>
    <cellStyle name="60% - 强调文字颜色 6 6 2 9" xfId="12062"/>
    <cellStyle name="60% - 强调文字颜色 6 6 20" xfId="12063"/>
    <cellStyle name="60% - 强调文字颜色 6 6 21" xfId="12064"/>
    <cellStyle name="60% - 强调文字颜色 6 6 22" xfId="12065"/>
    <cellStyle name="60% - 强调文字颜色 6 6 23" xfId="12066"/>
    <cellStyle name="60% - 强调文字颜色 6 6 24" xfId="12067"/>
    <cellStyle name="60% - 强调文字颜色 6 6 25" xfId="12068"/>
    <cellStyle name="60% - 强调文字颜色 6 6 26" xfId="12069"/>
    <cellStyle name="60% - 强调文字颜色 6 6 27" xfId="12070"/>
    <cellStyle name="60% - 强调文字颜色 6 6 28" xfId="12071"/>
    <cellStyle name="60% - 强调文字颜色 6 6 3" xfId="12072"/>
    <cellStyle name="60% - 强调文字颜色 6 6 4" xfId="12073"/>
    <cellStyle name="60% - 强调文字颜色 6 6 5" xfId="12074"/>
    <cellStyle name="60% - 强调文字颜色 6 6 6" xfId="12075"/>
    <cellStyle name="60% - 强调文字颜色 6 6 7" xfId="12076"/>
    <cellStyle name="60% - 强调文字颜色 6 6 8" xfId="12077"/>
    <cellStyle name="60% - 强调文字颜色 6 6 9" xfId="12078"/>
    <cellStyle name="60% - 强调文字颜色 6 7" xfId="12079"/>
    <cellStyle name="60% - 强调文字颜色 6 7 10" xfId="12080"/>
    <cellStyle name="60% - 强调文字颜色 6 7 11" xfId="12081"/>
    <cellStyle name="60% - 强调文字颜色 6 7 12" xfId="12082"/>
    <cellStyle name="60% - 强调文字颜色 6 7 13" xfId="12083"/>
    <cellStyle name="60% - 强调文字颜色 6 7 14" xfId="12084"/>
    <cellStyle name="60% - 强调文字颜色 6 7 15" xfId="12085"/>
    <cellStyle name="60% - 强调文字颜色 6 7 16" xfId="12086"/>
    <cellStyle name="60% - 强调文字颜色 6 7 17" xfId="12087"/>
    <cellStyle name="60% - 强调文字颜色 6 7 18" xfId="12088"/>
    <cellStyle name="60% - 强调文字颜色 6 7 19" xfId="12089"/>
    <cellStyle name="60% - 强调文字颜色 6 7 2" xfId="12090"/>
    <cellStyle name="60% - 强调文字颜色 6 7 2 10" xfId="12091"/>
    <cellStyle name="60% - 强调文字颜色 6 7 2 11" xfId="12092"/>
    <cellStyle name="60% - 强调文字颜色 6 7 2 12" xfId="12093"/>
    <cellStyle name="60% - 强调文字颜色 6 7 2 13" xfId="12094"/>
    <cellStyle name="60% - 强调文字颜色 6 7 2 14" xfId="12095"/>
    <cellStyle name="60% - 强调文字颜色 6 7 2 15" xfId="12096"/>
    <cellStyle name="60% - 强调文字颜色 6 7 2 16" xfId="12097"/>
    <cellStyle name="60% - 强调文字颜色 6 7 2 17" xfId="12098"/>
    <cellStyle name="60% - 强调文字颜色 6 7 2 18" xfId="12099"/>
    <cellStyle name="60% - 强调文字颜色 6 7 2 19" xfId="12100"/>
    <cellStyle name="60% - 强调文字颜色 6 7 2 2" xfId="12101"/>
    <cellStyle name="60% - 强调文字颜色 6 7 2 20" xfId="12102"/>
    <cellStyle name="60% - 强调文字颜色 6 7 2 21" xfId="12103"/>
    <cellStyle name="60% - 强调文字颜色 6 7 2 22" xfId="12104"/>
    <cellStyle name="60% - 强调文字颜色 6 7 2 23" xfId="12105"/>
    <cellStyle name="60% - 强调文字颜色 6 7 2 24" xfId="12106"/>
    <cellStyle name="60% - 强调文字颜色 6 7 2 25" xfId="12107"/>
    <cellStyle name="60% - 强调文字颜色 6 7 2 26" xfId="12108"/>
    <cellStyle name="60% - 强调文字颜色 6 7 2 27" xfId="12109"/>
    <cellStyle name="60% - 强调文字颜色 6 7 2 3" xfId="12110"/>
    <cellStyle name="60% - 强调文字颜色 6 7 2 4" xfId="12111"/>
    <cellStyle name="60% - 强调文字颜色 6 7 2 5" xfId="12112"/>
    <cellStyle name="60% - 强调文字颜色 6 7 2 6" xfId="12113"/>
    <cellStyle name="60% - 强调文字颜色 6 7 2 7" xfId="12114"/>
    <cellStyle name="60% - 强调文字颜色 6 7 2 8" xfId="12115"/>
    <cellStyle name="60% - 强调文字颜色 6 7 2 9" xfId="12116"/>
    <cellStyle name="60% - 强调文字颜色 6 7 20" xfId="12117"/>
    <cellStyle name="60% - 强调文字颜色 6 7 21" xfId="12118"/>
    <cellStyle name="60% - 强调文字颜色 6 7 22" xfId="12119"/>
    <cellStyle name="60% - 强调文字颜色 6 7 23" xfId="12120"/>
    <cellStyle name="60% - 强调文字颜色 6 7 24" xfId="12121"/>
    <cellStyle name="60% - 强调文字颜色 6 7 25" xfId="12122"/>
    <cellStyle name="60% - 强调文字颜色 6 7 26" xfId="12123"/>
    <cellStyle name="60% - 强调文字颜色 6 7 27" xfId="12124"/>
    <cellStyle name="60% - 强调文字颜色 6 7 28" xfId="12125"/>
    <cellStyle name="60% - 强调文字颜色 6 7 3" xfId="12126"/>
    <cellStyle name="60% - 强调文字颜色 6 7 4" xfId="12127"/>
    <cellStyle name="60% - 强调文字颜色 6 7 5" xfId="12128"/>
    <cellStyle name="60% - 强调文字颜色 6 7 6" xfId="12129"/>
    <cellStyle name="60% - 强调文字颜色 6 7 7" xfId="12130"/>
    <cellStyle name="60% - 强调文字颜色 6 7 8" xfId="12131"/>
    <cellStyle name="60% - 强调文字颜色 6 7 9" xfId="12132"/>
    <cellStyle name="60% - 强调文字颜色 6 8" xfId="12133"/>
    <cellStyle name="60% - 强调文字颜色 6 8 10" xfId="12134"/>
    <cellStyle name="60% - 强调文字颜色 6 8 11" xfId="12135"/>
    <cellStyle name="60% - 强调文字颜色 6 8 12" xfId="12136"/>
    <cellStyle name="60% - 强调文字颜色 6 8 13" xfId="12137"/>
    <cellStyle name="60% - 强调文字颜色 6 8 14" xfId="12138"/>
    <cellStyle name="60% - 强调文字颜色 6 8 15" xfId="12139"/>
    <cellStyle name="60% - 强调文字颜色 6 8 16" xfId="12140"/>
    <cellStyle name="60% - 强调文字颜色 6 8 17" xfId="12141"/>
    <cellStyle name="60% - 强调文字颜色 6 8 18" xfId="12142"/>
    <cellStyle name="60% - 强调文字颜色 6 8 19" xfId="12143"/>
    <cellStyle name="60% - 强调文字颜色 6 8 2" xfId="12144"/>
    <cellStyle name="60% - 强调文字颜色 6 8 2 10" xfId="12145"/>
    <cellStyle name="60% - 强调文字颜色 6 8 2 11" xfId="12146"/>
    <cellStyle name="60% - 强调文字颜色 6 8 2 12" xfId="12147"/>
    <cellStyle name="60% - 强调文字颜色 6 8 2 13" xfId="12148"/>
    <cellStyle name="60% - 强调文字颜色 6 8 2 14" xfId="12149"/>
    <cellStyle name="60% - 强调文字颜色 6 8 2 15" xfId="12150"/>
    <cellStyle name="60% - 强调文字颜色 6 8 2 16" xfId="12151"/>
    <cellStyle name="60% - 强调文字颜色 6 8 2 17" xfId="12152"/>
    <cellStyle name="60% - 强调文字颜色 6 8 2 18" xfId="12153"/>
    <cellStyle name="60% - 强调文字颜色 6 8 2 19" xfId="12154"/>
    <cellStyle name="60% - 强调文字颜色 6 8 2 2" xfId="12155"/>
    <cellStyle name="60% - 强调文字颜色 6 8 2 20" xfId="12156"/>
    <cellStyle name="60% - 强调文字颜色 6 8 2 21" xfId="12157"/>
    <cellStyle name="60% - 强调文字颜色 6 8 2 22" xfId="12158"/>
    <cellStyle name="60% - 强调文字颜色 6 8 2 23" xfId="12159"/>
    <cellStyle name="60% - 强调文字颜色 6 8 2 24" xfId="12160"/>
    <cellStyle name="60% - 强调文字颜色 6 8 2 25" xfId="12161"/>
    <cellStyle name="60% - 强调文字颜色 6 8 2 26" xfId="12162"/>
    <cellStyle name="60% - 强调文字颜色 6 8 2 27" xfId="12163"/>
    <cellStyle name="60% - 强调文字颜色 6 8 2 3" xfId="12164"/>
    <cellStyle name="60% - 强调文字颜色 6 8 2 4" xfId="12165"/>
    <cellStyle name="60% - 强调文字颜色 6 8 2 5" xfId="12166"/>
    <cellStyle name="60% - 强调文字颜色 6 8 2 6" xfId="12167"/>
    <cellStyle name="60% - 强调文字颜色 6 8 2 7" xfId="12168"/>
    <cellStyle name="60% - 强调文字颜色 6 8 2 8" xfId="12169"/>
    <cellStyle name="60% - 强调文字颜色 6 8 2 9" xfId="12170"/>
    <cellStyle name="60% - 强调文字颜色 6 8 20" xfId="12171"/>
    <cellStyle name="60% - 强调文字颜色 6 8 21" xfId="12172"/>
    <cellStyle name="60% - 强调文字颜色 6 8 22" xfId="12173"/>
    <cellStyle name="60% - 强调文字颜色 6 8 23" xfId="12174"/>
    <cellStyle name="60% - 强调文字颜色 6 8 24" xfId="12175"/>
    <cellStyle name="60% - 强调文字颜色 6 8 25" xfId="12176"/>
    <cellStyle name="60% - 强调文字颜色 6 8 26" xfId="12177"/>
    <cellStyle name="60% - 强调文字颜色 6 8 27" xfId="12178"/>
    <cellStyle name="60% - 强调文字颜色 6 8 28" xfId="12179"/>
    <cellStyle name="60% - 强调文字颜色 6 8 3" xfId="12180"/>
    <cellStyle name="60% - 强调文字颜色 6 8 4" xfId="12181"/>
    <cellStyle name="60% - 强调文字颜色 6 8 5" xfId="12182"/>
    <cellStyle name="60% - 强调文字颜色 6 8 6" xfId="12183"/>
    <cellStyle name="60% - 强调文字颜色 6 8 7" xfId="12184"/>
    <cellStyle name="60% - 强调文字颜色 6 8 8" xfId="12185"/>
    <cellStyle name="60% - 强调文字颜色 6 8 9" xfId="12186"/>
    <cellStyle name="60% - 强调文字颜色 6 9" xfId="12187"/>
    <cellStyle name="60% - 强调文字颜色 6 9 10" xfId="12188"/>
    <cellStyle name="60% - 强调文字颜色 6 9 11" xfId="12189"/>
    <cellStyle name="60% - 强调文字颜色 6 9 12" xfId="12190"/>
    <cellStyle name="60% - 强调文字颜色 6 9 13" xfId="12191"/>
    <cellStyle name="60% - 强调文字颜色 6 9 14" xfId="12192"/>
    <cellStyle name="60% - 强调文字颜色 6 9 15" xfId="12193"/>
    <cellStyle name="60% - 强调文字颜色 6 9 16" xfId="12194"/>
    <cellStyle name="60% - 强调文字颜色 6 9 17" xfId="12195"/>
    <cellStyle name="60% - 强调文字颜色 6 9 18" xfId="12196"/>
    <cellStyle name="60% - 强调文字颜色 6 9 19" xfId="12197"/>
    <cellStyle name="60% - 强调文字颜色 6 9 2" xfId="12198"/>
    <cellStyle name="60% - 强调文字颜色 6 9 2 10" xfId="12199"/>
    <cellStyle name="60% - 强调文字颜色 6 9 2 11" xfId="12200"/>
    <cellStyle name="60% - 强调文字颜色 6 9 2 12" xfId="12201"/>
    <cellStyle name="60% - 强调文字颜色 6 9 2 13" xfId="12202"/>
    <cellStyle name="60% - 强调文字颜色 6 9 2 14" xfId="12203"/>
    <cellStyle name="60% - 强调文字颜色 6 9 2 15" xfId="12204"/>
    <cellStyle name="60% - 强调文字颜色 6 9 2 16" xfId="12205"/>
    <cellStyle name="60% - 强调文字颜色 6 9 2 17" xfId="12206"/>
    <cellStyle name="60% - 强调文字颜色 6 9 2 18" xfId="12207"/>
    <cellStyle name="60% - 强调文字颜色 6 9 2 19" xfId="12208"/>
    <cellStyle name="60% - 强调文字颜色 6 9 2 2" xfId="12209"/>
    <cellStyle name="60% - 强调文字颜色 6 9 2 20" xfId="12210"/>
    <cellStyle name="60% - 强调文字颜色 6 9 2 21" xfId="12211"/>
    <cellStyle name="60% - 强调文字颜色 6 9 2 22" xfId="12212"/>
    <cellStyle name="60% - 强调文字颜色 6 9 2 23" xfId="12213"/>
    <cellStyle name="60% - 强调文字颜色 6 9 2 24" xfId="12214"/>
    <cellStyle name="60% - 强调文字颜色 6 9 2 25" xfId="12215"/>
    <cellStyle name="60% - 强调文字颜色 6 9 2 26" xfId="12216"/>
    <cellStyle name="60% - 强调文字颜色 6 9 2 27" xfId="12217"/>
    <cellStyle name="60% - 强调文字颜色 6 9 2 3" xfId="12218"/>
    <cellStyle name="60% - 强调文字颜色 6 9 2 4" xfId="12219"/>
    <cellStyle name="60% - 强调文字颜色 6 9 2 5" xfId="12220"/>
    <cellStyle name="60% - 强调文字颜色 6 9 2 6" xfId="12221"/>
    <cellStyle name="60% - 强调文字颜色 6 9 2 7" xfId="12222"/>
    <cellStyle name="60% - 强调文字颜色 6 9 2 8" xfId="12223"/>
    <cellStyle name="60% - 强调文字颜色 6 9 2 9" xfId="12224"/>
    <cellStyle name="60% - 强调文字颜色 6 9 20" xfId="12225"/>
    <cellStyle name="60% - 强调文字颜色 6 9 21" xfId="12226"/>
    <cellStyle name="60% - 强调文字颜色 6 9 22" xfId="12227"/>
    <cellStyle name="60% - 强调文字颜色 6 9 23" xfId="12228"/>
    <cellStyle name="60% - 强调文字颜色 6 9 24" xfId="12229"/>
    <cellStyle name="60% - 强调文字颜色 6 9 25" xfId="12230"/>
    <cellStyle name="60% - 强调文字颜色 6 9 26" xfId="12231"/>
    <cellStyle name="60% - 强调文字颜色 6 9 27" xfId="12232"/>
    <cellStyle name="60% - 强调文字颜色 6 9 28" xfId="12233"/>
    <cellStyle name="60% - 强调文字颜色 6 9 3" xfId="12234"/>
    <cellStyle name="60% - 强调文字颜色 6 9 4" xfId="12235"/>
    <cellStyle name="60% - 强调文字颜色 6 9 5" xfId="12236"/>
    <cellStyle name="60% - 强调文字颜色 6 9 6" xfId="12237"/>
    <cellStyle name="60% - 强调文字颜色 6 9 7" xfId="12238"/>
    <cellStyle name="60% - 强调文字颜色 6 9 8" xfId="12239"/>
    <cellStyle name="60% - 强调文字颜色 6 9 9" xfId="12240"/>
    <cellStyle name="百分比 2" xfId="12241"/>
    <cellStyle name="百分比 2 10" xfId="12242"/>
    <cellStyle name="百分比 2 11" xfId="12243"/>
    <cellStyle name="百分比 2 12" xfId="12244"/>
    <cellStyle name="百分比 2 13" xfId="12245"/>
    <cellStyle name="百分比 2 14" xfId="12246"/>
    <cellStyle name="百分比 2 15" xfId="12247"/>
    <cellStyle name="百分比 2 16" xfId="12248"/>
    <cellStyle name="百分比 2 17" xfId="12249"/>
    <cellStyle name="百分比 2 18" xfId="12250"/>
    <cellStyle name="百分比 2 19" xfId="12251"/>
    <cellStyle name="百分比 2 2" xfId="12252"/>
    <cellStyle name="百分比 2 2 10" xfId="12253"/>
    <cellStyle name="百分比 2 2 11" xfId="12254"/>
    <cellStyle name="百分比 2 2 12" xfId="12255"/>
    <cellStyle name="百分比 2 2 13" xfId="12256"/>
    <cellStyle name="百分比 2 2 14" xfId="12257"/>
    <cellStyle name="百分比 2 2 15" xfId="12258"/>
    <cellStyle name="百分比 2 2 16" xfId="12259"/>
    <cellStyle name="百分比 2 2 17" xfId="12260"/>
    <cellStyle name="百分比 2 2 18" xfId="12261"/>
    <cellStyle name="百分比 2 2 19" xfId="12262"/>
    <cellStyle name="百分比 2 2 2" xfId="12263"/>
    <cellStyle name="百分比 2 2 20" xfId="12264"/>
    <cellStyle name="百分比 2 2 21" xfId="12265"/>
    <cellStyle name="百分比 2 2 22" xfId="12266"/>
    <cellStyle name="百分比 2 2 23" xfId="12267"/>
    <cellStyle name="百分比 2 2 24" xfId="12268"/>
    <cellStyle name="百分比 2 2 25" xfId="12269"/>
    <cellStyle name="百分比 2 2 26" xfId="12270"/>
    <cellStyle name="百分比 2 2 27" xfId="12271"/>
    <cellStyle name="百分比 2 2 3" xfId="12272"/>
    <cellStyle name="百分比 2 2 4" xfId="12273"/>
    <cellStyle name="百分比 2 2 5" xfId="12274"/>
    <cellStyle name="百分比 2 2 6" xfId="12275"/>
    <cellStyle name="百分比 2 2 7" xfId="12276"/>
    <cellStyle name="百分比 2 2 8" xfId="12277"/>
    <cellStyle name="百分比 2 2 9" xfId="12278"/>
    <cellStyle name="百分比 2 20" xfId="12279"/>
    <cellStyle name="百分比 2 21" xfId="12280"/>
    <cellStyle name="百分比 2 22" xfId="12281"/>
    <cellStyle name="百分比 2 23" xfId="12282"/>
    <cellStyle name="百分比 2 24" xfId="12283"/>
    <cellStyle name="百分比 2 25" xfId="12284"/>
    <cellStyle name="百分比 2 26" xfId="12285"/>
    <cellStyle name="百分比 2 27" xfId="12286"/>
    <cellStyle name="百分比 2 28" xfId="12287"/>
    <cellStyle name="百分比 2 3" xfId="12288"/>
    <cellStyle name="百分比 2 4" xfId="12289"/>
    <cellStyle name="百分比 2 5" xfId="12290"/>
    <cellStyle name="百分比 2 6" xfId="12291"/>
    <cellStyle name="百分比 2 7" xfId="12292"/>
    <cellStyle name="百分比 2 8" xfId="12293"/>
    <cellStyle name="百分比 2 9" xfId="12294"/>
    <cellStyle name="百分比 3" xfId="12295"/>
    <cellStyle name="百分比 3 10" xfId="12296"/>
    <cellStyle name="百分比 3 11" xfId="12297"/>
    <cellStyle name="百分比 3 12" xfId="12298"/>
    <cellStyle name="百分比 3 13" xfId="12299"/>
    <cellStyle name="百分比 3 14" xfId="12300"/>
    <cellStyle name="百分比 3 15" xfId="12301"/>
    <cellStyle name="百分比 3 16" xfId="12302"/>
    <cellStyle name="百分比 3 17" xfId="12303"/>
    <cellStyle name="百分比 3 18" xfId="12304"/>
    <cellStyle name="百分比 3 19" xfId="12305"/>
    <cellStyle name="百分比 3 2" xfId="12306"/>
    <cellStyle name="百分比 3 2 10" xfId="12307"/>
    <cellStyle name="百分比 3 2 11" xfId="12308"/>
    <cellStyle name="百分比 3 2 12" xfId="12309"/>
    <cellStyle name="百分比 3 2 13" xfId="12310"/>
    <cellStyle name="百分比 3 2 14" xfId="12311"/>
    <cellStyle name="百分比 3 2 15" xfId="12312"/>
    <cellStyle name="百分比 3 2 16" xfId="12313"/>
    <cellStyle name="百分比 3 2 17" xfId="12314"/>
    <cellStyle name="百分比 3 2 18" xfId="12315"/>
    <cellStyle name="百分比 3 2 19" xfId="12316"/>
    <cellStyle name="百分比 3 2 2" xfId="12317"/>
    <cellStyle name="百分比 3 2 20" xfId="12318"/>
    <cellStyle name="百分比 3 2 21" xfId="12319"/>
    <cellStyle name="百分比 3 2 22" xfId="12320"/>
    <cellStyle name="百分比 3 2 23" xfId="12321"/>
    <cellStyle name="百分比 3 2 24" xfId="12322"/>
    <cellStyle name="百分比 3 2 25" xfId="12323"/>
    <cellStyle name="百分比 3 2 26" xfId="12324"/>
    <cellStyle name="百分比 3 2 27" xfId="12325"/>
    <cellStyle name="百分比 3 2 3" xfId="12326"/>
    <cellStyle name="百分比 3 2 4" xfId="12327"/>
    <cellStyle name="百分比 3 2 5" xfId="12328"/>
    <cellStyle name="百分比 3 2 6" xfId="12329"/>
    <cellStyle name="百分比 3 2 7" xfId="12330"/>
    <cellStyle name="百分比 3 2 8" xfId="12331"/>
    <cellStyle name="百分比 3 2 9" xfId="12332"/>
    <cellStyle name="百分比 3 20" xfId="12333"/>
    <cellStyle name="百分比 3 21" xfId="12334"/>
    <cellStyle name="百分比 3 22" xfId="12335"/>
    <cellStyle name="百分比 3 23" xfId="12336"/>
    <cellStyle name="百分比 3 24" xfId="12337"/>
    <cellStyle name="百分比 3 25" xfId="12338"/>
    <cellStyle name="百分比 3 26" xfId="12339"/>
    <cellStyle name="百分比 3 27" xfId="12340"/>
    <cellStyle name="百分比 3 28" xfId="12341"/>
    <cellStyle name="百分比 3 3" xfId="12342"/>
    <cellStyle name="百分比 3 4" xfId="12343"/>
    <cellStyle name="百分比 3 5" xfId="12344"/>
    <cellStyle name="百分比 3 6" xfId="12345"/>
    <cellStyle name="百分比 3 7" xfId="12346"/>
    <cellStyle name="百分比 3 8" xfId="12347"/>
    <cellStyle name="百分比 3 9" xfId="12348"/>
    <cellStyle name="百分比 4" xfId="12349"/>
    <cellStyle name="百分比 4 10" xfId="12350"/>
    <cellStyle name="百分比 4 11" xfId="12351"/>
    <cellStyle name="百分比 4 12" xfId="12352"/>
    <cellStyle name="百分比 4 13" xfId="12353"/>
    <cellStyle name="百分比 4 14" xfId="12354"/>
    <cellStyle name="百分比 4 15" xfId="12355"/>
    <cellStyle name="百分比 4 16" xfId="12356"/>
    <cellStyle name="百分比 4 17" xfId="12357"/>
    <cellStyle name="百分比 4 18" xfId="12358"/>
    <cellStyle name="百分比 4 19" xfId="12359"/>
    <cellStyle name="百分比 4 2" xfId="12360"/>
    <cellStyle name="百分比 4 2 10" xfId="12361"/>
    <cellStyle name="百分比 4 2 11" xfId="12362"/>
    <cellStyle name="百分比 4 2 12" xfId="12363"/>
    <cellStyle name="百分比 4 2 13" xfId="12364"/>
    <cellStyle name="百分比 4 2 14" xfId="12365"/>
    <cellStyle name="百分比 4 2 15" xfId="12366"/>
    <cellStyle name="百分比 4 2 16" xfId="12367"/>
    <cellStyle name="百分比 4 2 17" xfId="12368"/>
    <cellStyle name="百分比 4 2 18" xfId="12369"/>
    <cellStyle name="百分比 4 2 19" xfId="12370"/>
    <cellStyle name="百分比 4 2 2" xfId="12371"/>
    <cellStyle name="百分比 4 2 20" xfId="12372"/>
    <cellStyle name="百分比 4 2 21" xfId="12373"/>
    <cellStyle name="百分比 4 2 22" xfId="12374"/>
    <cellStyle name="百分比 4 2 23" xfId="12375"/>
    <cellStyle name="百分比 4 2 24" xfId="12376"/>
    <cellStyle name="百分比 4 2 25" xfId="12377"/>
    <cellStyle name="百分比 4 2 26" xfId="12378"/>
    <cellStyle name="百分比 4 2 27" xfId="12379"/>
    <cellStyle name="百分比 4 2 3" xfId="12380"/>
    <cellStyle name="百分比 4 2 4" xfId="12381"/>
    <cellStyle name="百分比 4 2 5" xfId="12382"/>
    <cellStyle name="百分比 4 2 6" xfId="12383"/>
    <cellStyle name="百分比 4 2 7" xfId="12384"/>
    <cellStyle name="百分比 4 2 8" xfId="12385"/>
    <cellStyle name="百分比 4 2 9" xfId="12386"/>
    <cellStyle name="百分比 4 20" xfId="12387"/>
    <cellStyle name="百分比 4 21" xfId="12388"/>
    <cellStyle name="百分比 4 22" xfId="12389"/>
    <cellStyle name="百分比 4 23" xfId="12390"/>
    <cellStyle name="百分比 4 24" xfId="12391"/>
    <cellStyle name="百分比 4 25" xfId="12392"/>
    <cellStyle name="百分比 4 26" xfId="12393"/>
    <cellStyle name="百分比 4 27" xfId="12394"/>
    <cellStyle name="百分比 4 28" xfId="12395"/>
    <cellStyle name="百分比 4 3" xfId="12396"/>
    <cellStyle name="百分比 4 4" xfId="12397"/>
    <cellStyle name="百分比 4 5" xfId="12398"/>
    <cellStyle name="百分比 4 6" xfId="12399"/>
    <cellStyle name="百分比 4 7" xfId="12400"/>
    <cellStyle name="百分比 4 8" xfId="12401"/>
    <cellStyle name="百分比 4 9" xfId="12402"/>
    <cellStyle name="百分比 5" xfId="12403"/>
    <cellStyle name="百分比 5 10" xfId="12404"/>
    <cellStyle name="百分比 5 11" xfId="12405"/>
    <cellStyle name="百分比 5 12" xfId="12406"/>
    <cellStyle name="百分比 5 13" xfId="12407"/>
    <cellStyle name="百分比 5 14" xfId="12408"/>
    <cellStyle name="百分比 5 15" xfId="12409"/>
    <cellStyle name="百分比 5 16" xfId="12410"/>
    <cellStyle name="百分比 5 17" xfId="12411"/>
    <cellStyle name="百分比 5 18" xfId="12412"/>
    <cellStyle name="百分比 5 19" xfId="12413"/>
    <cellStyle name="百分比 5 2" xfId="12414"/>
    <cellStyle name="百分比 5 2 10" xfId="12415"/>
    <cellStyle name="百分比 5 2 11" xfId="12416"/>
    <cellStyle name="百分比 5 2 12" xfId="12417"/>
    <cellStyle name="百分比 5 2 13" xfId="12418"/>
    <cellStyle name="百分比 5 2 14" xfId="12419"/>
    <cellStyle name="百分比 5 2 15" xfId="12420"/>
    <cellStyle name="百分比 5 2 16" xfId="12421"/>
    <cellStyle name="百分比 5 2 17" xfId="12422"/>
    <cellStyle name="百分比 5 2 18" xfId="12423"/>
    <cellStyle name="百分比 5 2 19" xfId="12424"/>
    <cellStyle name="百分比 5 2 2" xfId="12425"/>
    <cellStyle name="百分比 5 2 20" xfId="12426"/>
    <cellStyle name="百分比 5 2 21" xfId="12427"/>
    <cellStyle name="百分比 5 2 22" xfId="12428"/>
    <cellStyle name="百分比 5 2 23" xfId="12429"/>
    <cellStyle name="百分比 5 2 24" xfId="12430"/>
    <cellStyle name="百分比 5 2 25" xfId="12431"/>
    <cellStyle name="百分比 5 2 26" xfId="12432"/>
    <cellStyle name="百分比 5 2 27" xfId="12433"/>
    <cellStyle name="百分比 5 2 3" xfId="12434"/>
    <cellStyle name="百分比 5 2 4" xfId="12435"/>
    <cellStyle name="百分比 5 2 5" xfId="12436"/>
    <cellStyle name="百分比 5 2 6" xfId="12437"/>
    <cellStyle name="百分比 5 2 7" xfId="12438"/>
    <cellStyle name="百分比 5 2 8" xfId="12439"/>
    <cellStyle name="百分比 5 2 9" xfId="12440"/>
    <cellStyle name="百分比 5 20" xfId="12441"/>
    <cellStyle name="百分比 5 21" xfId="12442"/>
    <cellStyle name="百分比 5 22" xfId="12443"/>
    <cellStyle name="百分比 5 23" xfId="12444"/>
    <cellStyle name="百分比 5 24" xfId="12445"/>
    <cellStyle name="百分比 5 25" xfId="12446"/>
    <cellStyle name="百分比 5 26" xfId="12447"/>
    <cellStyle name="百分比 5 27" xfId="12448"/>
    <cellStyle name="百分比 5 28" xfId="12449"/>
    <cellStyle name="百分比 5 3" xfId="12450"/>
    <cellStyle name="百分比 5 4" xfId="12451"/>
    <cellStyle name="百分比 5 5" xfId="12452"/>
    <cellStyle name="百分比 5 6" xfId="12453"/>
    <cellStyle name="百分比 5 7" xfId="12454"/>
    <cellStyle name="百分比 5 8" xfId="12455"/>
    <cellStyle name="百分比 5 9" xfId="12456"/>
    <cellStyle name="百分比 6" xfId="12457"/>
    <cellStyle name="百分比 6 10" xfId="12458"/>
    <cellStyle name="百分比 6 11" xfId="12459"/>
    <cellStyle name="百分比 6 12" xfId="12460"/>
    <cellStyle name="百分比 6 13" xfId="12461"/>
    <cellStyle name="百分比 6 14" xfId="12462"/>
    <cellStyle name="百分比 6 15" xfId="12463"/>
    <cellStyle name="百分比 6 16" xfId="12464"/>
    <cellStyle name="百分比 6 17" xfId="12465"/>
    <cellStyle name="百分比 6 18" xfId="12466"/>
    <cellStyle name="百分比 6 19" xfId="12467"/>
    <cellStyle name="百分比 6 2" xfId="12468"/>
    <cellStyle name="百分比 6 2 10" xfId="12469"/>
    <cellStyle name="百分比 6 2 11" xfId="12470"/>
    <cellStyle name="百分比 6 2 12" xfId="12471"/>
    <cellStyle name="百分比 6 2 13" xfId="12472"/>
    <cellStyle name="百分比 6 2 14" xfId="12473"/>
    <cellStyle name="百分比 6 2 15" xfId="12474"/>
    <cellStyle name="百分比 6 2 16" xfId="12475"/>
    <cellStyle name="百分比 6 2 17" xfId="12476"/>
    <cellStyle name="百分比 6 2 18" xfId="12477"/>
    <cellStyle name="百分比 6 2 19" xfId="12478"/>
    <cellStyle name="百分比 6 2 2" xfId="12479"/>
    <cellStyle name="百分比 6 2 20" xfId="12480"/>
    <cellStyle name="百分比 6 2 21" xfId="12481"/>
    <cellStyle name="百分比 6 2 22" xfId="12482"/>
    <cellStyle name="百分比 6 2 23" xfId="12483"/>
    <cellStyle name="百分比 6 2 24" xfId="12484"/>
    <cellStyle name="百分比 6 2 25" xfId="12485"/>
    <cellStyle name="百分比 6 2 26" xfId="12486"/>
    <cellStyle name="百分比 6 2 27" xfId="12487"/>
    <cellStyle name="百分比 6 2 3" xfId="12488"/>
    <cellStyle name="百分比 6 2 4" xfId="12489"/>
    <cellStyle name="百分比 6 2 5" xfId="12490"/>
    <cellStyle name="百分比 6 2 6" xfId="12491"/>
    <cellStyle name="百分比 6 2 7" xfId="12492"/>
    <cellStyle name="百分比 6 2 8" xfId="12493"/>
    <cellStyle name="百分比 6 2 9" xfId="12494"/>
    <cellStyle name="百分比 6 20" xfId="12495"/>
    <cellStyle name="百分比 6 21" xfId="12496"/>
    <cellStyle name="百分比 6 22" xfId="12497"/>
    <cellStyle name="百分比 6 23" xfId="12498"/>
    <cellStyle name="百分比 6 24" xfId="12499"/>
    <cellStyle name="百分比 6 25" xfId="12500"/>
    <cellStyle name="百分比 6 26" xfId="12501"/>
    <cellStyle name="百分比 6 27" xfId="12502"/>
    <cellStyle name="百分比 6 28" xfId="12503"/>
    <cellStyle name="百分比 6 3" xfId="12504"/>
    <cellStyle name="百分比 6 4" xfId="12505"/>
    <cellStyle name="百分比 6 5" xfId="12506"/>
    <cellStyle name="百分比 6 6" xfId="12507"/>
    <cellStyle name="百分比 6 7" xfId="12508"/>
    <cellStyle name="百分比 6 8" xfId="12509"/>
    <cellStyle name="百分比 6 9" xfId="12510"/>
    <cellStyle name="标题" xfId="12511" builtinId="15" customBuiltin="1"/>
    <cellStyle name="标题 1" xfId="12512" builtinId="16" customBuiltin="1"/>
    <cellStyle name="标题 1 10" xfId="12513"/>
    <cellStyle name="标题 1 10 10" xfId="12514"/>
    <cellStyle name="标题 1 10 11" xfId="12515"/>
    <cellStyle name="标题 1 10 12" xfId="12516"/>
    <cellStyle name="标题 1 10 13" xfId="12517"/>
    <cellStyle name="标题 1 10 14" xfId="12518"/>
    <cellStyle name="标题 1 10 15" xfId="12519"/>
    <cellStyle name="标题 1 10 16" xfId="12520"/>
    <cellStyle name="标题 1 10 17" xfId="12521"/>
    <cellStyle name="标题 1 10 18" xfId="12522"/>
    <cellStyle name="标题 1 10 19" xfId="12523"/>
    <cellStyle name="标题 1 10 2" xfId="12524"/>
    <cellStyle name="标题 1 10 2 10" xfId="12525"/>
    <cellStyle name="标题 1 10 2 11" xfId="12526"/>
    <cellStyle name="标题 1 10 2 12" xfId="12527"/>
    <cellStyle name="标题 1 10 2 13" xfId="12528"/>
    <cellStyle name="标题 1 10 2 14" xfId="12529"/>
    <cellStyle name="标题 1 10 2 15" xfId="12530"/>
    <cellStyle name="标题 1 10 2 16" xfId="12531"/>
    <cellStyle name="标题 1 10 2 17" xfId="12532"/>
    <cellStyle name="标题 1 10 2 18" xfId="12533"/>
    <cellStyle name="标题 1 10 2 19" xfId="12534"/>
    <cellStyle name="标题 1 10 2 2" xfId="12535"/>
    <cellStyle name="标题 1 10 2 20" xfId="12536"/>
    <cellStyle name="标题 1 10 2 21" xfId="12537"/>
    <cellStyle name="标题 1 10 2 22" xfId="12538"/>
    <cellStyle name="标题 1 10 2 23" xfId="12539"/>
    <cellStyle name="标题 1 10 2 24" xfId="12540"/>
    <cellStyle name="标题 1 10 2 25" xfId="12541"/>
    <cellStyle name="标题 1 10 2 26" xfId="12542"/>
    <cellStyle name="标题 1 10 2 27" xfId="12543"/>
    <cellStyle name="标题 1 10 2 3" xfId="12544"/>
    <cellStyle name="标题 1 10 2 4" xfId="12545"/>
    <cellStyle name="标题 1 10 2 5" xfId="12546"/>
    <cellStyle name="标题 1 10 2 6" xfId="12547"/>
    <cellStyle name="标题 1 10 2 7" xfId="12548"/>
    <cellStyle name="标题 1 10 2 8" xfId="12549"/>
    <cellStyle name="标题 1 10 2 9" xfId="12550"/>
    <cellStyle name="标题 1 10 20" xfId="12551"/>
    <cellStyle name="标题 1 10 21" xfId="12552"/>
    <cellStyle name="标题 1 10 22" xfId="12553"/>
    <cellStyle name="标题 1 10 23" xfId="12554"/>
    <cellStyle name="标题 1 10 24" xfId="12555"/>
    <cellStyle name="标题 1 10 25" xfId="12556"/>
    <cellStyle name="标题 1 10 26" xfId="12557"/>
    <cellStyle name="标题 1 10 27" xfId="12558"/>
    <cellStyle name="标题 1 10 28" xfId="12559"/>
    <cellStyle name="标题 1 10 3" xfId="12560"/>
    <cellStyle name="标题 1 10 4" xfId="12561"/>
    <cellStyle name="标题 1 10 5" xfId="12562"/>
    <cellStyle name="标题 1 10 6" xfId="12563"/>
    <cellStyle name="标题 1 10 7" xfId="12564"/>
    <cellStyle name="标题 1 10 8" xfId="12565"/>
    <cellStyle name="标题 1 10 9" xfId="12566"/>
    <cellStyle name="标题 1 11" xfId="12567"/>
    <cellStyle name="标题 1 11 10" xfId="12568"/>
    <cellStyle name="标题 1 11 11" xfId="12569"/>
    <cellStyle name="标题 1 11 12" xfId="12570"/>
    <cellStyle name="标题 1 11 13" xfId="12571"/>
    <cellStyle name="标题 1 11 14" xfId="12572"/>
    <cellStyle name="标题 1 11 15" xfId="12573"/>
    <cellStyle name="标题 1 11 16" xfId="12574"/>
    <cellStyle name="标题 1 11 17" xfId="12575"/>
    <cellStyle name="标题 1 11 18" xfId="12576"/>
    <cellStyle name="标题 1 11 19" xfId="12577"/>
    <cellStyle name="标题 1 11 2" xfId="12578"/>
    <cellStyle name="标题 1 11 2 10" xfId="12579"/>
    <cellStyle name="标题 1 11 2 11" xfId="12580"/>
    <cellStyle name="标题 1 11 2 12" xfId="12581"/>
    <cellStyle name="标题 1 11 2 13" xfId="12582"/>
    <cellStyle name="标题 1 11 2 14" xfId="12583"/>
    <cellStyle name="标题 1 11 2 15" xfId="12584"/>
    <cellStyle name="标题 1 11 2 16" xfId="12585"/>
    <cellStyle name="标题 1 11 2 17" xfId="12586"/>
    <cellStyle name="标题 1 11 2 18" xfId="12587"/>
    <cellStyle name="标题 1 11 2 19" xfId="12588"/>
    <cellStyle name="标题 1 11 2 2" xfId="12589"/>
    <cellStyle name="标题 1 11 2 20" xfId="12590"/>
    <cellStyle name="标题 1 11 2 21" xfId="12591"/>
    <cellStyle name="标题 1 11 2 22" xfId="12592"/>
    <cellStyle name="标题 1 11 2 23" xfId="12593"/>
    <cellStyle name="标题 1 11 2 24" xfId="12594"/>
    <cellStyle name="标题 1 11 2 25" xfId="12595"/>
    <cellStyle name="标题 1 11 2 26" xfId="12596"/>
    <cellStyle name="标题 1 11 2 27" xfId="12597"/>
    <cellStyle name="标题 1 11 2 3" xfId="12598"/>
    <cellStyle name="标题 1 11 2 4" xfId="12599"/>
    <cellStyle name="标题 1 11 2 5" xfId="12600"/>
    <cellStyle name="标题 1 11 2 6" xfId="12601"/>
    <cellStyle name="标题 1 11 2 7" xfId="12602"/>
    <cellStyle name="标题 1 11 2 8" xfId="12603"/>
    <cellStyle name="标题 1 11 2 9" xfId="12604"/>
    <cellStyle name="标题 1 11 20" xfId="12605"/>
    <cellStyle name="标题 1 11 21" xfId="12606"/>
    <cellStyle name="标题 1 11 22" xfId="12607"/>
    <cellStyle name="标题 1 11 23" xfId="12608"/>
    <cellStyle name="标题 1 11 24" xfId="12609"/>
    <cellStyle name="标题 1 11 25" xfId="12610"/>
    <cellStyle name="标题 1 11 26" xfId="12611"/>
    <cellStyle name="标题 1 11 27" xfId="12612"/>
    <cellStyle name="标题 1 11 28" xfId="12613"/>
    <cellStyle name="标题 1 11 3" xfId="12614"/>
    <cellStyle name="标题 1 11 4" xfId="12615"/>
    <cellStyle name="标题 1 11 5" xfId="12616"/>
    <cellStyle name="标题 1 11 6" xfId="12617"/>
    <cellStyle name="标题 1 11 7" xfId="12618"/>
    <cellStyle name="标题 1 11 8" xfId="12619"/>
    <cellStyle name="标题 1 11 9" xfId="12620"/>
    <cellStyle name="标题 1 12" xfId="12621"/>
    <cellStyle name="标题 1 13" xfId="12622"/>
    <cellStyle name="标题 1 14" xfId="12623"/>
    <cellStyle name="标题 1 15" xfId="12624"/>
    <cellStyle name="标题 1 16" xfId="12625"/>
    <cellStyle name="标题 1 17" xfId="12626"/>
    <cellStyle name="标题 1 18" xfId="12627"/>
    <cellStyle name="标题 1 19" xfId="12628"/>
    <cellStyle name="标题 1 2" xfId="12629"/>
    <cellStyle name="标题 1 2 10" xfId="12630"/>
    <cellStyle name="标题 1 2 11" xfId="12631"/>
    <cellStyle name="标题 1 2 12" xfId="12632"/>
    <cellStyle name="标题 1 2 13" xfId="12633"/>
    <cellStyle name="标题 1 2 14" xfId="12634"/>
    <cellStyle name="标题 1 2 15" xfId="12635"/>
    <cellStyle name="标题 1 2 16" xfId="12636"/>
    <cellStyle name="标题 1 2 17" xfId="12637"/>
    <cellStyle name="标题 1 2 18" xfId="12638"/>
    <cellStyle name="标题 1 2 19" xfId="12639"/>
    <cellStyle name="标题 1 2 2" xfId="12640"/>
    <cellStyle name="标题 1 2 2 10" xfId="12641"/>
    <cellStyle name="标题 1 2 2 11" xfId="12642"/>
    <cellStyle name="标题 1 2 2 12" xfId="12643"/>
    <cellStyle name="标题 1 2 2 13" xfId="12644"/>
    <cellStyle name="标题 1 2 2 14" xfId="12645"/>
    <cellStyle name="标题 1 2 2 15" xfId="12646"/>
    <cellStyle name="标题 1 2 2 16" xfId="12647"/>
    <cellStyle name="标题 1 2 2 17" xfId="12648"/>
    <cellStyle name="标题 1 2 2 18" xfId="12649"/>
    <cellStyle name="标题 1 2 2 19" xfId="12650"/>
    <cellStyle name="标题 1 2 2 2" xfId="12651"/>
    <cellStyle name="标题 1 2 2 2 10" xfId="12652"/>
    <cellStyle name="标题 1 2 2 2 11" xfId="12653"/>
    <cellStyle name="标题 1 2 2 2 12" xfId="12654"/>
    <cellStyle name="标题 1 2 2 2 13" xfId="12655"/>
    <cellStyle name="标题 1 2 2 2 14" xfId="12656"/>
    <cellStyle name="标题 1 2 2 2 15" xfId="12657"/>
    <cellStyle name="标题 1 2 2 2 16" xfId="12658"/>
    <cellStyle name="标题 1 2 2 2 17" xfId="12659"/>
    <cellStyle name="标题 1 2 2 2 18" xfId="12660"/>
    <cellStyle name="标题 1 2 2 2 19" xfId="12661"/>
    <cellStyle name="标题 1 2 2 2 2" xfId="12662"/>
    <cellStyle name="标题 1 2 2 2 20" xfId="12663"/>
    <cellStyle name="标题 1 2 2 2 21" xfId="12664"/>
    <cellStyle name="标题 1 2 2 2 22" xfId="12665"/>
    <cellStyle name="标题 1 2 2 2 23" xfId="12666"/>
    <cellStyle name="标题 1 2 2 2 24" xfId="12667"/>
    <cellStyle name="标题 1 2 2 2 25" xfId="12668"/>
    <cellStyle name="标题 1 2 2 2 26" xfId="12669"/>
    <cellStyle name="标题 1 2 2 2 27" xfId="12670"/>
    <cellStyle name="标题 1 2 2 2 3" xfId="12671"/>
    <cellStyle name="标题 1 2 2 2 4" xfId="12672"/>
    <cellStyle name="标题 1 2 2 2 5" xfId="12673"/>
    <cellStyle name="标题 1 2 2 2 6" xfId="12674"/>
    <cellStyle name="标题 1 2 2 2 7" xfId="12675"/>
    <cellStyle name="标题 1 2 2 2 8" xfId="12676"/>
    <cellStyle name="标题 1 2 2 2 9" xfId="12677"/>
    <cellStyle name="标题 1 2 2 20" xfId="12678"/>
    <cellStyle name="标题 1 2 2 21" xfId="12679"/>
    <cellStyle name="标题 1 2 2 22" xfId="12680"/>
    <cellStyle name="标题 1 2 2 23" xfId="12681"/>
    <cellStyle name="标题 1 2 2 24" xfId="12682"/>
    <cellStyle name="标题 1 2 2 25" xfId="12683"/>
    <cellStyle name="标题 1 2 2 26" xfId="12684"/>
    <cellStyle name="标题 1 2 2 27" xfId="12685"/>
    <cellStyle name="标题 1 2 2 28" xfId="12686"/>
    <cellStyle name="标题 1 2 2 3" xfId="12687"/>
    <cellStyle name="标题 1 2 2 4" xfId="12688"/>
    <cellStyle name="标题 1 2 2 5" xfId="12689"/>
    <cellStyle name="标题 1 2 2 6" xfId="12690"/>
    <cellStyle name="标题 1 2 2 7" xfId="12691"/>
    <cellStyle name="标题 1 2 2 8" xfId="12692"/>
    <cellStyle name="标题 1 2 2 9" xfId="12693"/>
    <cellStyle name="标题 1 2 20" xfId="12694"/>
    <cellStyle name="标题 1 2 21" xfId="12695"/>
    <cellStyle name="标题 1 2 22" xfId="12696"/>
    <cellStyle name="标题 1 2 23" xfId="12697"/>
    <cellStyle name="标题 1 2 24" xfId="12698"/>
    <cellStyle name="标题 1 2 25" xfId="12699"/>
    <cellStyle name="标题 1 2 26" xfId="12700"/>
    <cellStyle name="标题 1 2 27" xfId="12701"/>
    <cellStyle name="标题 1 2 28" xfId="12702"/>
    <cellStyle name="标题 1 2 29" xfId="12703"/>
    <cellStyle name="标题 1 2 3" xfId="12704"/>
    <cellStyle name="标题 1 2 3 10" xfId="12705"/>
    <cellStyle name="标题 1 2 3 11" xfId="12706"/>
    <cellStyle name="标题 1 2 3 12" xfId="12707"/>
    <cellStyle name="标题 1 2 3 13" xfId="12708"/>
    <cellStyle name="标题 1 2 3 14" xfId="12709"/>
    <cellStyle name="标题 1 2 3 15" xfId="12710"/>
    <cellStyle name="标题 1 2 3 16" xfId="12711"/>
    <cellStyle name="标题 1 2 3 17" xfId="12712"/>
    <cellStyle name="标题 1 2 3 18" xfId="12713"/>
    <cellStyle name="标题 1 2 3 19" xfId="12714"/>
    <cellStyle name="标题 1 2 3 2" xfId="12715"/>
    <cellStyle name="标题 1 2 3 2 10" xfId="12716"/>
    <cellStyle name="标题 1 2 3 2 11" xfId="12717"/>
    <cellStyle name="标题 1 2 3 2 12" xfId="12718"/>
    <cellStyle name="标题 1 2 3 2 13" xfId="12719"/>
    <cellStyle name="标题 1 2 3 2 14" xfId="12720"/>
    <cellStyle name="标题 1 2 3 2 15" xfId="12721"/>
    <cellStyle name="标题 1 2 3 2 16" xfId="12722"/>
    <cellStyle name="标题 1 2 3 2 17" xfId="12723"/>
    <cellStyle name="标题 1 2 3 2 18" xfId="12724"/>
    <cellStyle name="标题 1 2 3 2 19" xfId="12725"/>
    <cellStyle name="标题 1 2 3 2 2" xfId="12726"/>
    <cellStyle name="标题 1 2 3 2 20" xfId="12727"/>
    <cellStyle name="标题 1 2 3 2 21" xfId="12728"/>
    <cellStyle name="标题 1 2 3 2 22" xfId="12729"/>
    <cellStyle name="标题 1 2 3 2 23" xfId="12730"/>
    <cellStyle name="标题 1 2 3 2 24" xfId="12731"/>
    <cellStyle name="标题 1 2 3 2 25" xfId="12732"/>
    <cellStyle name="标题 1 2 3 2 26" xfId="12733"/>
    <cellStyle name="标题 1 2 3 2 27" xfId="12734"/>
    <cellStyle name="标题 1 2 3 2 3" xfId="12735"/>
    <cellStyle name="标题 1 2 3 2 4" xfId="12736"/>
    <cellStyle name="标题 1 2 3 2 5" xfId="12737"/>
    <cellStyle name="标题 1 2 3 2 6" xfId="12738"/>
    <cellStyle name="标题 1 2 3 2 7" xfId="12739"/>
    <cellStyle name="标题 1 2 3 2 8" xfId="12740"/>
    <cellStyle name="标题 1 2 3 2 9" xfId="12741"/>
    <cellStyle name="标题 1 2 3 20" xfId="12742"/>
    <cellStyle name="标题 1 2 3 21" xfId="12743"/>
    <cellStyle name="标题 1 2 3 22" xfId="12744"/>
    <cellStyle name="标题 1 2 3 23" xfId="12745"/>
    <cellStyle name="标题 1 2 3 24" xfId="12746"/>
    <cellStyle name="标题 1 2 3 25" xfId="12747"/>
    <cellStyle name="标题 1 2 3 26" xfId="12748"/>
    <cellStyle name="标题 1 2 3 27" xfId="12749"/>
    <cellStyle name="标题 1 2 3 28" xfId="12750"/>
    <cellStyle name="标题 1 2 3 3" xfId="12751"/>
    <cellStyle name="标题 1 2 3 4" xfId="12752"/>
    <cellStyle name="标题 1 2 3 5" xfId="12753"/>
    <cellStyle name="标题 1 2 3 6" xfId="12754"/>
    <cellStyle name="标题 1 2 3 7" xfId="12755"/>
    <cellStyle name="标题 1 2 3 8" xfId="12756"/>
    <cellStyle name="标题 1 2 3 9" xfId="12757"/>
    <cellStyle name="标题 1 2 30" xfId="12758"/>
    <cellStyle name="标题 1 2 31" xfId="12759"/>
    <cellStyle name="标题 1 2 32" xfId="12760"/>
    <cellStyle name="标题 1 2 33" xfId="12761"/>
    <cellStyle name="标题 1 2 4" xfId="12762"/>
    <cellStyle name="标题 1 2 4 10" xfId="12763"/>
    <cellStyle name="标题 1 2 4 11" xfId="12764"/>
    <cellStyle name="标题 1 2 4 12" xfId="12765"/>
    <cellStyle name="标题 1 2 4 13" xfId="12766"/>
    <cellStyle name="标题 1 2 4 14" xfId="12767"/>
    <cellStyle name="标题 1 2 4 15" xfId="12768"/>
    <cellStyle name="标题 1 2 4 16" xfId="12769"/>
    <cellStyle name="标题 1 2 4 17" xfId="12770"/>
    <cellStyle name="标题 1 2 4 18" xfId="12771"/>
    <cellStyle name="标题 1 2 4 19" xfId="12772"/>
    <cellStyle name="标题 1 2 4 2" xfId="12773"/>
    <cellStyle name="标题 1 2 4 20" xfId="12774"/>
    <cellStyle name="标题 1 2 4 21" xfId="12775"/>
    <cellStyle name="标题 1 2 4 22" xfId="12776"/>
    <cellStyle name="标题 1 2 4 23" xfId="12777"/>
    <cellStyle name="标题 1 2 4 24" xfId="12778"/>
    <cellStyle name="标题 1 2 4 25" xfId="12779"/>
    <cellStyle name="标题 1 2 4 26" xfId="12780"/>
    <cellStyle name="标题 1 2 4 27" xfId="12781"/>
    <cellStyle name="标题 1 2 4 3" xfId="12782"/>
    <cellStyle name="标题 1 2 4 4" xfId="12783"/>
    <cellStyle name="标题 1 2 4 5" xfId="12784"/>
    <cellStyle name="标题 1 2 4 6" xfId="12785"/>
    <cellStyle name="标题 1 2 4 7" xfId="12786"/>
    <cellStyle name="标题 1 2 4 8" xfId="12787"/>
    <cellStyle name="标题 1 2 4 9" xfId="12788"/>
    <cellStyle name="标题 1 2 5" xfId="12789"/>
    <cellStyle name="标题 1 2 6" xfId="12790"/>
    <cellStyle name="标题 1 2 7" xfId="12791"/>
    <cellStyle name="标题 1 2 8" xfId="12792"/>
    <cellStyle name="标题 1 2 9" xfId="12793"/>
    <cellStyle name="标题 1 20" xfId="12794"/>
    <cellStyle name="标题 1 21" xfId="12795"/>
    <cellStyle name="标题 1 22" xfId="12796"/>
    <cellStyle name="标题 1 23" xfId="12797"/>
    <cellStyle name="标题 1 24" xfId="12798"/>
    <cellStyle name="标题 1 25" xfId="12799"/>
    <cellStyle name="标题 1 26" xfId="12800"/>
    <cellStyle name="标题 1 27" xfId="12801"/>
    <cellStyle name="标题 1 28" xfId="12802"/>
    <cellStyle name="标题 1 29" xfId="12803"/>
    <cellStyle name="标题 1 3" xfId="12804"/>
    <cellStyle name="标题 1 3 10" xfId="12805"/>
    <cellStyle name="标题 1 3 11" xfId="12806"/>
    <cellStyle name="标题 1 3 12" xfId="12807"/>
    <cellStyle name="标题 1 3 13" xfId="12808"/>
    <cellStyle name="标题 1 3 14" xfId="12809"/>
    <cellStyle name="标题 1 3 15" xfId="12810"/>
    <cellStyle name="标题 1 3 16" xfId="12811"/>
    <cellStyle name="标题 1 3 17" xfId="12812"/>
    <cellStyle name="标题 1 3 18" xfId="12813"/>
    <cellStyle name="标题 1 3 19" xfId="12814"/>
    <cellStyle name="标题 1 3 2" xfId="12815"/>
    <cellStyle name="标题 1 3 2 10" xfId="12816"/>
    <cellStyle name="标题 1 3 2 11" xfId="12817"/>
    <cellStyle name="标题 1 3 2 12" xfId="12818"/>
    <cellStyle name="标题 1 3 2 13" xfId="12819"/>
    <cellStyle name="标题 1 3 2 14" xfId="12820"/>
    <cellStyle name="标题 1 3 2 15" xfId="12821"/>
    <cellStyle name="标题 1 3 2 16" xfId="12822"/>
    <cellStyle name="标题 1 3 2 17" xfId="12823"/>
    <cellStyle name="标题 1 3 2 18" xfId="12824"/>
    <cellStyle name="标题 1 3 2 19" xfId="12825"/>
    <cellStyle name="标题 1 3 2 2" xfId="12826"/>
    <cellStyle name="标题 1 3 2 20" xfId="12827"/>
    <cellStyle name="标题 1 3 2 21" xfId="12828"/>
    <cellStyle name="标题 1 3 2 22" xfId="12829"/>
    <cellStyle name="标题 1 3 2 23" xfId="12830"/>
    <cellStyle name="标题 1 3 2 24" xfId="12831"/>
    <cellStyle name="标题 1 3 2 25" xfId="12832"/>
    <cellStyle name="标题 1 3 2 26" xfId="12833"/>
    <cellStyle name="标题 1 3 2 27" xfId="12834"/>
    <cellStyle name="标题 1 3 2 3" xfId="12835"/>
    <cellStyle name="标题 1 3 2 4" xfId="12836"/>
    <cellStyle name="标题 1 3 2 5" xfId="12837"/>
    <cellStyle name="标题 1 3 2 6" xfId="12838"/>
    <cellStyle name="标题 1 3 2 7" xfId="12839"/>
    <cellStyle name="标题 1 3 2 8" xfId="12840"/>
    <cellStyle name="标题 1 3 2 9" xfId="12841"/>
    <cellStyle name="标题 1 3 20" xfId="12842"/>
    <cellStyle name="标题 1 3 21" xfId="12843"/>
    <cellStyle name="标题 1 3 22" xfId="12844"/>
    <cellStyle name="标题 1 3 23" xfId="12845"/>
    <cellStyle name="标题 1 3 24" xfId="12846"/>
    <cellStyle name="标题 1 3 25" xfId="12847"/>
    <cellStyle name="标题 1 3 26" xfId="12848"/>
    <cellStyle name="标题 1 3 27" xfId="12849"/>
    <cellStyle name="标题 1 3 28" xfId="12850"/>
    <cellStyle name="标题 1 3 3" xfId="12851"/>
    <cellStyle name="标题 1 3 4" xfId="12852"/>
    <cellStyle name="标题 1 3 5" xfId="12853"/>
    <cellStyle name="标题 1 3 6" xfId="12854"/>
    <cellStyle name="标题 1 3 7" xfId="12855"/>
    <cellStyle name="标题 1 3 8" xfId="12856"/>
    <cellStyle name="标题 1 3 9" xfId="12857"/>
    <cellStyle name="标题 1 30" xfId="12858"/>
    <cellStyle name="标题 1 31" xfId="12859"/>
    <cellStyle name="标题 1 32" xfId="12860"/>
    <cellStyle name="标题 1 33" xfId="12861"/>
    <cellStyle name="标题 1 34" xfId="12862"/>
    <cellStyle name="标题 1 35" xfId="12863"/>
    <cellStyle name="标题 1 36" xfId="12864"/>
    <cellStyle name="标题 1 37" xfId="12865"/>
    <cellStyle name="标题 1 38" xfId="12866"/>
    <cellStyle name="标题 1 39" xfId="12867"/>
    <cellStyle name="标题 1 4" xfId="12868"/>
    <cellStyle name="标题 1 4 10" xfId="12869"/>
    <cellStyle name="标题 1 4 11" xfId="12870"/>
    <cellStyle name="标题 1 4 12" xfId="12871"/>
    <cellStyle name="标题 1 4 13" xfId="12872"/>
    <cellStyle name="标题 1 4 14" xfId="12873"/>
    <cellStyle name="标题 1 4 15" xfId="12874"/>
    <cellStyle name="标题 1 4 16" xfId="12875"/>
    <cellStyle name="标题 1 4 17" xfId="12876"/>
    <cellStyle name="标题 1 4 18" xfId="12877"/>
    <cellStyle name="标题 1 4 19" xfId="12878"/>
    <cellStyle name="标题 1 4 2" xfId="12879"/>
    <cellStyle name="标题 1 4 2 10" xfId="12880"/>
    <cellStyle name="标题 1 4 2 11" xfId="12881"/>
    <cellStyle name="标题 1 4 2 12" xfId="12882"/>
    <cellStyle name="标题 1 4 2 13" xfId="12883"/>
    <cellStyle name="标题 1 4 2 14" xfId="12884"/>
    <cellStyle name="标题 1 4 2 15" xfId="12885"/>
    <cellStyle name="标题 1 4 2 16" xfId="12886"/>
    <cellStyle name="标题 1 4 2 17" xfId="12887"/>
    <cellStyle name="标题 1 4 2 18" xfId="12888"/>
    <cellStyle name="标题 1 4 2 19" xfId="12889"/>
    <cellStyle name="标题 1 4 2 2" xfId="12890"/>
    <cellStyle name="标题 1 4 2 20" xfId="12891"/>
    <cellStyle name="标题 1 4 2 21" xfId="12892"/>
    <cellStyle name="标题 1 4 2 22" xfId="12893"/>
    <cellStyle name="标题 1 4 2 23" xfId="12894"/>
    <cellStyle name="标题 1 4 2 24" xfId="12895"/>
    <cellStyle name="标题 1 4 2 25" xfId="12896"/>
    <cellStyle name="标题 1 4 2 26" xfId="12897"/>
    <cellStyle name="标题 1 4 2 27" xfId="12898"/>
    <cellStyle name="标题 1 4 2 3" xfId="12899"/>
    <cellStyle name="标题 1 4 2 4" xfId="12900"/>
    <cellStyle name="标题 1 4 2 5" xfId="12901"/>
    <cellStyle name="标题 1 4 2 6" xfId="12902"/>
    <cellStyle name="标题 1 4 2 7" xfId="12903"/>
    <cellStyle name="标题 1 4 2 8" xfId="12904"/>
    <cellStyle name="标题 1 4 2 9" xfId="12905"/>
    <cellStyle name="标题 1 4 20" xfId="12906"/>
    <cellStyle name="标题 1 4 21" xfId="12907"/>
    <cellStyle name="标题 1 4 22" xfId="12908"/>
    <cellStyle name="标题 1 4 23" xfId="12909"/>
    <cellStyle name="标题 1 4 24" xfId="12910"/>
    <cellStyle name="标题 1 4 25" xfId="12911"/>
    <cellStyle name="标题 1 4 26" xfId="12912"/>
    <cellStyle name="标题 1 4 27" xfId="12913"/>
    <cellStyle name="标题 1 4 28" xfId="12914"/>
    <cellStyle name="标题 1 4 3" xfId="12915"/>
    <cellStyle name="标题 1 4 4" xfId="12916"/>
    <cellStyle name="标题 1 4 5" xfId="12917"/>
    <cellStyle name="标题 1 4 6" xfId="12918"/>
    <cellStyle name="标题 1 4 7" xfId="12919"/>
    <cellStyle name="标题 1 4 8" xfId="12920"/>
    <cellStyle name="标题 1 4 9" xfId="12921"/>
    <cellStyle name="标题 1 40" xfId="12922"/>
    <cellStyle name="标题 1 5" xfId="12923"/>
    <cellStyle name="标题 1 5 10" xfId="12924"/>
    <cellStyle name="标题 1 5 11" xfId="12925"/>
    <cellStyle name="标题 1 5 12" xfId="12926"/>
    <cellStyle name="标题 1 5 13" xfId="12927"/>
    <cellStyle name="标题 1 5 14" xfId="12928"/>
    <cellStyle name="标题 1 5 15" xfId="12929"/>
    <cellStyle name="标题 1 5 16" xfId="12930"/>
    <cellStyle name="标题 1 5 17" xfId="12931"/>
    <cellStyle name="标题 1 5 18" xfId="12932"/>
    <cellStyle name="标题 1 5 19" xfId="12933"/>
    <cellStyle name="标题 1 5 2" xfId="12934"/>
    <cellStyle name="标题 1 5 2 10" xfId="12935"/>
    <cellStyle name="标题 1 5 2 11" xfId="12936"/>
    <cellStyle name="标题 1 5 2 12" xfId="12937"/>
    <cellStyle name="标题 1 5 2 13" xfId="12938"/>
    <cellStyle name="标题 1 5 2 14" xfId="12939"/>
    <cellStyle name="标题 1 5 2 15" xfId="12940"/>
    <cellStyle name="标题 1 5 2 16" xfId="12941"/>
    <cellStyle name="标题 1 5 2 17" xfId="12942"/>
    <cellStyle name="标题 1 5 2 18" xfId="12943"/>
    <cellStyle name="标题 1 5 2 19" xfId="12944"/>
    <cellStyle name="标题 1 5 2 2" xfId="12945"/>
    <cellStyle name="标题 1 5 2 20" xfId="12946"/>
    <cellStyle name="标题 1 5 2 21" xfId="12947"/>
    <cellStyle name="标题 1 5 2 22" xfId="12948"/>
    <cellStyle name="标题 1 5 2 23" xfId="12949"/>
    <cellStyle name="标题 1 5 2 24" xfId="12950"/>
    <cellStyle name="标题 1 5 2 25" xfId="12951"/>
    <cellStyle name="标题 1 5 2 26" xfId="12952"/>
    <cellStyle name="标题 1 5 2 27" xfId="12953"/>
    <cellStyle name="标题 1 5 2 3" xfId="12954"/>
    <cellStyle name="标题 1 5 2 4" xfId="12955"/>
    <cellStyle name="标题 1 5 2 5" xfId="12956"/>
    <cellStyle name="标题 1 5 2 6" xfId="12957"/>
    <cellStyle name="标题 1 5 2 7" xfId="12958"/>
    <cellStyle name="标题 1 5 2 8" xfId="12959"/>
    <cellStyle name="标题 1 5 2 9" xfId="12960"/>
    <cellStyle name="标题 1 5 20" xfId="12961"/>
    <cellStyle name="标题 1 5 21" xfId="12962"/>
    <cellStyle name="标题 1 5 22" xfId="12963"/>
    <cellStyle name="标题 1 5 23" xfId="12964"/>
    <cellStyle name="标题 1 5 24" xfId="12965"/>
    <cellStyle name="标题 1 5 25" xfId="12966"/>
    <cellStyle name="标题 1 5 26" xfId="12967"/>
    <cellStyle name="标题 1 5 27" xfId="12968"/>
    <cellStyle name="标题 1 5 28" xfId="12969"/>
    <cellStyle name="标题 1 5 3" xfId="12970"/>
    <cellStyle name="标题 1 5 4" xfId="12971"/>
    <cellStyle name="标题 1 5 5" xfId="12972"/>
    <cellStyle name="标题 1 5 6" xfId="12973"/>
    <cellStyle name="标题 1 5 7" xfId="12974"/>
    <cellStyle name="标题 1 5 8" xfId="12975"/>
    <cellStyle name="标题 1 5 9" xfId="12976"/>
    <cellStyle name="标题 1 6" xfId="12977"/>
    <cellStyle name="标题 1 6 10" xfId="12978"/>
    <cellStyle name="标题 1 6 11" xfId="12979"/>
    <cellStyle name="标题 1 6 12" xfId="12980"/>
    <cellStyle name="标题 1 6 13" xfId="12981"/>
    <cellStyle name="标题 1 6 14" xfId="12982"/>
    <cellStyle name="标题 1 6 15" xfId="12983"/>
    <cellStyle name="标题 1 6 16" xfId="12984"/>
    <cellStyle name="标题 1 6 17" xfId="12985"/>
    <cellStyle name="标题 1 6 18" xfId="12986"/>
    <cellStyle name="标题 1 6 19" xfId="12987"/>
    <cellStyle name="标题 1 6 2" xfId="12988"/>
    <cellStyle name="标题 1 6 2 10" xfId="12989"/>
    <cellStyle name="标题 1 6 2 11" xfId="12990"/>
    <cellStyle name="标题 1 6 2 12" xfId="12991"/>
    <cellStyle name="标题 1 6 2 13" xfId="12992"/>
    <cellStyle name="标题 1 6 2 14" xfId="12993"/>
    <cellStyle name="标题 1 6 2 15" xfId="12994"/>
    <cellStyle name="标题 1 6 2 16" xfId="12995"/>
    <cellStyle name="标题 1 6 2 17" xfId="12996"/>
    <cellStyle name="标题 1 6 2 18" xfId="12997"/>
    <cellStyle name="标题 1 6 2 19" xfId="12998"/>
    <cellStyle name="标题 1 6 2 2" xfId="12999"/>
    <cellStyle name="标题 1 6 2 20" xfId="13000"/>
    <cellStyle name="标题 1 6 2 21" xfId="13001"/>
    <cellStyle name="标题 1 6 2 22" xfId="13002"/>
    <cellStyle name="标题 1 6 2 23" xfId="13003"/>
    <cellStyle name="标题 1 6 2 24" xfId="13004"/>
    <cellStyle name="标题 1 6 2 25" xfId="13005"/>
    <cellStyle name="标题 1 6 2 26" xfId="13006"/>
    <cellStyle name="标题 1 6 2 27" xfId="13007"/>
    <cellStyle name="标题 1 6 2 3" xfId="13008"/>
    <cellStyle name="标题 1 6 2 4" xfId="13009"/>
    <cellStyle name="标题 1 6 2 5" xfId="13010"/>
    <cellStyle name="标题 1 6 2 6" xfId="13011"/>
    <cellStyle name="标题 1 6 2 7" xfId="13012"/>
    <cellStyle name="标题 1 6 2 8" xfId="13013"/>
    <cellStyle name="标题 1 6 2 9" xfId="13014"/>
    <cellStyle name="标题 1 6 20" xfId="13015"/>
    <cellStyle name="标题 1 6 21" xfId="13016"/>
    <cellStyle name="标题 1 6 22" xfId="13017"/>
    <cellStyle name="标题 1 6 23" xfId="13018"/>
    <cellStyle name="标题 1 6 24" xfId="13019"/>
    <cellStyle name="标题 1 6 25" xfId="13020"/>
    <cellStyle name="标题 1 6 26" xfId="13021"/>
    <cellStyle name="标题 1 6 27" xfId="13022"/>
    <cellStyle name="标题 1 6 28" xfId="13023"/>
    <cellStyle name="标题 1 6 3" xfId="13024"/>
    <cellStyle name="标题 1 6 4" xfId="13025"/>
    <cellStyle name="标题 1 6 5" xfId="13026"/>
    <cellStyle name="标题 1 6 6" xfId="13027"/>
    <cellStyle name="标题 1 6 7" xfId="13028"/>
    <cellStyle name="标题 1 6 8" xfId="13029"/>
    <cellStyle name="标题 1 6 9" xfId="13030"/>
    <cellStyle name="标题 1 7" xfId="13031"/>
    <cellStyle name="标题 1 7 10" xfId="13032"/>
    <cellStyle name="标题 1 7 11" xfId="13033"/>
    <cellStyle name="标题 1 7 12" xfId="13034"/>
    <cellStyle name="标题 1 7 13" xfId="13035"/>
    <cellStyle name="标题 1 7 14" xfId="13036"/>
    <cellStyle name="标题 1 7 15" xfId="13037"/>
    <cellStyle name="标题 1 7 16" xfId="13038"/>
    <cellStyle name="标题 1 7 17" xfId="13039"/>
    <cellStyle name="标题 1 7 18" xfId="13040"/>
    <cellStyle name="标题 1 7 19" xfId="13041"/>
    <cellStyle name="标题 1 7 2" xfId="13042"/>
    <cellStyle name="标题 1 7 2 10" xfId="13043"/>
    <cellStyle name="标题 1 7 2 11" xfId="13044"/>
    <cellStyle name="标题 1 7 2 12" xfId="13045"/>
    <cellStyle name="标题 1 7 2 13" xfId="13046"/>
    <cellStyle name="标题 1 7 2 14" xfId="13047"/>
    <cellStyle name="标题 1 7 2 15" xfId="13048"/>
    <cellStyle name="标题 1 7 2 16" xfId="13049"/>
    <cellStyle name="标题 1 7 2 17" xfId="13050"/>
    <cellStyle name="标题 1 7 2 18" xfId="13051"/>
    <cellStyle name="标题 1 7 2 19" xfId="13052"/>
    <cellStyle name="标题 1 7 2 2" xfId="13053"/>
    <cellStyle name="标题 1 7 2 20" xfId="13054"/>
    <cellStyle name="标题 1 7 2 21" xfId="13055"/>
    <cellStyle name="标题 1 7 2 22" xfId="13056"/>
    <cellStyle name="标题 1 7 2 23" xfId="13057"/>
    <cellStyle name="标题 1 7 2 24" xfId="13058"/>
    <cellStyle name="标题 1 7 2 25" xfId="13059"/>
    <cellStyle name="标题 1 7 2 26" xfId="13060"/>
    <cellStyle name="标题 1 7 2 27" xfId="13061"/>
    <cellStyle name="标题 1 7 2 3" xfId="13062"/>
    <cellStyle name="标题 1 7 2 4" xfId="13063"/>
    <cellStyle name="标题 1 7 2 5" xfId="13064"/>
    <cellStyle name="标题 1 7 2 6" xfId="13065"/>
    <cellStyle name="标题 1 7 2 7" xfId="13066"/>
    <cellStyle name="标题 1 7 2 8" xfId="13067"/>
    <cellStyle name="标题 1 7 2 9" xfId="13068"/>
    <cellStyle name="标题 1 7 20" xfId="13069"/>
    <cellStyle name="标题 1 7 21" xfId="13070"/>
    <cellStyle name="标题 1 7 22" xfId="13071"/>
    <cellStyle name="标题 1 7 23" xfId="13072"/>
    <cellStyle name="标题 1 7 24" xfId="13073"/>
    <cellStyle name="标题 1 7 25" xfId="13074"/>
    <cellStyle name="标题 1 7 26" xfId="13075"/>
    <cellStyle name="标题 1 7 27" xfId="13076"/>
    <cellStyle name="标题 1 7 28" xfId="13077"/>
    <cellStyle name="标题 1 7 3" xfId="13078"/>
    <cellStyle name="标题 1 7 4" xfId="13079"/>
    <cellStyle name="标题 1 7 5" xfId="13080"/>
    <cellStyle name="标题 1 7 6" xfId="13081"/>
    <cellStyle name="标题 1 7 7" xfId="13082"/>
    <cellStyle name="标题 1 7 8" xfId="13083"/>
    <cellStyle name="标题 1 7 9" xfId="13084"/>
    <cellStyle name="标题 1 8" xfId="13085"/>
    <cellStyle name="标题 1 8 10" xfId="13086"/>
    <cellStyle name="标题 1 8 11" xfId="13087"/>
    <cellStyle name="标题 1 8 12" xfId="13088"/>
    <cellStyle name="标题 1 8 13" xfId="13089"/>
    <cellStyle name="标题 1 8 14" xfId="13090"/>
    <cellStyle name="标题 1 8 15" xfId="13091"/>
    <cellStyle name="标题 1 8 16" xfId="13092"/>
    <cellStyle name="标题 1 8 17" xfId="13093"/>
    <cellStyle name="标题 1 8 18" xfId="13094"/>
    <cellStyle name="标题 1 8 19" xfId="13095"/>
    <cellStyle name="标题 1 8 2" xfId="13096"/>
    <cellStyle name="标题 1 8 2 10" xfId="13097"/>
    <cellStyle name="标题 1 8 2 11" xfId="13098"/>
    <cellStyle name="标题 1 8 2 12" xfId="13099"/>
    <cellStyle name="标题 1 8 2 13" xfId="13100"/>
    <cellStyle name="标题 1 8 2 14" xfId="13101"/>
    <cellStyle name="标题 1 8 2 15" xfId="13102"/>
    <cellStyle name="标题 1 8 2 16" xfId="13103"/>
    <cellStyle name="标题 1 8 2 17" xfId="13104"/>
    <cellStyle name="标题 1 8 2 18" xfId="13105"/>
    <cellStyle name="标题 1 8 2 19" xfId="13106"/>
    <cellStyle name="标题 1 8 2 2" xfId="13107"/>
    <cellStyle name="标题 1 8 2 20" xfId="13108"/>
    <cellStyle name="标题 1 8 2 21" xfId="13109"/>
    <cellStyle name="标题 1 8 2 22" xfId="13110"/>
    <cellStyle name="标题 1 8 2 23" xfId="13111"/>
    <cellStyle name="标题 1 8 2 24" xfId="13112"/>
    <cellStyle name="标题 1 8 2 25" xfId="13113"/>
    <cellStyle name="标题 1 8 2 26" xfId="13114"/>
    <cellStyle name="标题 1 8 2 27" xfId="13115"/>
    <cellStyle name="标题 1 8 2 3" xfId="13116"/>
    <cellStyle name="标题 1 8 2 4" xfId="13117"/>
    <cellStyle name="标题 1 8 2 5" xfId="13118"/>
    <cellStyle name="标题 1 8 2 6" xfId="13119"/>
    <cellStyle name="标题 1 8 2 7" xfId="13120"/>
    <cellStyle name="标题 1 8 2 8" xfId="13121"/>
    <cellStyle name="标题 1 8 2 9" xfId="13122"/>
    <cellStyle name="标题 1 8 20" xfId="13123"/>
    <cellStyle name="标题 1 8 21" xfId="13124"/>
    <cellStyle name="标题 1 8 22" xfId="13125"/>
    <cellStyle name="标题 1 8 23" xfId="13126"/>
    <cellStyle name="标题 1 8 24" xfId="13127"/>
    <cellStyle name="标题 1 8 25" xfId="13128"/>
    <cellStyle name="标题 1 8 26" xfId="13129"/>
    <cellStyle name="标题 1 8 27" xfId="13130"/>
    <cellStyle name="标题 1 8 28" xfId="13131"/>
    <cellStyle name="标题 1 8 3" xfId="13132"/>
    <cellStyle name="标题 1 8 4" xfId="13133"/>
    <cellStyle name="标题 1 8 5" xfId="13134"/>
    <cellStyle name="标题 1 8 6" xfId="13135"/>
    <cellStyle name="标题 1 8 7" xfId="13136"/>
    <cellStyle name="标题 1 8 8" xfId="13137"/>
    <cellStyle name="标题 1 8 9" xfId="13138"/>
    <cellStyle name="标题 1 9" xfId="13139"/>
    <cellStyle name="标题 1 9 10" xfId="13140"/>
    <cellStyle name="标题 1 9 11" xfId="13141"/>
    <cellStyle name="标题 1 9 12" xfId="13142"/>
    <cellStyle name="标题 1 9 13" xfId="13143"/>
    <cellStyle name="标题 1 9 14" xfId="13144"/>
    <cellStyle name="标题 1 9 15" xfId="13145"/>
    <cellStyle name="标题 1 9 16" xfId="13146"/>
    <cellStyle name="标题 1 9 17" xfId="13147"/>
    <cellStyle name="标题 1 9 18" xfId="13148"/>
    <cellStyle name="标题 1 9 19" xfId="13149"/>
    <cellStyle name="标题 1 9 2" xfId="13150"/>
    <cellStyle name="标题 1 9 2 10" xfId="13151"/>
    <cellStyle name="标题 1 9 2 11" xfId="13152"/>
    <cellStyle name="标题 1 9 2 12" xfId="13153"/>
    <cellStyle name="标题 1 9 2 13" xfId="13154"/>
    <cellStyle name="标题 1 9 2 14" xfId="13155"/>
    <cellStyle name="标题 1 9 2 15" xfId="13156"/>
    <cellStyle name="标题 1 9 2 16" xfId="13157"/>
    <cellStyle name="标题 1 9 2 17" xfId="13158"/>
    <cellStyle name="标题 1 9 2 18" xfId="13159"/>
    <cellStyle name="标题 1 9 2 19" xfId="13160"/>
    <cellStyle name="标题 1 9 2 2" xfId="13161"/>
    <cellStyle name="标题 1 9 2 20" xfId="13162"/>
    <cellStyle name="标题 1 9 2 21" xfId="13163"/>
    <cellStyle name="标题 1 9 2 22" xfId="13164"/>
    <cellStyle name="标题 1 9 2 23" xfId="13165"/>
    <cellStyle name="标题 1 9 2 24" xfId="13166"/>
    <cellStyle name="标题 1 9 2 25" xfId="13167"/>
    <cellStyle name="标题 1 9 2 26" xfId="13168"/>
    <cellStyle name="标题 1 9 2 27" xfId="13169"/>
    <cellStyle name="标题 1 9 2 3" xfId="13170"/>
    <cellStyle name="标题 1 9 2 4" xfId="13171"/>
    <cellStyle name="标题 1 9 2 5" xfId="13172"/>
    <cellStyle name="标题 1 9 2 6" xfId="13173"/>
    <cellStyle name="标题 1 9 2 7" xfId="13174"/>
    <cellStyle name="标题 1 9 2 8" xfId="13175"/>
    <cellStyle name="标题 1 9 2 9" xfId="13176"/>
    <cellStyle name="标题 1 9 20" xfId="13177"/>
    <cellStyle name="标题 1 9 21" xfId="13178"/>
    <cellStyle name="标题 1 9 22" xfId="13179"/>
    <cellStyle name="标题 1 9 23" xfId="13180"/>
    <cellStyle name="标题 1 9 24" xfId="13181"/>
    <cellStyle name="标题 1 9 25" xfId="13182"/>
    <cellStyle name="标题 1 9 26" xfId="13183"/>
    <cellStyle name="标题 1 9 27" xfId="13184"/>
    <cellStyle name="标题 1 9 28" xfId="13185"/>
    <cellStyle name="标题 1 9 3" xfId="13186"/>
    <cellStyle name="标题 1 9 4" xfId="13187"/>
    <cellStyle name="标题 1 9 5" xfId="13188"/>
    <cellStyle name="标题 1 9 6" xfId="13189"/>
    <cellStyle name="标题 1 9 7" xfId="13190"/>
    <cellStyle name="标题 1 9 8" xfId="13191"/>
    <cellStyle name="标题 1 9 9" xfId="13192"/>
    <cellStyle name="标题 10" xfId="13193"/>
    <cellStyle name="标题 10 10" xfId="13194"/>
    <cellStyle name="标题 10 11" xfId="13195"/>
    <cellStyle name="标题 10 12" xfId="13196"/>
    <cellStyle name="标题 10 13" xfId="13197"/>
    <cellStyle name="标题 10 14" xfId="13198"/>
    <cellStyle name="标题 10 15" xfId="13199"/>
    <cellStyle name="标题 10 16" xfId="13200"/>
    <cellStyle name="标题 10 17" xfId="13201"/>
    <cellStyle name="标题 10 18" xfId="13202"/>
    <cellStyle name="标题 10 19" xfId="13203"/>
    <cellStyle name="标题 10 2" xfId="13204"/>
    <cellStyle name="标题 10 2 10" xfId="13205"/>
    <cellStyle name="标题 10 2 11" xfId="13206"/>
    <cellStyle name="标题 10 2 12" xfId="13207"/>
    <cellStyle name="标题 10 2 13" xfId="13208"/>
    <cellStyle name="标题 10 2 14" xfId="13209"/>
    <cellStyle name="标题 10 2 15" xfId="13210"/>
    <cellStyle name="标题 10 2 16" xfId="13211"/>
    <cellStyle name="标题 10 2 17" xfId="13212"/>
    <cellStyle name="标题 10 2 18" xfId="13213"/>
    <cellStyle name="标题 10 2 19" xfId="13214"/>
    <cellStyle name="标题 10 2 2" xfId="13215"/>
    <cellStyle name="标题 10 2 20" xfId="13216"/>
    <cellStyle name="标题 10 2 21" xfId="13217"/>
    <cellStyle name="标题 10 2 22" xfId="13218"/>
    <cellStyle name="标题 10 2 23" xfId="13219"/>
    <cellStyle name="标题 10 2 24" xfId="13220"/>
    <cellStyle name="标题 10 2 25" xfId="13221"/>
    <cellStyle name="标题 10 2 26" xfId="13222"/>
    <cellStyle name="标题 10 2 27" xfId="13223"/>
    <cellStyle name="标题 10 2 3" xfId="13224"/>
    <cellStyle name="标题 10 2 4" xfId="13225"/>
    <cellStyle name="标题 10 2 5" xfId="13226"/>
    <cellStyle name="标题 10 2 6" xfId="13227"/>
    <cellStyle name="标题 10 2 7" xfId="13228"/>
    <cellStyle name="标题 10 2 8" xfId="13229"/>
    <cellStyle name="标题 10 2 9" xfId="13230"/>
    <cellStyle name="标题 10 20" xfId="13231"/>
    <cellStyle name="标题 10 21" xfId="13232"/>
    <cellStyle name="标题 10 22" xfId="13233"/>
    <cellStyle name="标题 10 23" xfId="13234"/>
    <cellStyle name="标题 10 24" xfId="13235"/>
    <cellStyle name="标题 10 25" xfId="13236"/>
    <cellStyle name="标题 10 26" xfId="13237"/>
    <cellStyle name="标题 10 27" xfId="13238"/>
    <cellStyle name="标题 10 28" xfId="13239"/>
    <cellStyle name="标题 10 3" xfId="13240"/>
    <cellStyle name="标题 10 4" xfId="13241"/>
    <cellStyle name="标题 10 5" xfId="13242"/>
    <cellStyle name="标题 10 6" xfId="13243"/>
    <cellStyle name="标题 10 7" xfId="13244"/>
    <cellStyle name="标题 10 8" xfId="13245"/>
    <cellStyle name="标题 10 9" xfId="13246"/>
    <cellStyle name="标题 11" xfId="13247"/>
    <cellStyle name="标题 11 10" xfId="13248"/>
    <cellStyle name="标题 11 11" xfId="13249"/>
    <cellStyle name="标题 11 12" xfId="13250"/>
    <cellStyle name="标题 11 13" xfId="13251"/>
    <cellStyle name="标题 11 14" xfId="13252"/>
    <cellStyle name="标题 11 15" xfId="13253"/>
    <cellStyle name="标题 11 16" xfId="13254"/>
    <cellStyle name="标题 11 17" xfId="13255"/>
    <cellStyle name="标题 11 18" xfId="13256"/>
    <cellStyle name="标题 11 19" xfId="13257"/>
    <cellStyle name="标题 11 2" xfId="13258"/>
    <cellStyle name="标题 11 2 10" xfId="13259"/>
    <cellStyle name="标题 11 2 11" xfId="13260"/>
    <cellStyle name="标题 11 2 12" xfId="13261"/>
    <cellStyle name="标题 11 2 13" xfId="13262"/>
    <cellStyle name="标题 11 2 14" xfId="13263"/>
    <cellStyle name="标题 11 2 15" xfId="13264"/>
    <cellStyle name="标题 11 2 16" xfId="13265"/>
    <cellStyle name="标题 11 2 17" xfId="13266"/>
    <cellStyle name="标题 11 2 18" xfId="13267"/>
    <cellStyle name="标题 11 2 19" xfId="13268"/>
    <cellStyle name="标题 11 2 2" xfId="13269"/>
    <cellStyle name="标题 11 2 20" xfId="13270"/>
    <cellStyle name="标题 11 2 21" xfId="13271"/>
    <cellStyle name="标题 11 2 22" xfId="13272"/>
    <cellStyle name="标题 11 2 23" xfId="13273"/>
    <cellStyle name="标题 11 2 24" xfId="13274"/>
    <cellStyle name="标题 11 2 25" xfId="13275"/>
    <cellStyle name="标题 11 2 26" xfId="13276"/>
    <cellStyle name="标题 11 2 27" xfId="13277"/>
    <cellStyle name="标题 11 2 3" xfId="13278"/>
    <cellStyle name="标题 11 2 4" xfId="13279"/>
    <cellStyle name="标题 11 2 5" xfId="13280"/>
    <cellStyle name="标题 11 2 6" xfId="13281"/>
    <cellStyle name="标题 11 2 7" xfId="13282"/>
    <cellStyle name="标题 11 2 8" xfId="13283"/>
    <cellStyle name="标题 11 2 9" xfId="13284"/>
    <cellStyle name="标题 11 20" xfId="13285"/>
    <cellStyle name="标题 11 21" xfId="13286"/>
    <cellStyle name="标题 11 22" xfId="13287"/>
    <cellStyle name="标题 11 23" xfId="13288"/>
    <cellStyle name="标题 11 24" xfId="13289"/>
    <cellStyle name="标题 11 25" xfId="13290"/>
    <cellStyle name="标题 11 26" xfId="13291"/>
    <cellStyle name="标题 11 27" xfId="13292"/>
    <cellStyle name="标题 11 28" xfId="13293"/>
    <cellStyle name="标题 11 3" xfId="13294"/>
    <cellStyle name="标题 11 4" xfId="13295"/>
    <cellStyle name="标题 11 5" xfId="13296"/>
    <cellStyle name="标题 11 6" xfId="13297"/>
    <cellStyle name="标题 11 7" xfId="13298"/>
    <cellStyle name="标题 11 8" xfId="13299"/>
    <cellStyle name="标题 11 9" xfId="13300"/>
    <cellStyle name="标题 12" xfId="13301"/>
    <cellStyle name="标题 12 10" xfId="13302"/>
    <cellStyle name="标题 12 11" xfId="13303"/>
    <cellStyle name="标题 12 12" xfId="13304"/>
    <cellStyle name="标题 12 13" xfId="13305"/>
    <cellStyle name="标题 12 14" xfId="13306"/>
    <cellStyle name="标题 12 15" xfId="13307"/>
    <cellStyle name="标题 12 16" xfId="13308"/>
    <cellStyle name="标题 12 17" xfId="13309"/>
    <cellStyle name="标题 12 18" xfId="13310"/>
    <cellStyle name="标题 12 19" xfId="13311"/>
    <cellStyle name="标题 12 2" xfId="13312"/>
    <cellStyle name="标题 12 2 10" xfId="13313"/>
    <cellStyle name="标题 12 2 11" xfId="13314"/>
    <cellStyle name="标题 12 2 12" xfId="13315"/>
    <cellStyle name="标题 12 2 13" xfId="13316"/>
    <cellStyle name="标题 12 2 14" xfId="13317"/>
    <cellStyle name="标题 12 2 15" xfId="13318"/>
    <cellStyle name="标题 12 2 16" xfId="13319"/>
    <cellStyle name="标题 12 2 17" xfId="13320"/>
    <cellStyle name="标题 12 2 18" xfId="13321"/>
    <cellStyle name="标题 12 2 19" xfId="13322"/>
    <cellStyle name="标题 12 2 2" xfId="13323"/>
    <cellStyle name="标题 12 2 20" xfId="13324"/>
    <cellStyle name="标题 12 2 21" xfId="13325"/>
    <cellStyle name="标题 12 2 22" xfId="13326"/>
    <cellStyle name="标题 12 2 23" xfId="13327"/>
    <cellStyle name="标题 12 2 24" xfId="13328"/>
    <cellStyle name="标题 12 2 25" xfId="13329"/>
    <cellStyle name="标题 12 2 26" xfId="13330"/>
    <cellStyle name="标题 12 2 27" xfId="13331"/>
    <cellStyle name="标题 12 2 3" xfId="13332"/>
    <cellStyle name="标题 12 2 4" xfId="13333"/>
    <cellStyle name="标题 12 2 5" xfId="13334"/>
    <cellStyle name="标题 12 2 6" xfId="13335"/>
    <cellStyle name="标题 12 2 7" xfId="13336"/>
    <cellStyle name="标题 12 2 8" xfId="13337"/>
    <cellStyle name="标题 12 2 9" xfId="13338"/>
    <cellStyle name="标题 12 20" xfId="13339"/>
    <cellStyle name="标题 12 21" xfId="13340"/>
    <cellStyle name="标题 12 22" xfId="13341"/>
    <cellStyle name="标题 12 23" xfId="13342"/>
    <cellStyle name="标题 12 24" xfId="13343"/>
    <cellStyle name="标题 12 25" xfId="13344"/>
    <cellStyle name="标题 12 26" xfId="13345"/>
    <cellStyle name="标题 12 27" xfId="13346"/>
    <cellStyle name="标题 12 28" xfId="13347"/>
    <cellStyle name="标题 12 3" xfId="13348"/>
    <cellStyle name="标题 12 4" xfId="13349"/>
    <cellStyle name="标题 12 5" xfId="13350"/>
    <cellStyle name="标题 12 6" xfId="13351"/>
    <cellStyle name="标题 12 7" xfId="13352"/>
    <cellStyle name="标题 12 8" xfId="13353"/>
    <cellStyle name="标题 12 9" xfId="13354"/>
    <cellStyle name="标题 13" xfId="13355"/>
    <cellStyle name="标题 13 10" xfId="13356"/>
    <cellStyle name="标题 13 11" xfId="13357"/>
    <cellStyle name="标题 13 12" xfId="13358"/>
    <cellStyle name="标题 13 13" xfId="13359"/>
    <cellStyle name="标题 13 14" xfId="13360"/>
    <cellStyle name="标题 13 15" xfId="13361"/>
    <cellStyle name="标题 13 16" xfId="13362"/>
    <cellStyle name="标题 13 17" xfId="13363"/>
    <cellStyle name="标题 13 18" xfId="13364"/>
    <cellStyle name="标题 13 19" xfId="13365"/>
    <cellStyle name="标题 13 2" xfId="13366"/>
    <cellStyle name="标题 13 2 10" xfId="13367"/>
    <cellStyle name="标题 13 2 11" xfId="13368"/>
    <cellStyle name="标题 13 2 12" xfId="13369"/>
    <cellStyle name="标题 13 2 13" xfId="13370"/>
    <cellStyle name="标题 13 2 14" xfId="13371"/>
    <cellStyle name="标题 13 2 15" xfId="13372"/>
    <cellStyle name="标题 13 2 16" xfId="13373"/>
    <cellStyle name="标题 13 2 17" xfId="13374"/>
    <cellStyle name="标题 13 2 18" xfId="13375"/>
    <cellStyle name="标题 13 2 19" xfId="13376"/>
    <cellStyle name="标题 13 2 2" xfId="13377"/>
    <cellStyle name="标题 13 2 20" xfId="13378"/>
    <cellStyle name="标题 13 2 21" xfId="13379"/>
    <cellStyle name="标题 13 2 22" xfId="13380"/>
    <cellStyle name="标题 13 2 23" xfId="13381"/>
    <cellStyle name="标题 13 2 24" xfId="13382"/>
    <cellStyle name="标题 13 2 25" xfId="13383"/>
    <cellStyle name="标题 13 2 26" xfId="13384"/>
    <cellStyle name="标题 13 2 27" xfId="13385"/>
    <cellStyle name="标题 13 2 3" xfId="13386"/>
    <cellStyle name="标题 13 2 4" xfId="13387"/>
    <cellStyle name="标题 13 2 5" xfId="13388"/>
    <cellStyle name="标题 13 2 6" xfId="13389"/>
    <cellStyle name="标题 13 2 7" xfId="13390"/>
    <cellStyle name="标题 13 2 8" xfId="13391"/>
    <cellStyle name="标题 13 2 9" xfId="13392"/>
    <cellStyle name="标题 13 20" xfId="13393"/>
    <cellStyle name="标题 13 21" xfId="13394"/>
    <cellStyle name="标题 13 22" xfId="13395"/>
    <cellStyle name="标题 13 23" xfId="13396"/>
    <cellStyle name="标题 13 24" xfId="13397"/>
    <cellStyle name="标题 13 25" xfId="13398"/>
    <cellStyle name="标题 13 26" xfId="13399"/>
    <cellStyle name="标题 13 27" xfId="13400"/>
    <cellStyle name="标题 13 28" xfId="13401"/>
    <cellStyle name="标题 13 3" xfId="13402"/>
    <cellStyle name="标题 13 4" xfId="13403"/>
    <cellStyle name="标题 13 5" xfId="13404"/>
    <cellStyle name="标题 13 6" xfId="13405"/>
    <cellStyle name="标题 13 7" xfId="13406"/>
    <cellStyle name="标题 13 8" xfId="13407"/>
    <cellStyle name="标题 13 9" xfId="13408"/>
    <cellStyle name="标题 14" xfId="13409"/>
    <cellStyle name="标题 14 10" xfId="13410"/>
    <cellStyle name="标题 14 11" xfId="13411"/>
    <cellStyle name="标题 14 12" xfId="13412"/>
    <cellStyle name="标题 14 13" xfId="13413"/>
    <cellStyle name="标题 14 14" xfId="13414"/>
    <cellStyle name="标题 14 15" xfId="13415"/>
    <cellStyle name="标题 14 16" xfId="13416"/>
    <cellStyle name="标题 14 17" xfId="13417"/>
    <cellStyle name="标题 14 18" xfId="13418"/>
    <cellStyle name="标题 14 19" xfId="13419"/>
    <cellStyle name="标题 14 2" xfId="13420"/>
    <cellStyle name="标题 14 2 10" xfId="13421"/>
    <cellStyle name="标题 14 2 11" xfId="13422"/>
    <cellStyle name="标题 14 2 12" xfId="13423"/>
    <cellStyle name="标题 14 2 13" xfId="13424"/>
    <cellStyle name="标题 14 2 14" xfId="13425"/>
    <cellStyle name="标题 14 2 15" xfId="13426"/>
    <cellStyle name="标题 14 2 16" xfId="13427"/>
    <cellStyle name="标题 14 2 17" xfId="13428"/>
    <cellStyle name="标题 14 2 18" xfId="13429"/>
    <cellStyle name="标题 14 2 19" xfId="13430"/>
    <cellStyle name="标题 14 2 2" xfId="13431"/>
    <cellStyle name="标题 14 2 20" xfId="13432"/>
    <cellStyle name="标题 14 2 21" xfId="13433"/>
    <cellStyle name="标题 14 2 22" xfId="13434"/>
    <cellStyle name="标题 14 2 23" xfId="13435"/>
    <cellStyle name="标题 14 2 24" xfId="13436"/>
    <cellStyle name="标题 14 2 25" xfId="13437"/>
    <cellStyle name="标题 14 2 26" xfId="13438"/>
    <cellStyle name="标题 14 2 27" xfId="13439"/>
    <cellStyle name="标题 14 2 3" xfId="13440"/>
    <cellStyle name="标题 14 2 4" xfId="13441"/>
    <cellStyle name="标题 14 2 5" xfId="13442"/>
    <cellStyle name="标题 14 2 6" xfId="13443"/>
    <cellStyle name="标题 14 2 7" xfId="13444"/>
    <cellStyle name="标题 14 2 8" xfId="13445"/>
    <cellStyle name="标题 14 2 9" xfId="13446"/>
    <cellStyle name="标题 14 20" xfId="13447"/>
    <cellStyle name="标题 14 21" xfId="13448"/>
    <cellStyle name="标题 14 22" xfId="13449"/>
    <cellStyle name="标题 14 23" xfId="13450"/>
    <cellStyle name="标题 14 24" xfId="13451"/>
    <cellStyle name="标题 14 25" xfId="13452"/>
    <cellStyle name="标题 14 26" xfId="13453"/>
    <cellStyle name="标题 14 27" xfId="13454"/>
    <cellStyle name="标题 14 28" xfId="13455"/>
    <cellStyle name="标题 14 3" xfId="13456"/>
    <cellStyle name="标题 14 4" xfId="13457"/>
    <cellStyle name="标题 14 5" xfId="13458"/>
    <cellStyle name="标题 14 6" xfId="13459"/>
    <cellStyle name="标题 14 7" xfId="13460"/>
    <cellStyle name="标题 14 8" xfId="13461"/>
    <cellStyle name="标题 14 9" xfId="13462"/>
    <cellStyle name="标题 15" xfId="13463"/>
    <cellStyle name="标题 16" xfId="13464"/>
    <cellStyle name="标题 17" xfId="13465"/>
    <cellStyle name="标题 18" xfId="13466"/>
    <cellStyle name="标题 19" xfId="13467"/>
    <cellStyle name="标题 2" xfId="13468" builtinId="17" customBuiltin="1"/>
    <cellStyle name="标题 2 10" xfId="13469"/>
    <cellStyle name="标题 2 10 10" xfId="13470"/>
    <cellStyle name="标题 2 10 11" xfId="13471"/>
    <cellStyle name="标题 2 10 12" xfId="13472"/>
    <cellStyle name="标题 2 10 13" xfId="13473"/>
    <cellStyle name="标题 2 10 14" xfId="13474"/>
    <cellStyle name="标题 2 10 15" xfId="13475"/>
    <cellStyle name="标题 2 10 16" xfId="13476"/>
    <cellStyle name="标题 2 10 17" xfId="13477"/>
    <cellStyle name="标题 2 10 18" xfId="13478"/>
    <cellStyle name="标题 2 10 19" xfId="13479"/>
    <cellStyle name="标题 2 10 2" xfId="13480"/>
    <cellStyle name="标题 2 10 2 10" xfId="13481"/>
    <cellStyle name="标题 2 10 2 11" xfId="13482"/>
    <cellStyle name="标题 2 10 2 12" xfId="13483"/>
    <cellStyle name="标题 2 10 2 13" xfId="13484"/>
    <cellStyle name="标题 2 10 2 14" xfId="13485"/>
    <cellStyle name="标题 2 10 2 15" xfId="13486"/>
    <cellStyle name="标题 2 10 2 16" xfId="13487"/>
    <cellStyle name="标题 2 10 2 17" xfId="13488"/>
    <cellStyle name="标题 2 10 2 18" xfId="13489"/>
    <cellStyle name="标题 2 10 2 19" xfId="13490"/>
    <cellStyle name="标题 2 10 2 2" xfId="13491"/>
    <cellStyle name="标题 2 10 2 20" xfId="13492"/>
    <cellStyle name="标题 2 10 2 21" xfId="13493"/>
    <cellStyle name="标题 2 10 2 22" xfId="13494"/>
    <cellStyle name="标题 2 10 2 23" xfId="13495"/>
    <cellStyle name="标题 2 10 2 24" xfId="13496"/>
    <cellStyle name="标题 2 10 2 25" xfId="13497"/>
    <cellStyle name="标题 2 10 2 26" xfId="13498"/>
    <cellStyle name="标题 2 10 2 27" xfId="13499"/>
    <cellStyle name="标题 2 10 2 3" xfId="13500"/>
    <cellStyle name="标题 2 10 2 4" xfId="13501"/>
    <cellStyle name="标题 2 10 2 5" xfId="13502"/>
    <cellStyle name="标题 2 10 2 6" xfId="13503"/>
    <cellStyle name="标题 2 10 2 7" xfId="13504"/>
    <cellStyle name="标题 2 10 2 8" xfId="13505"/>
    <cellStyle name="标题 2 10 2 9" xfId="13506"/>
    <cellStyle name="标题 2 10 20" xfId="13507"/>
    <cellStyle name="标题 2 10 21" xfId="13508"/>
    <cellStyle name="标题 2 10 22" xfId="13509"/>
    <cellStyle name="标题 2 10 23" xfId="13510"/>
    <cellStyle name="标题 2 10 24" xfId="13511"/>
    <cellStyle name="标题 2 10 25" xfId="13512"/>
    <cellStyle name="标题 2 10 26" xfId="13513"/>
    <cellStyle name="标题 2 10 27" xfId="13514"/>
    <cellStyle name="标题 2 10 28" xfId="13515"/>
    <cellStyle name="标题 2 10 3" xfId="13516"/>
    <cellStyle name="标题 2 10 4" xfId="13517"/>
    <cellStyle name="标题 2 10 5" xfId="13518"/>
    <cellStyle name="标题 2 10 6" xfId="13519"/>
    <cellStyle name="标题 2 10 7" xfId="13520"/>
    <cellStyle name="标题 2 10 8" xfId="13521"/>
    <cellStyle name="标题 2 10 9" xfId="13522"/>
    <cellStyle name="标题 2 11" xfId="13523"/>
    <cellStyle name="标题 2 11 10" xfId="13524"/>
    <cellStyle name="标题 2 11 11" xfId="13525"/>
    <cellStyle name="标题 2 11 12" xfId="13526"/>
    <cellStyle name="标题 2 11 13" xfId="13527"/>
    <cellStyle name="标题 2 11 14" xfId="13528"/>
    <cellStyle name="标题 2 11 15" xfId="13529"/>
    <cellStyle name="标题 2 11 16" xfId="13530"/>
    <cellStyle name="标题 2 11 17" xfId="13531"/>
    <cellStyle name="标题 2 11 18" xfId="13532"/>
    <cellStyle name="标题 2 11 19" xfId="13533"/>
    <cellStyle name="标题 2 11 2" xfId="13534"/>
    <cellStyle name="标题 2 11 2 10" xfId="13535"/>
    <cellStyle name="标题 2 11 2 11" xfId="13536"/>
    <cellStyle name="标题 2 11 2 12" xfId="13537"/>
    <cellStyle name="标题 2 11 2 13" xfId="13538"/>
    <cellStyle name="标题 2 11 2 14" xfId="13539"/>
    <cellStyle name="标题 2 11 2 15" xfId="13540"/>
    <cellStyle name="标题 2 11 2 16" xfId="13541"/>
    <cellStyle name="标题 2 11 2 17" xfId="13542"/>
    <cellStyle name="标题 2 11 2 18" xfId="13543"/>
    <cellStyle name="标题 2 11 2 19" xfId="13544"/>
    <cellStyle name="标题 2 11 2 2" xfId="13545"/>
    <cellStyle name="标题 2 11 2 20" xfId="13546"/>
    <cellStyle name="标题 2 11 2 21" xfId="13547"/>
    <cellStyle name="标题 2 11 2 22" xfId="13548"/>
    <cellStyle name="标题 2 11 2 23" xfId="13549"/>
    <cellStyle name="标题 2 11 2 24" xfId="13550"/>
    <cellStyle name="标题 2 11 2 25" xfId="13551"/>
    <cellStyle name="标题 2 11 2 26" xfId="13552"/>
    <cellStyle name="标题 2 11 2 27" xfId="13553"/>
    <cellStyle name="标题 2 11 2 3" xfId="13554"/>
    <cellStyle name="标题 2 11 2 4" xfId="13555"/>
    <cellStyle name="标题 2 11 2 5" xfId="13556"/>
    <cellStyle name="标题 2 11 2 6" xfId="13557"/>
    <cellStyle name="标题 2 11 2 7" xfId="13558"/>
    <cellStyle name="标题 2 11 2 8" xfId="13559"/>
    <cellStyle name="标题 2 11 2 9" xfId="13560"/>
    <cellStyle name="标题 2 11 20" xfId="13561"/>
    <cellStyle name="标题 2 11 21" xfId="13562"/>
    <cellStyle name="标题 2 11 22" xfId="13563"/>
    <cellStyle name="标题 2 11 23" xfId="13564"/>
    <cellStyle name="标题 2 11 24" xfId="13565"/>
    <cellStyle name="标题 2 11 25" xfId="13566"/>
    <cellStyle name="标题 2 11 26" xfId="13567"/>
    <cellStyle name="标题 2 11 27" xfId="13568"/>
    <cellStyle name="标题 2 11 28" xfId="13569"/>
    <cellStyle name="标题 2 11 3" xfId="13570"/>
    <cellStyle name="标题 2 11 4" xfId="13571"/>
    <cellStyle name="标题 2 11 5" xfId="13572"/>
    <cellStyle name="标题 2 11 6" xfId="13573"/>
    <cellStyle name="标题 2 11 7" xfId="13574"/>
    <cellStyle name="标题 2 11 8" xfId="13575"/>
    <cellStyle name="标题 2 11 9" xfId="13576"/>
    <cellStyle name="标题 2 12" xfId="13577"/>
    <cellStyle name="标题 2 13" xfId="13578"/>
    <cellStyle name="标题 2 14" xfId="13579"/>
    <cellStyle name="标题 2 15" xfId="13580"/>
    <cellStyle name="标题 2 16" xfId="13581"/>
    <cellStyle name="标题 2 17" xfId="13582"/>
    <cellStyle name="标题 2 18" xfId="13583"/>
    <cellStyle name="标题 2 19" xfId="13584"/>
    <cellStyle name="标题 2 2" xfId="13585"/>
    <cellStyle name="标题 2 2 10" xfId="13586"/>
    <cellStyle name="标题 2 2 11" xfId="13587"/>
    <cellStyle name="标题 2 2 12" xfId="13588"/>
    <cellStyle name="标题 2 2 13" xfId="13589"/>
    <cellStyle name="标题 2 2 14" xfId="13590"/>
    <cellStyle name="标题 2 2 15" xfId="13591"/>
    <cellStyle name="标题 2 2 16" xfId="13592"/>
    <cellStyle name="标题 2 2 17" xfId="13593"/>
    <cellStyle name="标题 2 2 18" xfId="13594"/>
    <cellStyle name="标题 2 2 19" xfId="13595"/>
    <cellStyle name="标题 2 2 2" xfId="13596"/>
    <cellStyle name="标题 2 2 2 10" xfId="13597"/>
    <cellStyle name="标题 2 2 2 11" xfId="13598"/>
    <cellStyle name="标题 2 2 2 12" xfId="13599"/>
    <cellStyle name="标题 2 2 2 13" xfId="13600"/>
    <cellStyle name="标题 2 2 2 14" xfId="13601"/>
    <cellStyle name="标题 2 2 2 15" xfId="13602"/>
    <cellStyle name="标题 2 2 2 16" xfId="13603"/>
    <cellStyle name="标题 2 2 2 17" xfId="13604"/>
    <cellStyle name="标题 2 2 2 18" xfId="13605"/>
    <cellStyle name="标题 2 2 2 19" xfId="13606"/>
    <cellStyle name="标题 2 2 2 2" xfId="13607"/>
    <cellStyle name="标题 2 2 2 2 10" xfId="13608"/>
    <cellStyle name="标题 2 2 2 2 11" xfId="13609"/>
    <cellStyle name="标题 2 2 2 2 12" xfId="13610"/>
    <cellStyle name="标题 2 2 2 2 13" xfId="13611"/>
    <cellStyle name="标题 2 2 2 2 14" xfId="13612"/>
    <cellStyle name="标题 2 2 2 2 15" xfId="13613"/>
    <cellStyle name="标题 2 2 2 2 16" xfId="13614"/>
    <cellStyle name="标题 2 2 2 2 17" xfId="13615"/>
    <cellStyle name="标题 2 2 2 2 18" xfId="13616"/>
    <cellStyle name="标题 2 2 2 2 19" xfId="13617"/>
    <cellStyle name="标题 2 2 2 2 2" xfId="13618"/>
    <cellStyle name="标题 2 2 2 2 20" xfId="13619"/>
    <cellStyle name="标题 2 2 2 2 21" xfId="13620"/>
    <cellStyle name="标题 2 2 2 2 22" xfId="13621"/>
    <cellStyle name="标题 2 2 2 2 23" xfId="13622"/>
    <cellStyle name="标题 2 2 2 2 24" xfId="13623"/>
    <cellStyle name="标题 2 2 2 2 25" xfId="13624"/>
    <cellStyle name="标题 2 2 2 2 26" xfId="13625"/>
    <cellStyle name="标题 2 2 2 2 27" xfId="13626"/>
    <cellStyle name="标题 2 2 2 2 3" xfId="13627"/>
    <cellStyle name="标题 2 2 2 2 4" xfId="13628"/>
    <cellStyle name="标题 2 2 2 2 5" xfId="13629"/>
    <cellStyle name="标题 2 2 2 2 6" xfId="13630"/>
    <cellStyle name="标题 2 2 2 2 7" xfId="13631"/>
    <cellStyle name="标题 2 2 2 2 8" xfId="13632"/>
    <cellStyle name="标题 2 2 2 2 9" xfId="13633"/>
    <cellStyle name="标题 2 2 2 20" xfId="13634"/>
    <cellStyle name="标题 2 2 2 21" xfId="13635"/>
    <cellStyle name="标题 2 2 2 22" xfId="13636"/>
    <cellStyle name="标题 2 2 2 23" xfId="13637"/>
    <cellStyle name="标题 2 2 2 24" xfId="13638"/>
    <cellStyle name="标题 2 2 2 25" xfId="13639"/>
    <cellStyle name="标题 2 2 2 26" xfId="13640"/>
    <cellStyle name="标题 2 2 2 27" xfId="13641"/>
    <cellStyle name="标题 2 2 2 28" xfId="13642"/>
    <cellStyle name="标题 2 2 2 3" xfId="13643"/>
    <cellStyle name="标题 2 2 2 4" xfId="13644"/>
    <cellStyle name="标题 2 2 2 5" xfId="13645"/>
    <cellStyle name="标题 2 2 2 6" xfId="13646"/>
    <cellStyle name="标题 2 2 2 7" xfId="13647"/>
    <cellStyle name="标题 2 2 2 8" xfId="13648"/>
    <cellStyle name="标题 2 2 2 9" xfId="13649"/>
    <cellStyle name="标题 2 2 20" xfId="13650"/>
    <cellStyle name="标题 2 2 21" xfId="13651"/>
    <cellStyle name="标题 2 2 22" xfId="13652"/>
    <cellStyle name="标题 2 2 23" xfId="13653"/>
    <cellStyle name="标题 2 2 24" xfId="13654"/>
    <cellStyle name="标题 2 2 25" xfId="13655"/>
    <cellStyle name="标题 2 2 26" xfId="13656"/>
    <cellStyle name="标题 2 2 27" xfId="13657"/>
    <cellStyle name="标题 2 2 28" xfId="13658"/>
    <cellStyle name="标题 2 2 29" xfId="13659"/>
    <cellStyle name="标题 2 2 3" xfId="13660"/>
    <cellStyle name="标题 2 2 3 10" xfId="13661"/>
    <cellStyle name="标题 2 2 3 11" xfId="13662"/>
    <cellStyle name="标题 2 2 3 12" xfId="13663"/>
    <cellStyle name="标题 2 2 3 13" xfId="13664"/>
    <cellStyle name="标题 2 2 3 14" xfId="13665"/>
    <cellStyle name="标题 2 2 3 15" xfId="13666"/>
    <cellStyle name="标题 2 2 3 16" xfId="13667"/>
    <cellStyle name="标题 2 2 3 17" xfId="13668"/>
    <cellStyle name="标题 2 2 3 18" xfId="13669"/>
    <cellStyle name="标题 2 2 3 19" xfId="13670"/>
    <cellStyle name="标题 2 2 3 2" xfId="13671"/>
    <cellStyle name="标题 2 2 3 2 10" xfId="13672"/>
    <cellStyle name="标题 2 2 3 2 11" xfId="13673"/>
    <cellStyle name="标题 2 2 3 2 12" xfId="13674"/>
    <cellStyle name="标题 2 2 3 2 13" xfId="13675"/>
    <cellStyle name="标题 2 2 3 2 14" xfId="13676"/>
    <cellStyle name="标题 2 2 3 2 15" xfId="13677"/>
    <cellStyle name="标题 2 2 3 2 16" xfId="13678"/>
    <cellStyle name="标题 2 2 3 2 17" xfId="13679"/>
    <cellStyle name="标题 2 2 3 2 18" xfId="13680"/>
    <cellStyle name="标题 2 2 3 2 19" xfId="13681"/>
    <cellStyle name="标题 2 2 3 2 2" xfId="13682"/>
    <cellStyle name="标题 2 2 3 2 20" xfId="13683"/>
    <cellStyle name="标题 2 2 3 2 21" xfId="13684"/>
    <cellStyle name="标题 2 2 3 2 22" xfId="13685"/>
    <cellStyle name="标题 2 2 3 2 23" xfId="13686"/>
    <cellStyle name="标题 2 2 3 2 24" xfId="13687"/>
    <cellStyle name="标题 2 2 3 2 25" xfId="13688"/>
    <cellStyle name="标题 2 2 3 2 26" xfId="13689"/>
    <cellStyle name="标题 2 2 3 2 27" xfId="13690"/>
    <cellStyle name="标题 2 2 3 2 3" xfId="13691"/>
    <cellStyle name="标题 2 2 3 2 4" xfId="13692"/>
    <cellStyle name="标题 2 2 3 2 5" xfId="13693"/>
    <cellStyle name="标题 2 2 3 2 6" xfId="13694"/>
    <cellStyle name="标题 2 2 3 2 7" xfId="13695"/>
    <cellStyle name="标题 2 2 3 2 8" xfId="13696"/>
    <cellStyle name="标题 2 2 3 2 9" xfId="13697"/>
    <cellStyle name="标题 2 2 3 20" xfId="13698"/>
    <cellStyle name="标题 2 2 3 21" xfId="13699"/>
    <cellStyle name="标题 2 2 3 22" xfId="13700"/>
    <cellStyle name="标题 2 2 3 23" xfId="13701"/>
    <cellStyle name="标题 2 2 3 24" xfId="13702"/>
    <cellStyle name="标题 2 2 3 25" xfId="13703"/>
    <cellStyle name="标题 2 2 3 26" xfId="13704"/>
    <cellStyle name="标题 2 2 3 27" xfId="13705"/>
    <cellStyle name="标题 2 2 3 28" xfId="13706"/>
    <cellStyle name="标题 2 2 3 3" xfId="13707"/>
    <cellStyle name="标题 2 2 3 4" xfId="13708"/>
    <cellStyle name="标题 2 2 3 5" xfId="13709"/>
    <cellStyle name="标题 2 2 3 6" xfId="13710"/>
    <cellStyle name="标题 2 2 3 7" xfId="13711"/>
    <cellStyle name="标题 2 2 3 8" xfId="13712"/>
    <cellStyle name="标题 2 2 3 9" xfId="13713"/>
    <cellStyle name="标题 2 2 30" xfId="13714"/>
    <cellStyle name="标题 2 2 31" xfId="13715"/>
    <cellStyle name="标题 2 2 32" xfId="13716"/>
    <cellStyle name="标题 2 2 33" xfId="13717"/>
    <cellStyle name="标题 2 2 4" xfId="13718"/>
    <cellStyle name="标题 2 2 4 10" xfId="13719"/>
    <cellStyle name="标题 2 2 4 11" xfId="13720"/>
    <cellStyle name="标题 2 2 4 12" xfId="13721"/>
    <cellStyle name="标题 2 2 4 13" xfId="13722"/>
    <cellStyle name="标题 2 2 4 14" xfId="13723"/>
    <cellStyle name="标题 2 2 4 15" xfId="13724"/>
    <cellStyle name="标题 2 2 4 16" xfId="13725"/>
    <cellStyle name="标题 2 2 4 17" xfId="13726"/>
    <cellStyle name="标题 2 2 4 18" xfId="13727"/>
    <cellStyle name="标题 2 2 4 19" xfId="13728"/>
    <cellStyle name="标题 2 2 4 2" xfId="13729"/>
    <cellStyle name="标题 2 2 4 20" xfId="13730"/>
    <cellStyle name="标题 2 2 4 21" xfId="13731"/>
    <cellStyle name="标题 2 2 4 22" xfId="13732"/>
    <cellStyle name="标题 2 2 4 23" xfId="13733"/>
    <cellStyle name="标题 2 2 4 24" xfId="13734"/>
    <cellStyle name="标题 2 2 4 25" xfId="13735"/>
    <cellStyle name="标题 2 2 4 26" xfId="13736"/>
    <cellStyle name="标题 2 2 4 27" xfId="13737"/>
    <cellStyle name="标题 2 2 4 3" xfId="13738"/>
    <cellStyle name="标题 2 2 4 4" xfId="13739"/>
    <cellStyle name="标题 2 2 4 5" xfId="13740"/>
    <cellStyle name="标题 2 2 4 6" xfId="13741"/>
    <cellStyle name="标题 2 2 4 7" xfId="13742"/>
    <cellStyle name="标题 2 2 4 8" xfId="13743"/>
    <cellStyle name="标题 2 2 4 9" xfId="13744"/>
    <cellStyle name="标题 2 2 5" xfId="13745"/>
    <cellStyle name="标题 2 2 6" xfId="13746"/>
    <cellStyle name="标题 2 2 7" xfId="13747"/>
    <cellStyle name="标题 2 2 8" xfId="13748"/>
    <cellStyle name="标题 2 2 9" xfId="13749"/>
    <cellStyle name="标题 2 20" xfId="13750"/>
    <cellStyle name="标题 2 21" xfId="13751"/>
    <cellStyle name="标题 2 22" xfId="13752"/>
    <cellStyle name="标题 2 23" xfId="13753"/>
    <cellStyle name="标题 2 24" xfId="13754"/>
    <cellStyle name="标题 2 25" xfId="13755"/>
    <cellStyle name="标题 2 26" xfId="13756"/>
    <cellStyle name="标题 2 27" xfId="13757"/>
    <cellStyle name="标题 2 28" xfId="13758"/>
    <cellStyle name="标题 2 29" xfId="13759"/>
    <cellStyle name="标题 2 3" xfId="13760"/>
    <cellStyle name="标题 2 3 10" xfId="13761"/>
    <cellStyle name="标题 2 3 11" xfId="13762"/>
    <cellStyle name="标题 2 3 12" xfId="13763"/>
    <cellStyle name="标题 2 3 13" xfId="13764"/>
    <cellStyle name="标题 2 3 14" xfId="13765"/>
    <cellStyle name="标题 2 3 15" xfId="13766"/>
    <cellStyle name="标题 2 3 16" xfId="13767"/>
    <cellStyle name="标题 2 3 17" xfId="13768"/>
    <cellStyle name="标题 2 3 18" xfId="13769"/>
    <cellStyle name="标题 2 3 19" xfId="13770"/>
    <cellStyle name="标题 2 3 2" xfId="13771"/>
    <cellStyle name="标题 2 3 2 10" xfId="13772"/>
    <cellStyle name="标题 2 3 2 11" xfId="13773"/>
    <cellStyle name="标题 2 3 2 12" xfId="13774"/>
    <cellStyle name="标题 2 3 2 13" xfId="13775"/>
    <cellStyle name="标题 2 3 2 14" xfId="13776"/>
    <cellStyle name="标题 2 3 2 15" xfId="13777"/>
    <cellStyle name="标题 2 3 2 16" xfId="13778"/>
    <cellStyle name="标题 2 3 2 17" xfId="13779"/>
    <cellStyle name="标题 2 3 2 18" xfId="13780"/>
    <cellStyle name="标题 2 3 2 19" xfId="13781"/>
    <cellStyle name="标题 2 3 2 2" xfId="13782"/>
    <cellStyle name="标题 2 3 2 20" xfId="13783"/>
    <cellStyle name="标题 2 3 2 21" xfId="13784"/>
    <cellStyle name="标题 2 3 2 22" xfId="13785"/>
    <cellStyle name="标题 2 3 2 23" xfId="13786"/>
    <cellStyle name="标题 2 3 2 24" xfId="13787"/>
    <cellStyle name="标题 2 3 2 25" xfId="13788"/>
    <cellStyle name="标题 2 3 2 26" xfId="13789"/>
    <cellStyle name="标题 2 3 2 27" xfId="13790"/>
    <cellStyle name="标题 2 3 2 3" xfId="13791"/>
    <cellStyle name="标题 2 3 2 4" xfId="13792"/>
    <cellStyle name="标题 2 3 2 5" xfId="13793"/>
    <cellStyle name="标题 2 3 2 6" xfId="13794"/>
    <cellStyle name="标题 2 3 2 7" xfId="13795"/>
    <cellStyle name="标题 2 3 2 8" xfId="13796"/>
    <cellStyle name="标题 2 3 2 9" xfId="13797"/>
    <cellStyle name="标题 2 3 20" xfId="13798"/>
    <cellStyle name="标题 2 3 21" xfId="13799"/>
    <cellStyle name="标题 2 3 22" xfId="13800"/>
    <cellStyle name="标题 2 3 23" xfId="13801"/>
    <cellStyle name="标题 2 3 24" xfId="13802"/>
    <cellStyle name="标题 2 3 25" xfId="13803"/>
    <cellStyle name="标题 2 3 26" xfId="13804"/>
    <cellStyle name="标题 2 3 27" xfId="13805"/>
    <cellStyle name="标题 2 3 28" xfId="13806"/>
    <cellStyle name="标题 2 3 3" xfId="13807"/>
    <cellStyle name="标题 2 3 4" xfId="13808"/>
    <cellStyle name="标题 2 3 5" xfId="13809"/>
    <cellStyle name="标题 2 3 6" xfId="13810"/>
    <cellStyle name="标题 2 3 7" xfId="13811"/>
    <cellStyle name="标题 2 3 8" xfId="13812"/>
    <cellStyle name="标题 2 3 9" xfId="13813"/>
    <cellStyle name="标题 2 30" xfId="13814"/>
    <cellStyle name="标题 2 31" xfId="13815"/>
    <cellStyle name="标题 2 32" xfId="13816"/>
    <cellStyle name="标题 2 33" xfId="13817"/>
    <cellStyle name="标题 2 34" xfId="13818"/>
    <cellStyle name="标题 2 35" xfId="13819"/>
    <cellStyle name="标题 2 36" xfId="13820"/>
    <cellStyle name="标题 2 37" xfId="13821"/>
    <cellStyle name="标题 2 38" xfId="13822"/>
    <cellStyle name="标题 2 39" xfId="13823"/>
    <cellStyle name="标题 2 4" xfId="13824"/>
    <cellStyle name="标题 2 4 10" xfId="13825"/>
    <cellStyle name="标题 2 4 11" xfId="13826"/>
    <cellStyle name="标题 2 4 12" xfId="13827"/>
    <cellStyle name="标题 2 4 13" xfId="13828"/>
    <cellStyle name="标题 2 4 14" xfId="13829"/>
    <cellStyle name="标题 2 4 15" xfId="13830"/>
    <cellStyle name="标题 2 4 16" xfId="13831"/>
    <cellStyle name="标题 2 4 17" xfId="13832"/>
    <cellStyle name="标题 2 4 18" xfId="13833"/>
    <cellStyle name="标题 2 4 19" xfId="13834"/>
    <cellStyle name="标题 2 4 2" xfId="13835"/>
    <cellStyle name="标题 2 4 2 10" xfId="13836"/>
    <cellStyle name="标题 2 4 2 11" xfId="13837"/>
    <cellStyle name="标题 2 4 2 12" xfId="13838"/>
    <cellStyle name="标题 2 4 2 13" xfId="13839"/>
    <cellStyle name="标题 2 4 2 14" xfId="13840"/>
    <cellStyle name="标题 2 4 2 15" xfId="13841"/>
    <cellStyle name="标题 2 4 2 16" xfId="13842"/>
    <cellStyle name="标题 2 4 2 17" xfId="13843"/>
    <cellStyle name="标题 2 4 2 18" xfId="13844"/>
    <cellStyle name="标题 2 4 2 19" xfId="13845"/>
    <cellStyle name="标题 2 4 2 2" xfId="13846"/>
    <cellStyle name="标题 2 4 2 20" xfId="13847"/>
    <cellStyle name="标题 2 4 2 21" xfId="13848"/>
    <cellStyle name="标题 2 4 2 22" xfId="13849"/>
    <cellStyle name="标题 2 4 2 23" xfId="13850"/>
    <cellStyle name="标题 2 4 2 24" xfId="13851"/>
    <cellStyle name="标题 2 4 2 25" xfId="13852"/>
    <cellStyle name="标题 2 4 2 26" xfId="13853"/>
    <cellStyle name="标题 2 4 2 27" xfId="13854"/>
    <cellStyle name="标题 2 4 2 3" xfId="13855"/>
    <cellStyle name="标题 2 4 2 4" xfId="13856"/>
    <cellStyle name="标题 2 4 2 5" xfId="13857"/>
    <cellStyle name="标题 2 4 2 6" xfId="13858"/>
    <cellStyle name="标题 2 4 2 7" xfId="13859"/>
    <cellStyle name="标题 2 4 2 8" xfId="13860"/>
    <cellStyle name="标题 2 4 2 9" xfId="13861"/>
    <cellStyle name="标题 2 4 20" xfId="13862"/>
    <cellStyle name="标题 2 4 21" xfId="13863"/>
    <cellStyle name="标题 2 4 22" xfId="13864"/>
    <cellStyle name="标题 2 4 23" xfId="13865"/>
    <cellStyle name="标题 2 4 24" xfId="13866"/>
    <cellStyle name="标题 2 4 25" xfId="13867"/>
    <cellStyle name="标题 2 4 26" xfId="13868"/>
    <cellStyle name="标题 2 4 27" xfId="13869"/>
    <cellStyle name="标题 2 4 28" xfId="13870"/>
    <cellStyle name="标题 2 4 3" xfId="13871"/>
    <cellStyle name="标题 2 4 4" xfId="13872"/>
    <cellStyle name="标题 2 4 5" xfId="13873"/>
    <cellStyle name="标题 2 4 6" xfId="13874"/>
    <cellStyle name="标题 2 4 7" xfId="13875"/>
    <cellStyle name="标题 2 4 8" xfId="13876"/>
    <cellStyle name="标题 2 4 9" xfId="13877"/>
    <cellStyle name="标题 2 40" xfId="13878"/>
    <cellStyle name="标题 2 5" xfId="13879"/>
    <cellStyle name="标题 2 5 10" xfId="13880"/>
    <cellStyle name="标题 2 5 11" xfId="13881"/>
    <cellStyle name="标题 2 5 12" xfId="13882"/>
    <cellStyle name="标题 2 5 13" xfId="13883"/>
    <cellStyle name="标题 2 5 14" xfId="13884"/>
    <cellStyle name="标题 2 5 15" xfId="13885"/>
    <cellStyle name="标题 2 5 16" xfId="13886"/>
    <cellStyle name="标题 2 5 17" xfId="13887"/>
    <cellStyle name="标题 2 5 18" xfId="13888"/>
    <cellStyle name="标题 2 5 19" xfId="13889"/>
    <cellStyle name="标题 2 5 2" xfId="13890"/>
    <cellStyle name="标题 2 5 2 10" xfId="13891"/>
    <cellStyle name="标题 2 5 2 11" xfId="13892"/>
    <cellStyle name="标题 2 5 2 12" xfId="13893"/>
    <cellStyle name="标题 2 5 2 13" xfId="13894"/>
    <cellStyle name="标题 2 5 2 14" xfId="13895"/>
    <cellStyle name="标题 2 5 2 15" xfId="13896"/>
    <cellStyle name="标题 2 5 2 16" xfId="13897"/>
    <cellStyle name="标题 2 5 2 17" xfId="13898"/>
    <cellStyle name="标题 2 5 2 18" xfId="13899"/>
    <cellStyle name="标题 2 5 2 19" xfId="13900"/>
    <cellStyle name="标题 2 5 2 2" xfId="13901"/>
    <cellStyle name="标题 2 5 2 20" xfId="13902"/>
    <cellStyle name="标题 2 5 2 21" xfId="13903"/>
    <cellStyle name="标题 2 5 2 22" xfId="13904"/>
    <cellStyle name="标题 2 5 2 23" xfId="13905"/>
    <cellStyle name="标题 2 5 2 24" xfId="13906"/>
    <cellStyle name="标题 2 5 2 25" xfId="13907"/>
    <cellStyle name="标题 2 5 2 26" xfId="13908"/>
    <cellStyle name="标题 2 5 2 27" xfId="13909"/>
    <cellStyle name="标题 2 5 2 3" xfId="13910"/>
    <cellStyle name="标题 2 5 2 4" xfId="13911"/>
    <cellStyle name="标题 2 5 2 5" xfId="13912"/>
    <cellStyle name="标题 2 5 2 6" xfId="13913"/>
    <cellStyle name="标题 2 5 2 7" xfId="13914"/>
    <cellStyle name="标题 2 5 2 8" xfId="13915"/>
    <cellStyle name="标题 2 5 2 9" xfId="13916"/>
    <cellStyle name="标题 2 5 20" xfId="13917"/>
    <cellStyle name="标题 2 5 21" xfId="13918"/>
    <cellStyle name="标题 2 5 22" xfId="13919"/>
    <cellStyle name="标题 2 5 23" xfId="13920"/>
    <cellStyle name="标题 2 5 24" xfId="13921"/>
    <cellStyle name="标题 2 5 25" xfId="13922"/>
    <cellStyle name="标题 2 5 26" xfId="13923"/>
    <cellStyle name="标题 2 5 27" xfId="13924"/>
    <cellStyle name="标题 2 5 28" xfId="13925"/>
    <cellStyle name="标题 2 5 3" xfId="13926"/>
    <cellStyle name="标题 2 5 4" xfId="13927"/>
    <cellStyle name="标题 2 5 5" xfId="13928"/>
    <cellStyle name="标题 2 5 6" xfId="13929"/>
    <cellStyle name="标题 2 5 7" xfId="13930"/>
    <cellStyle name="标题 2 5 8" xfId="13931"/>
    <cellStyle name="标题 2 5 9" xfId="13932"/>
    <cellStyle name="标题 2 6" xfId="13933"/>
    <cellStyle name="标题 2 6 10" xfId="13934"/>
    <cellStyle name="标题 2 6 11" xfId="13935"/>
    <cellStyle name="标题 2 6 12" xfId="13936"/>
    <cellStyle name="标题 2 6 13" xfId="13937"/>
    <cellStyle name="标题 2 6 14" xfId="13938"/>
    <cellStyle name="标题 2 6 15" xfId="13939"/>
    <cellStyle name="标题 2 6 16" xfId="13940"/>
    <cellStyle name="标题 2 6 17" xfId="13941"/>
    <cellStyle name="标题 2 6 18" xfId="13942"/>
    <cellStyle name="标题 2 6 19" xfId="13943"/>
    <cellStyle name="标题 2 6 2" xfId="13944"/>
    <cellStyle name="标题 2 6 2 10" xfId="13945"/>
    <cellStyle name="标题 2 6 2 11" xfId="13946"/>
    <cellStyle name="标题 2 6 2 12" xfId="13947"/>
    <cellStyle name="标题 2 6 2 13" xfId="13948"/>
    <cellStyle name="标题 2 6 2 14" xfId="13949"/>
    <cellStyle name="标题 2 6 2 15" xfId="13950"/>
    <cellStyle name="标题 2 6 2 16" xfId="13951"/>
    <cellStyle name="标题 2 6 2 17" xfId="13952"/>
    <cellStyle name="标题 2 6 2 18" xfId="13953"/>
    <cellStyle name="标题 2 6 2 19" xfId="13954"/>
    <cellStyle name="标题 2 6 2 2" xfId="13955"/>
    <cellStyle name="标题 2 6 2 20" xfId="13956"/>
    <cellStyle name="标题 2 6 2 21" xfId="13957"/>
    <cellStyle name="标题 2 6 2 22" xfId="13958"/>
    <cellStyle name="标题 2 6 2 23" xfId="13959"/>
    <cellStyle name="标题 2 6 2 24" xfId="13960"/>
    <cellStyle name="标题 2 6 2 25" xfId="13961"/>
    <cellStyle name="标题 2 6 2 26" xfId="13962"/>
    <cellStyle name="标题 2 6 2 27" xfId="13963"/>
    <cellStyle name="标题 2 6 2 3" xfId="13964"/>
    <cellStyle name="标题 2 6 2 4" xfId="13965"/>
    <cellStyle name="标题 2 6 2 5" xfId="13966"/>
    <cellStyle name="标题 2 6 2 6" xfId="13967"/>
    <cellStyle name="标题 2 6 2 7" xfId="13968"/>
    <cellStyle name="标题 2 6 2 8" xfId="13969"/>
    <cellStyle name="标题 2 6 2 9" xfId="13970"/>
    <cellStyle name="标题 2 6 20" xfId="13971"/>
    <cellStyle name="标题 2 6 21" xfId="13972"/>
    <cellStyle name="标题 2 6 22" xfId="13973"/>
    <cellStyle name="标题 2 6 23" xfId="13974"/>
    <cellStyle name="标题 2 6 24" xfId="13975"/>
    <cellStyle name="标题 2 6 25" xfId="13976"/>
    <cellStyle name="标题 2 6 26" xfId="13977"/>
    <cellStyle name="标题 2 6 27" xfId="13978"/>
    <cellStyle name="标题 2 6 28" xfId="13979"/>
    <cellStyle name="标题 2 6 3" xfId="13980"/>
    <cellStyle name="标题 2 6 4" xfId="13981"/>
    <cellStyle name="标题 2 6 5" xfId="13982"/>
    <cellStyle name="标题 2 6 6" xfId="13983"/>
    <cellStyle name="标题 2 6 7" xfId="13984"/>
    <cellStyle name="标题 2 6 8" xfId="13985"/>
    <cellStyle name="标题 2 6 9" xfId="13986"/>
    <cellStyle name="标题 2 7" xfId="13987"/>
    <cellStyle name="标题 2 7 10" xfId="13988"/>
    <cellStyle name="标题 2 7 11" xfId="13989"/>
    <cellStyle name="标题 2 7 12" xfId="13990"/>
    <cellStyle name="标题 2 7 13" xfId="13991"/>
    <cellStyle name="标题 2 7 14" xfId="13992"/>
    <cellStyle name="标题 2 7 15" xfId="13993"/>
    <cellStyle name="标题 2 7 16" xfId="13994"/>
    <cellStyle name="标题 2 7 17" xfId="13995"/>
    <cellStyle name="标题 2 7 18" xfId="13996"/>
    <cellStyle name="标题 2 7 19" xfId="13997"/>
    <cellStyle name="标题 2 7 2" xfId="13998"/>
    <cellStyle name="标题 2 7 2 10" xfId="13999"/>
    <cellStyle name="标题 2 7 2 11" xfId="14000"/>
    <cellStyle name="标题 2 7 2 12" xfId="14001"/>
    <cellStyle name="标题 2 7 2 13" xfId="14002"/>
    <cellStyle name="标题 2 7 2 14" xfId="14003"/>
    <cellStyle name="标题 2 7 2 15" xfId="14004"/>
    <cellStyle name="标题 2 7 2 16" xfId="14005"/>
    <cellStyle name="标题 2 7 2 17" xfId="14006"/>
    <cellStyle name="标题 2 7 2 18" xfId="14007"/>
    <cellStyle name="标题 2 7 2 19" xfId="14008"/>
    <cellStyle name="标题 2 7 2 2" xfId="14009"/>
    <cellStyle name="标题 2 7 2 20" xfId="14010"/>
    <cellStyle name="标题 2 7 2 21" xfId="14011"/>
    <cellStyle name="标题 2 7 2 22" xfId="14012"/>
    <cellStyle name="标题 2 7 2 23" xfId="14013"/>
    <cellStyle name="标题 2 7 2 24" xfId="14014"/>
    <cellStyle name="标题 2 7 2 25" xfId="14015"/>
    <cellStyle name="标题 2 7 2 26" xfId="14016"/>
    <cellStyle name="标题 2 7 2 27" xfId="14017"/>
    <cellStyle name="标题 2 7 2 3" xfId="14018"/>
    <cellStyle name="标题 2 7 2 4" xfId="14019"/>
    <cellStyle name="标题 2 7 2 5" xfId="14020"/>
    <cellStyle name="标题 2 7 2 6" xfId="14021"/>
    <cellStyle name="标题 2 7 2 7" xfId="14022"/>
    <cellStyle name="标题 2 7 2 8" xfId="14023"/>
    <cellStyle name="标题 2 7 2 9" xfId="14024"/>
    <cellStyle name="标题 2 7 20" xfId="14025"/>
    <cellStyle name="标题 2 7 21" xfId="14026"/>
    <cellStyle name="标题 2 7 22" xfId="14027"/>
    <cellStyle name="标题 2 7 23" xfId="14028"/>
    <cellStyle name="标题 2 7 24" xfId="14029"/>
    <cellStyle name="标题 2 7 25" xfId="14030"/>
    <cellStyle name="标题 2 7 26" xfId="14031"/>
    <cellStyle name="标题 2 7 27" xfId="14032"/>
    <cellStyle name="标题 2 7 28" xfId="14033"/>
    <cellStyle name="标题 2 7 3" xfId="14034"/>
    <cellStyle name="标题 2 7 4" xfId="14035"/>
    <cellStyle name="标题 2 7 5" xfId="14036"/>
    <cellStyle name="标题 2 7 6" xfId="14037"/>
    <cellStyle name="标题 2 7 7" xfId="14038"/>
    <cellStyle name="标题 2 7 8" xfId="14039"/>
    <cellStyle name="标题 2 7 9" xfId="14040"/>
    <cellStyle name="标题 2 8" xfId="14041"/>
    <cellStyle name="标题 2 8 10" xfId="14042"/>
    <cellStyle name="标题 2 8 11" xfId="14043"/>
    <cellStyle name="标题 2 8 12" xfId="14044"/>
    <cellStyle name="标题 2 8 13" xfId="14045"/>
    <cellStyle name="标题 2 8 14" xfId="14046"/>
    <cellStyle name="标题 2 8 15" xfId="14047"/>
    <cellStyle name="标题 2 8 16" xfId="14048"/>
    <cellStyle name="标题 2 8 17" xfId="14049"/>
    <cellStyle name="标题 2 8 18" xfId="14050"/>
    <cellStyle name="标题 2 8 19" xfId="14051"/>
    <cellStyle name="标题 2 8 2" xfId="14052"/>
    <cellStyle name="标题 2 8 2 10" xfId="14053"/>
    <cellStyle name="标题 2 8 2 11" xfId="14054"/>
    <cellStyle name="标题 2 8 2 12" xfId="14055"/>
    <cellStyle name="标题 2 8 2 13" xfId="14056"/>
    <cellStyle name="标题 2 8 2 14" xfId="14057"/>
    <cellStyle name="标题 2 8 2 15" xfId="14058"/>
    <cellStyle name="标题 2 8 2 16" xfId="14059"/>
    <cellStyle name="标题 2 8 2 17" xfId="14060"/>
    <cellStyle name="标题 2 8 2 18" xfId="14061"/>
    <cellStyle name="标题 2 8 2 19" xfId="14062"/>
    <cellStyle name="标题 2 8 2 2" xfId="14063"/>
    <cellStyle name="标题 2 8 2 20" xfId="14064"/>
    <cellStyle name="标题 2 8 2 21" xfId="14065"/>
    <cellStyle name="标题 2 8 2 22" xfId="14066"/>
    <cellStyle name="标题 2 8 2 23" xfId="14067"/>
    <cellStyle name="标题 2 8 2 24" xfId="14068"/>
    <cellStyle name="标题 2 8 2 25" xfId="14069"/>
    <cellStyle name="标题 2 8 2 26" xfId="14070"/>
    <cellStyle name="标题 2 8 2 27" xfId="14071"/>
    <cellStyle name="标题 2 8 2 3" xfId="14072"/>
    <cellStyle name="标题 2 8 2 4" xfId="14073"/>
    <cellStyle name="标题 2 8 2 5" xfId="14074"/>
    <cellStyle name="标题 2 8 2 6" xfId="14075"/>
    <cellStyle name="标题 2 8 2 7" xfId="14076"/>
    <cellStyle name="标题 2 8 2 8" xfId="14077"/>
    <cellStyle name="标题 2 8 2 9" xfId="14078"/>
    <cellStyle name="标题 2 8 20" xfId="14079"/>
    <cellStyle name="标题 2 8 21" xfId="14080"/>
    <cellStyle name="标题 2 8 22" xfId="14081"/>
    <cellStyle name="标题 2 8 23" xfId="14082"/>
    <cellStyle name="标题 2 8 24" xfId="14083"/>
    <cellStyle name="标题 2 8 25" xfId="14084"/>
    <cellStyle name="标题 2 8 26" xfId="14085"/>
    <cellStyle name="标题 2 8 27" xfId="14086"/>
    <cellStyle name="标题 2 8 28" xfId="14087"/>
    <cellStyle name="标题 2 8 3" xfId="14088"/>
    <cellStyle name="标题 2 8 4" xfId="14089"/>
    <cellStyle name="标题 2 8 5" xfId="14090"/>
    <cellStyle name="标题 2 8 6" xfId="14091"/>
    <cellStyle name="标题 2 8 7" xfId="14092"/>
    <cellStyle name="标题 2 8 8" xfId="14093"/>
    <cellStyle name="标题 2 8 9" xfId="14094"/>
    <cellStyle name="标题 2 9" xfId="14095"/>
    <cellStyle name="标题 2 9 10" xfId="14096"/>
    <cellStyle name="标题 2 9 11" xfId="14097"/>
    <cellStyle name="标题 2 9 12" xfId="14098"/>
    <cellStyle name="标题 2 9 13" xfId="14099"/>
    <cellStyle name="标题 2 9 14" xfId="14100"/>
    <cellStyle name="标题 2 9 15" xfId="14101"/>
    <cellStyle name="标题 2 9 16" xfId="14102"/>
    <cellStyle name="标题 2 9 17" xfId="14103"/>
    <cellStyle name="标题 2 9 18" xfId="14104"/>
    <cellStyle name="标题 2 9 19" xfId="14105"/>
    <cellStyle name="标题 2 9 2" xfId="14106"/>
    <cellStyle name="标题 2 9 2 10" xfId="14107"/>
    <cellStyle name="标题 2 9 2 11" xfId="14108"/>
    <cellStyle name="标题 2 9 2 12" xfId="14109"/>
    <cellStyle name="标题 2 9 2 13" xfId="14110"/>
    <cellStyle name="标题 2 9 2 14" xfId="14111"/>
    <cellStyle name="标题 2 9 2 15" xfId="14112"/>
    <cellStyle name="标题 2 9 2 16" xfId="14113"/>
    <cellStyle name="标题 2 9 2 17" xfId="14114"/>
    <cellStyle name="标题 2 9 2 18" xfId="14115"/>
    <cellStyle name="标题 2 9 2 19" xfId="14116"/>
    <cellStyle name="标题 2 9 2 2" xfId="14117"/>
    <cellStyle name="标题 2 9 2 20" xfId="14118"/>
    <cellStyle name="标题 2 9 2 21" xfId="14119"/>
    <cellStyle name="标题 2 9 2 22" xfId="14120"/>
    <cellStyle name="标题 2 9 2 23" xfId="14121"/>
    <cellStyle name="标题 2 9 2 24" xfId="14122"/>
    <cellStyle name="标题 2 9 2 25" xfId="14123"/>
    <cellStyle name="标题 2 9 2 26" xfId="14124"/>
    <cellStyle name="标题 2 9 2 27" xfId="14125"/>
    <cellStyle name="标题 2 9 2 3" xfId="14126"/>
    <cellStyle name="标题 2 9 2 4" xfId="14127"/>
    <cellStyle name="标题 2 9 2 5" xfId="14128"/>
    <cellStyle name="标题 2 9 2 6" xfId="14129"/>
    <cellStyle name="标题 2 9 2 7" xfId="14130"/>
    <cellStyle name="标题 2 9 2 8" xfId="14131"/>
    <cellStyle name="标题 2 9 2 9" xfId="14132"/>
    <cellStyle name="标题 2 9 20" xfId="14133"/>
    <cellStyle name="标题 2 9 21" xfId="14134"/>
    <cellStyle name="标题 2 9 22" xfId="14135"/>
    <cellStyle name="标题 2 9 23" xfId="14136"/>
    <cellStyle name="标题 2 9 24" xfId="14137"/>
    <cellStyle name="标题 2 9 25" xfId="14138"/>
    <cellStyle name="标题 2 9 26" xfId="14139"/>
    <cellStyle name="标题 2 9 27" xfId="14140"/>
    <cellStyle name="标题 2 9 28" xfId="14141"/>
    <cellStyle name="标题 2 9 3" xfId="14142"/>
    <cellStyle name="标题 2 9 4" xfId="14143"/>
    <cellStyle name="标题 2 9 5" xfId="14144"/>
    <cellStyle name="标题 2 9 6" xfId="14145"/>
    <cellStyle name="标题 2 9 7" xfId="14146"/>
    <cellStyle name="标题 2 9 8" xfId="14147"/>
    <cellStyle name="标题 2 9 9" xfId="14148"/>
    <cellStyle name="标题 20" xfId="14149"/>
    <cellStyle name="标题 21" xfId="14150"/>
    <cellStyle name="标题 22" xfId="14151"/>
    <cellStyle name="标题 23" xfId="14152"/>
    <cellStyle name="标题 24" xfId="14153"/>
    <cellStyle name="标题 25" xfId="14154"/>
    <cellStyle name="标题 26" xfId="14155"/>
    <cellStyle name="标题 27" xfId="14156"/>
    <cellStyle name="标题 28" xfId="14157"/>
    <cellStyle name="标题 29" xfId="14158"/>
    <cellStyle name="标题 3" xfId="14159" builtinId="18" customBuiltin="1"/>
    <cellStyle name="标题 3 10" xfId="14160"/>
    <cellStyle name="标题 3 10 10" xfId="14161"/>
    <cellStyle name="标题 3 10 11" xfId="14162"/>
    <cellStyle name="标题 3 10 12" xfId="14163"/>
    <cellStyle name="标题 3 10 13" xfId="14164"/>
    <cellStyle name="标题 3 10 14" xfId="14165"/>
    <cellStyle name="标题 3 10 15" xfId="14166"/>
    <cellStyle name="标题 3 10 16" xfId="14167"/>
    <cellStyle name="标题 3 10 17" xfId="14168"/>
    <cellStyle name="标题 3 10 18" xfId="14169"/>
    <cellStyle name="标题 3 10 19" xfId="14170"/>
    <cellStyle name="标题 3 10 2" xfId="14171"/>
    <cellStyle name="标题 3 10 2 10" xfId="14172"/>
    <cellStyle name="标题 3 10 2 11" xfId="14173"/>
    <cellStyle name="标题 3 10 2 12" xfId="14174"/>
    <cellStyle name="标题 3 10 2 13" xfId="14175"/>
    <cellStyle name="标题 3 10 2 14" xfId="14176"/>
    <cellStyle name="标题 3 10 2 15" xfId="14177"/>
    <cellStyle name="标题 3 10 2 16" xfId="14178"/>
    <cellStyle name="标题 3 10 2 17" xfId="14179"/>
    <cellStyle name="标题 3 10 2 18" xfId="14180"/>
    <cellStyle name="标题 3 10 2 19" xfId="14181"/>
    <cellStyle name="标题 3 10 2 2" xfId="14182"/>
    <cellStyle name="标题 3 10 2 20" xfId="14183"/>
    <cellStyle name="标题 3 10 2 21" xfId="14184"/>
    <cellStyle name="标题 3 10 2 22" xfId="14185"/>
    <cellStyle name="标题 3 10 2 23" xfId="14186"/>
    <cellStyle name="标题 3 10 2 24" xfId="14187"/>
    <cellStyle name="标题 3 10 2 25" xfId="14188"/>
    <cellStyle name="标题 3 10 2 26" xfId="14189"/>
    <cellStyle name="标题 3 10 2 27" xfId="14190"/>
    <cellStyle name="标题 3 10 2 3" xfId="14191"/>
    <cellStyle name="标题 3 10 2 4" xfId="14192"/>
    <cellStyle name="标题 3 10 2 5" xfId="14193"/>
    <cellStyle name="标题 3 10 2 6" xfId="14194"/>
    <cellStyle name="标题 3 10 2 7" xfId="14195"/>
    <cellStyle name="标题 3 10 2 8" xfId="14196"/>
    <cellStyle name="标题 3 10 2 9" xfId="14197"/>
    <cellStyle name="标题 3 10 20" xfId="14198"/>
    <cellStyle name="标题 3 10 21" xfId="14199"/>
    <cellStyle name="标题 3 10 22" xfId="14200"/>
    <cellStyle name="标题 3 10 23" xfId="14201"/>
    <cellStyle name="标题 3 10 24" xfId="14202"/>
    <cellStyle name="标题 3 10 25" xfId="14203"/>
    <cellStyle name="标题 3 10 26" xfId="14204"/>
    <cellStyle name="标题 3 10 27" xfId="14205"/>
    <cellStyle name="标题 3 10 28" xfId="14206"/>
    <cellStyle name="标题 3 10 3" xfId="14207"/>
    <cellStyle name="标题 3 10 4" xfId="14208"/>
    <cellStyle name="标题 3 10 5" xfId="14209"/>
    <cellStyle name="标题 3 10 6" xfId="14210"/>
    <cellStyle name="标题 3 10 7" xfId="14211"/>
    <cellStyle name="标题 3 10 8" xfId="14212"/>
    <cellStyle name="标题 3 10 9" xfId="14213"/>
    <cellStyle name="标题 3 11" xfId="14214"/>
    <cellStyle name="标题 3 11 10" xfId="14215"/>
    <cellStyle name="标题 3 11 11" xfId="14216"/>
    <cellStyle name="标题 3 11 12" xfId="14217"/>
    <cellStyle name="标题 3 11 13" xfId="14218"/>
    <cellStyle name="标题 3 11 14" xfId="14219"/>
    <cellStyle name="标题 3 11 15" xfId="14220"/>
    <cellStyle name="标题 3 11 16" xfId="14221"/>
    <cellStyle name="标题 3 11 17" xfId="14222"/>
    <cellStyle name="标题 3 11 18" xfId="14223"/>
    <cellStyle name="标题 3 11 19" xfId="14224"/>
    <cellStyle name="标题 3 11 2" xfId="14225"/>
    <cellStyle name="标题 3 11 2 10" xfId="14226"/>
    <cellStyle name="标题 3 11 2 11" xfId="14227"/>
    <cellStyle name="标题 3 11 2 12" xfId="14228"/>
    <cellStyle name="标题 3 11 2 13" xfId="14229"/>
    <cellStyle name="标题 3 11 2 14" xfId="14230"/>
    <cellStyle name="标题 3 11 2 15" xfId="14231"/>
    <cellStyle name="标题 3 11 2 16" xfId="14232"/>
    <cellStyle name="标题 3 11 2 17" xfId="14233"/>
    <cellStyle name="标题 3 11 2 18" xfId="14234"/>
    <cellStyle name="标题 3 11 2 19" xfId="14235"/>
    <cellStyle name="标题 3 11 2 2" xfId="14236"/>
    <cellStyle name="标题 3 11 2 20" xfId="14237"/>
    <cellStyle name="标题 3 11 2 21" xfId="14238"/>
    <cellStyle name="标题 3 11 2 22" xfId="14239"/>
    <cellStyle name="标题 3 11 2 23" xfId="14240"/>
    <cellStyle name="标题 3 11 2 24" xfId="14241"/>
    <cellStyle name="标题 3 11 2 25" xfId="14242"/>
    <cellStyle name="标题 3 11 2 26" xfId="14243"/>
    <cellStyle name="标题 3 11 2 27" xfId="14244"/>
    <cellStyle name="标题 3 11 2 3" xfId="14245"/>
    <cellStyle name="标题 3 11 2 4" xfId="14246"/>
    <cellStyle name="标题 3 11 2 5" xfId="14247"/>
    <cellStyle name="标题 3 11 2 6" xfId="14248"/>
    <cellStyle name="标题 3 11 2 7" xfId="14249"/>
    <cellStyle name="标题 3 11 2 8" xfId="14250"/>
    <cellStyle name="标题 3 11 2 9" xfId="14251"/>
    <cellStyle name="标题 3 11 20" xfId="14252"/>
    <cellStyle name="标题 3 11 21" xfId="14253"/>
    <cellStyle name="标题 3 11 22" xfId="14254"/>
    <cellStyle name="标题 3 11 23" xfId="14255"/>
    <cellStyle name="标题 3 11 24" xfId="14256"/>
    <cellStyle name="标题 3 11 25" xfId="14257"/>
    <cellStyle name="标题 3 11 26" xfId="14258"/>
    <cellStyle name="标题 3 11 27" xfId="14259"/>
    <cellStyle name="标题 3 11 28" xfId="14260"/>
    <cellStyle name="标题 3 11 3" xfId="14261"/>
    <cellStyle name="标题 3 11 4" xfId="14262"/>
    <cellStyle name="标题 3 11 5" xfId="14263"/>
    <cellStyle name="标题 3 11 6" xfId="14264"/>
    <cellStyle name="标题 3 11 7" xfId="14265"/>
    <cellStyle name="标题 3 11 8" xfId="14266"/>
    <cellStyle name="标题 3 11 9" xfId="14267"/>
    <cellStyle name="标题 3 12" xfId="14268"/>
    <cellStyle name="标题 3 13" xfId="14269"/>
    <cellStyle name="标题 3 14" xfId="14270"/>
    <cellStyle name="标题 3 15" xfId="14271"/>
    <cellStyle name="标题 3 16" xfId="14272"/>
    <cellStyle name="标题 3 17" xfId="14273"/>
    <cellStyle name="标题 3 18" xfId="14274"/>
    <cellStyle name="标题 3 19" xfId="14275"/>
    <cellStyle name="标题 3 2" xfId="14276"/>
    <cellStyle name="标题 3 2 10" xfId="14277"/>
    <cellStyle name="标题 3 2 11" xfId="14278"/>
    <cellStyle name="标题 3 2 12" xfId="14279"/>
    <cellStyle name="标题 3 2 13" xfId="14280"/>
    <cellStyle name="标题 3 2 14" xfId="14281"/>
    <cellStyle name="标题 3 2 15" xfId="14282"/>
    <cellStyle name="标题 3 2 16" xfId="14283"/>
    <cellStyle name="标题 3 2 17" xfId="14284"/>
    <cellStyle name="标题 3 2 18" xfId="14285"/>
    <cellStyle name="标题 3 2 19" xfId="14286"/>
    <cellStyle name="标题 3 2 2" xfId="14287"/>
    <cellStyle name="标题 3 2 2 10" xfId="14288"/>
    <cellStyle name="标题 3 2 2 11" xfId="14289"/>
    <cellStyle name="标题 3 2 2 12" xfId="14290"/>
    <cellStyle name="标题 3 2 2 13" xfId="14291"/>
    <cellStyle name="标题 3 2 2 14" xfId="14292"/>
    <cellStyle name="标题 3 2 2 15" xfId="14293"/>
    <cellStyle name="标题 3 2 2 16" xfId="14294"/>
    <cellStyle name="标题 3 2 2 17" xfId="14295"/>
    <cellStyle name="标题 3 2 2 18" xfId="14296"/>
    <cellStyle name="标题 3 2 2 19" xfId="14297"/>
    <cellStyle name="标题 3 2 2 2" xfId="14298"/>
    <cellStyle name="标题 3 2 2 2 10" xfId="14299"/>
    <cellStyle name="标题 3 2 2 2 11" xfId="14300"/>
    <cellStyle name="标题 3 2 2 2 12" xfId="14301"/>
    <cellStyle name="标题 3 2 2 2 13" xfId="14302"/>
    <cellStyle name="标题 3 2 2 2 14" xfId="14303"/>
    <cellStyle name="标题 3 2 2 2 15" xfId="14304"/>
    <cellStyle name="标题 3 2 2 2 16" xfId="14305"/>
    <cellStyle name="标题 3 2 2 2 17" xfId="14306"/>
    <cellStyle name="标题 3 2 2 2 18" xfId="14307"/>
    <cellStyle name="标题 3 2 2 2 19" xfId="14308"/>
    <cellStyle name="标题 3 2 2 2 2" xfId="14309"/>
    <cellStyle name="标题 3 2 2 2 20" xfId="14310"/>
    <cellStyle name="标题 3 2 2 2 21" xfId="14311"/>
    <cellStyle name="标题 3 2 2 2 22" xfId="14312"/>
    <cellStyle name="标题 3 2 2 2 23" xfId="14313"/>
    <cellStyle name="标题 3 2 2 2 24" xfId="14314"/>
    <cellStyle name="标题 3 2 2 2 25" xfId="14315"/>
    <cellStyle name="标题 3 2 2 2 26" xfId="14316"/>
    <cellStyle name="标题 3 2 2 2 27" xfId="14317"/>
    <cellStyle name="标题 3 2 2 2 3" xfId="14318"/>
    <cellStyle name="标题 3 2 2 2 4" xfId="14319"/>
    <cellStyle name="标题 3 2 2 2 5" xfId="14320"/>
    <cellStyle name="标题 3 2 2 2 6" xfId="14321"/>
    <cellStyle name="标题 3 2 2 2 7" xfId="14322"/>
    <cellStyle name="标题 3 2 2 2 8" xfId="14323"/>
    <cellStyle name="标题 3 2 2 2 9" xfId="14324"/>
    <cellStyle name="标题 3 2 2 20" xfId="14325"/>
    <cellStyle name="标题 3 2 2 21" xfId="14326"/>
    <cellStyle name="标题 3 2 2 22" xfId="14327"/>
    <cellStyle name="标题 3 2 2 23" xfId="14328"/>
    <cellStyle name="标题 3 2 2 24" xfId="14329"/>
    <cellStyle name="标题 3 2 2 25" xfId="14330"/>
    <cellStyle name="标题 3 2 2 26" xfId="14331"/>
    <cellStyle name="标题 3 2 2 27" xfId="14332"/>
    <cellStyle name="标题 3 2 2 28" xfId="14333"/>
    <cellStyle name="标题 3 2 2 3" xfId="14334"/>
    <cellStyle name="标题 3 2 2 4" xfId="14335"/>
    <cellStyle name="标题 3 2 2 5" xfId="14336"/>
    <cellStyle name="标题 3 2 2 6" xfId="14337"/>
    <cellStyle name="标题 3 2 2 7" xfId="14338"/>
    <cellStyle name="标题 3 2 2 8" xfId="14339"/>
    <cellStyle name="标题 3 2 2 9" xfId="14340"/>
    <cellStyle name="标题 3 2 20" xfId="14341"/>
    <cellStyle name="标题 3 2 21" xfId="14342"/>
    <cellStyle name="标题 3 2 22" xfId="14343"/>
    <cellStyle name="标题 3 2 23" xfId="14344"/>
    <cellStyle name="标题 3 2 24" xfId="14345"/>
    <cellStyle name="标题 3 2 25" xfId="14346"/>
    <cellStyle name="标题 3 2 26" xfId="14347"/>
    <cellStyle name="标题 3 2 27" xfId="14348"/>
    <cellStyle name="标题 3 2 28" xfId="14349"/>
    <cellStyle name="标题 3 2 29" xfId="14350"/>
    <cellStyle name="标题 3 2 3" xfId="14351"/>
    <cellStyle name="标题 3 2 3 10" xfId="14352"/>
    <cellStyle name="标题 3 2 3 11" xfId="14353"/>
    <cellStyle name="标题 3 2 3 12" xfId="14354"/>
    <cellStyle name="标题 3 2 3 13" xfId="14355"/>
    <cellStyle name="标题 3 2 3 14" xfId="14356"/>
    <cellStyle name="标题 3 2 3 15" xfId="14357"/>
    <cellStyle name="标题 3 2 3 16" xfId="14358"/>
    <cellStyle name="标题 3 2 3 17" xfId="14359"/>
    <cellStyle name="标题 3 2 3 18" xfId="14360"/>
    <cellStyle name="标题 3 2 3 19" xfId="14361"/>
    <cellStyle name="标题 3 2 3 2" xfId="14362"/>
    <cellStyle name="标题 3 2 3 2 10" xfId="14363"/>
    <cellStyle name="标题 3 2 3 2 11" xfId="14364"/>
    <cellStyle name="标题 3 2 3 2 12" xfId="14365"/>
    <cellStyle name="标题 3 2 3 2 13" xfId="14366"/>
    <cellStyle name="标题 3 2 3 2 14" xfId="14367"/>
    <cellStyle name="标题 3 2 3 2 15" xfId="14368"/>
    <cellStyle name="标题 3 2 3 2 16" xfId="14369"/>
    <cellStyle name="标题 3 2 3 2 17" xfId="14370"/>
    <cellStyle name="标题 3 2 3 2 18" xfId="14371"/>
    <cellStyle name="标题 3 2 3 2 19" xfId="14372"/>
    <cellStyle name="标题 3 2 3 2 2" xfId="14373"/>
    <cellStyle name="标题 3 2 3 2 20" xfId="14374"/>
    <cellStyle name="标题 3 2 3 2 21" xfId="14375"/>
    <cellStyle name="标题 3 2 3 2 22" xfId="14376"/>
    <cellStyle name="标题 3 2 3 2 23" xfId="14377"/>
    <cellStyle name="标题 3 2 3 2 24" xfId="14378"/>
    <cellStyle name="标题 3 2 3 2 25" xfId="14379"/>
    <cellStyle name="标题 3 2 3 2 26" xfId="14380"/>
    <cellStyle name="标题 3 2 3 2 27" xfId="14381"/>
    <cellStyle name="标题 3 2 3 2 3" xfId="14382"/>
    <cellStyle name="标题 3 2 3 2 4" xfId="14383"/>
    <cellStyle name="标题 3 2 3 2 5" xfId="14384"/>
    <cellStyle name="标题 3 2 3 2 6" xfId="14385"/>
    <cellStyle name="标题 3 2 3 2 7" xfId="14386"/>
    <cellStyle name="标题 3 2 3 2 8" xfId="14387"/>
    <cellStyle name="标题 3 2 3 2 9" xfId="14388"/>
    <cellStyle name="标题 3 2 3 20" xfId="14389"/>
    <cellStyle name="标题 3 2 3 21" xfId="14390"/>
    <cellStyle name="标题 3 2 3 22" xfId="14391"/>
    <cellStyle name="标题 3 2 3 23" xfId="14392"/>
    <cellStyle name="标题 3 2 3 24" xfId="14393"/>
    <cellStyle name="标题 3 2 3 25" xfId="14394"/>
    <cellStyle name="标题 3 2 3 26" xfId="14395"/>
    <cellStyle name="标题 3 2 3 27" xfId="14396"/>
    <cellStyle name="标题 3 2 3 28" xfId="14397"/>
    <cellStyle name="标题 3 2 3 3" xfId="14398"/>
    <cellStyle name="标题 3 2 3 4" xfId="14399"/>
    <cellStyle name="标题 3 2 3 5" xfId="14400"/>
    <cellStyle name="标题 3 2 3 6" xfId="14401"/>
    <cellStyle name="标题 3 2 3 7" xfId="14402"/>
    <cellStyle name="标题 3 2 3 8" xfId="14403"/>
    <cellStyle name="标题 3 2 3 9" xfId="14404"/>
    <cellStyle name="标题 3 2 30" xfId="14405"/>
    <cellStyle name="标题 3 2 31" xfId="14406"/>
    <cellStyle name="标题 3 2 32" xfId="14407"/>
    <cellStyle name="标题 3 2 33" xfId="14408"/>
    <cellStyle name="标题 3 2 4" xfId="14409"/>
    <cellStyle name="标题 3 2 4 10" xfId="14410"/>
    <cellStyle name="标题 3 2 4 11" xfId="14411"/>
    <cellStyle name="标题 3 2 4 12" xfId="14412"/>
    <cellStyle name="标题 3 2 4 13" xfId="14413"/>
    <cellStyle name="标题 3 2 4 14" xfId="14414"/>
    <cellStyle name="标题 3 2 4 15" xfId="14415"/>
    <cellStyle name="标题 3 2 4 16" xfId="14416"/>
    <cellStyle name="标题 3 2 4 17" xfId="14417"/>
    <cellStyle name="标题 3 2 4 18" xfId="14418"/>
    <cellStyle name="标题 3 2 4 19" xfId="14419"/>
    <cellStyle name="标题 3 2 4 2" xfId="14420"/>
    <cellStyle name="标题 3 2 4 20" xfId="14421"/>
    <cellStyle name="标题 3 2 4 21" xfId="14422"/>
    <cellStyle name="标题 3 2 4 22" xfId="14423"/>
    <cellStyle name="标题 3 2 4 23" xfId="14424"/>
    <cellStyle name="标题 3 2 4 24" xfId="14425"/>
    <cellStyle name="标题 3 2 4 25" xfId="14426"/>
    <cellStyle name="标题 3 2 4 26" xfId="14427"/>
    <cellStyle name="标题 3 2 4 27" xfId="14428"/>
    <cellStyle name="标题 3 2 4 3" xfId="14429"/>
    <cellStyle name="标题 3 2 4 4" xfId="14430"/>
    <cellStyle name="标题 3 2 4 5" xfId="14431"/>
    <cellStyle name="标题 3 2 4 6" xfId="14432"/>
    <cellStyle name="标题 3 2 4 7" xfId="14433"/>
    <cellStyle name="标题 3 2 4 8" xfId="14434"/>
    <cellStyle name="标题 3 2 4 9" xfId="14435"/>
    <cellStyle name="标题 3 2 5" xfId="14436"/>
    <cellStyle name="标题 3 2 6" xfId="14437"/>
    <cellStyle name="标题 3 2 7" xfId="14438"/>
    <cellStyle name="标题 3 2 8" xfId="14439"/>
    <cellStyle name="标题 3 2 9" xfId="14440"/>
    <cellStyle name="标题 3 20" xfId="14441"/>
    <cellStyle name="标题 3 21" xfId="14442"/>
    <cellStyle name="标题 3 22" xfId="14443"/>
    <cellStyle name="标题 3 23" xfId="14444"/>
    <cellStyle name="标题 3 24" xfId="14445"/>
    <cellStyle name="标题 3 25" xfId="14446"/>
    <cellStyle name="标题 3 26" xfId="14447"/>
    <cellStyle name="标题 3 27" xfId="14448"/>
    <cellStyle name="标题 3 28" xfId="14449"/>
    <cellStyle name="标题 3 29" xfId="14450"/>
    <cellStyle name="标题 3 3" xfId="14451"/>
    <cellStyle name="标题 3 3 10" xfId="14452"/>
    <cellStyle name="标题 3 3 11" xfId="14453"/>
    <cellStyle name="标题 3 3 12" xfId="14454"/>
    <cellStyle name="标题 3 3 13" xfId="14455"/>
    <cellStyle name="标题 3 3 14" xfId="14456"/>
    <cellStyle name="标题 3 3 15" xfId="14457"/>
    <cellStyle name="标题 3 3 16" xfId="14458"/>
    <cellStyle name="标题 3 3 17" xfId="14459"/>
    <cellStyle name="标题 3 3 18" xfId="14460"/>
    <cellStyle name="标题 3 3 19" xfId="14461"/>
    <cellStyle name="标题 3 3 2" xfId="14462"/>
    <cellStyle name="标题 3 3 2 10" xfId="14463"/>
    <cellStyle name="标题 3 3 2 11" xfId="14464"/>
    <cellStyle name="标题 3 3 2 12" xfId="14465"/>
    <cellStyle name="标题 3 3 2 13" xfId="14466"/>
    <cellStyle name="标题 3 3 2 14" xfId="14467"/>
    <cellStyle name="标题 3 3 2 15" xfId="14468"/>
    <cellStyle name="标题 3 3 2 16" xfId="14469"/>
    <cellStyle name="标题 3 3 2 17" xfId="14470"/>
    <cellStyle name="标题 3 3 2 18" xfId="14471"/>
    <cellStyle name="标题 3 3 2 19" xfId="14472"/>
    <cellStyle name="标题 3 3 2 2" xfId="14473"/>
    <cellStyle name="标题 3 3 2 20" xfId="14474"/>
    <cellStyle name="标题 3 3 2 21" xfId="14475"/>
    <cellStyle name="标题 3 3 2 22" xfId="14476"/>
    <cellStyle name="标题 3 3 2 23" xfId="14477"/>
    <cellStyle name="标题 3 3 2 24" xfId="14478"/>
    <cellStyle name="标题 3 3 2 25" xfId="14479"/>
    <cellStyle name="标题 3 3 2 26" xfId="14480"/>
    <cellStyle name="标题 3 3 2 27" xfId="14481"/>
    <cellStyle name="标题 3 3 2 3" xfId="14482"/>
    <cellStyle name="标题 3 3 2 4" xfId="14483"/>
    <cellStyle name="标题 3 3 2 5" xfId="14484"/>
    <cellStyle name="标题 3 3 2 6" xfId="14485"/>
    <cellStyle name="标题 3 3 2 7" xfId="14486"/>
    <cellStyle name="标题 3 3 2 8" xfId="14487"/>
    <cellStyle name="标题 3 3 2 9" xfId="14488"/>
    <cellStyle name="标题 3 3 20" xfId="14489"/>
    <cellStyle name="标题 3 3 21" xfId="14490"/>
    <cellStyle name="标题 3 3 22" xfId="14491"/>
    <cellStyle name="标题 3 3 23" xfId="14492"/>
    <cellStyle name="标题 3 3 24" xfId="14493"/>
    <cellStyle name="标题 3 3 25" xfId="14494"/>
    <cellStyle name="标题 3 3 26" xfId="14495"/>
    <cellStyle name="标题 3 3 27" xfId="14496"/>
    <cellStyle name="标题 3 3 28" xfId="14497"/>
    <cellStyle name="标题 3 3 3" xfId="14498"/>
    <cellStyle name="标题 3 3 4" xfId="14499"/>
    <cellStyle name="标题 3 3 5" xfId="14500"/>
    <cellStyle name="标题 3 3 6" xfId="14501"/>
    <cellStyle name="标题 3 3 7" xfId="14502"/>
    <cellStyle name="标题 3 3 8" xfId="14503"/>
    <cellStyle name="标题 3 3 9" xfId="14504"/>
    <cellStyle name="标题 3 30" xfId="14505"/>
    <cellStyle name="标题 3 31" xfId="14506"/>
    <cellStyle name="标题 3 32" xfId="14507"/>
    <cellStyle name="标题 3 33" xfId="14508"/>
    <cellStyle name="标题 3 34" xfId="14509"/>
    <cellStyle name="标题 3 35" xfId="14510"/>
    <cellStyle name="标题 3 36" xfId="14511"/>
    <cellStyle name="标题 3 37" xfId="14512"/>
    <cellStyle name="标题 3 38" xfId="14513"/>
    <cellStyle name="标题 3 39" xfId="14514"/>
    <cellStyle name="标题 3 4" xfId="14515"/>
    <cellStyle name="标题 3 4 10" xfId="14516"/>
    <cellStyle name="标题 3 4 11" xfId="14517"/>
    <cellStyle name="标题 3 4 12" xfId="14518"/>
    <cellStyle name="标题 3 4 13" xfId="14519"/>
    <cellStyle name="标题 3 4 14" xfId="14520"/>
    <cellStyle name="标题 3 4 15" xfId="14521"/>
    <cellStyle name="标题 3 4 16" xfId="14522"/>
    <cellStyle name="标题 3 4 17" xfId="14523"/>
    <cellStyle name="标题 3 4 18" xfId="14524"/>
    <cellStyle name="标题 3 4 19" xfId="14525"/>
    <cellStyle name="标题 3 4 2" xfId="14526"/>
    <cellStyle name="标题 3 4 2 10" xfId="14527"/>
    <cellStyle name="标题 3 4 2 11" xfId="14528"/>
    <cellStyle name="标题 3 4 2 12" xfId="14529"/>
    <cellStyle name="标题 3 4 2 13" xfId="14530"/>
    <cellStyle name="标题 3 4 2 14" xfId="14531"/>
    <cellStyle name="标题 3 4 2 15" xfId="14532"/>
    <cellStyle name="标题 3 4 2 16" xfId="14533"/>
    <cellStyle name="标题 3 4 2 17" xfId="14534"/>
    <cellStyle name="标题 3 4 2 18" xfId="14535"/>
    <cellStyle name="标题 3 4 2 19" xfId="14536"/>
    <cellStyle name="标题 3 4 2 2" xfId="14537"/>
    <cellStyle name="标题 3 4 2 20" xfId="14538"/>
    <cellStyle name="标题 3 4 2 21" xfId="14539"/>
    <cellStyle name="标题 3 4 2 22" xfId="14540"/>
    <cellStyle name="标题 3 4 2 23" xfId="14541"/>
    <cellStyle name="标题 3 4 2 24" xfId="14542"/>
    <cellStyle name="标题 3 4 2 25" xfId="14543"/>
    <cellStyle name="标题 3 4 2 26" xfId="14544"/>
    <cellStyle name="标题 3 4 2 27" xfId="14545"/>
    <cellStyle name="标题 3 4 2 3" xfId="14546"/>
    <cellStyle name="标题 3 4 2 4" xfId="14547"/>
    <cellStyle name="标题 3 4 2 5" xfId="14548"/>
    <cellStyle name="标题 3 4 2 6" xfId="14549"/>
    <cellStyle name="标题 3 4 2 7" xfId="14550"/>
    <cellStyle name="标题 3 4 2 8" xfId="14551"/>
    <cellStyle name="标题 3 4 2 9" xfId="14552"/>
    <cellStyle name="标题 3 4 20" xfId="14553"/>
    <cellStyle name="标题 3 4 21" xfId="14554"/>
    <cellStyle name="标题 3 4 22" xfId="14555"/>
    <cellStyle name="标题 3 4 23" xfId="14556"/>
    <cellStyle name="标题 3 4 24" xfId="14557"/>
    <cellStyle name="标题 3 4 25" xfId="14558"/>
    <cellStyle name="标题 3 4 26" xfId="14559"/>
    <cellStyle name="标题 3 4 27" xfId="14560"/>
    <cellStyle name="标题 3 4 28" xfId="14561"/>
    <cellStyle name="标题 3 4 3" xfId="14562"/>
    <cellStyle name="标题 3 4 4" xfId="14563"/>
    <cellStyle name="标题 3 4 5" xfId="14564"/>
    <cellStyle name="标题 3 4 6" xfId="14565"/>
    <cellStyle name="标题 3 4 7" xfId="14566"/>
    <cellStyle name="标题 3 4 8" xfId="14567"/>
    <cellStyle name="标题 3 4 9" xfId="14568"/>
    <cellStyle name="标题 3 40" xfId="14569"/>
    <cellStyle name="标题 3 5" xfId="14570"/>
    <cellStyle name="标题 3 5 10" xfId="14571"/>
    <cellStyle name="标题 3 5 11" xfId="14572"/>
    <cellStyle name="标题 3 5 12" xfId="14573"/>
    <cellStyle name="标题 3 5 13" xfId="14574"/>
    <cellStyle name="标题 3 5 14" xfId="14575"/>
    <cellStyle name="标题 3 5 15" xfId="14576"/>
    <cellStyle name="标题 3 5 16" xfId="14577"/>
    <cellStyle name="标题 3 5 17" xfId="14578"/>
    <cellStyle name="标题 3 5 18" xfId="14579"/>
    <cellStyle name="标题 3 5 19" xfId="14580"/>
    <cellStyle name="标题 3 5 2" xfId="14581"/>
    <cellStyle name="标题 3 5 2 10" xfId="14582"/>
    <cellStyle name="标题 3 5 2 11" xfId="14583"/>
    <cellStyle name="标题 3 5 2 12" xfId="14584"/>
    <cellStyle name="标题 3 5 2 13" xfId="14585"/>
    <cellStyle name="标题 3 5 2 14" xfId="14586"/>
    <cellStyle name="标题 3 5 2 15" xfId="14587"/>
    <cellStyle name="标题 3 5 2 16" xfId="14588"/>
    <cellStyle name="标题 3 5 2 17" xfId="14589"/>
    <cellStyle name="标题 3 5 2 18" xfId="14590"/>
    <cellStyle name="标题 3 5 2 19" xfId="14591"/>
    <cellStyle name="标题 3 5 2 2" xfId="14592"/>
    <cellStyle name="标题 3 5 2 20" xfId="14593"/>
    <cellStyle name="标题 3 5 2 21" xfId="14594"/>
    <cellStyle name="标题 3 5 2 22" xfId="14595"/>
    <cellStyle name="标题 3 5 2 23" xfId="14596"/>
    <cellStyle name="标题 3 5 2 24" xfId="14597"/>
    <cellStyle name="标题 3 5 2 25" xfId="14598"/>
    <cellStyle name="标题 3 5 2 26" xfId="14599"/>
    <cellStyle name="标题 3 5 2 27" xfId="14600"/>
    <cellStyle name="标题 3 5 2 3" xfId="14601"/>
    <cellStyle name="标题 3 5 2 4" xfId="14602"/>
    <cellStyle name="标题 3 5 2 5" xfId="14603"/>
    <cellStyle name="标题 3 5 2 6" xfId="14604"/>
    <cellStyle name="标题 3 5 2 7" xfId="14605"/>
    <cellStyle name="标题 3 5 2 8" xfId="14606"/>
    <cellStyle name="标题 3 5 2 9" xfId="14607"/>
    <cellStyle name="标题 3 5 20" xfId="14608"/>
    <cellStyle name="标题 3 5 21" xfId="14609"/>
    <cellStyle name="标题 3 5 22" xfId="14610"/>
    <cellStyle name="标题 3 5 23" xfId="14611"/>
    <cellStyle name="标题 3 5 24" xfId="14612"/>
    <cellStyle name="标题 3 5 25" xfId="14613"/>
    <cellStyle name="标题 3 5 26" xfId="14614"/>
    <cellStyle name="标题 3 5 27" xfId="14615"/>
    <cellStyle name="标题 3 5 28" xfId="14616"/>
    <cellStyle name="标题 3 5 3" xfId="14617"/>
    <cellStyle name="标题 3 5 4" xfId="14618"/>
    <cellStyle name="标题 3 5 5" xfId="14619"/>
    <cellStyle name="标题 3 5 6" xfId="14620"/>
    <cellStyle name="标题 3 5 7" xfId="14621"/>
    <cellStyle name="标题 3 5 8" xfId="14622"/>
    <cellStyle name="标题 3 5 9" xfId="14623"/>
    <cellStyle name="标题 3 6" xfId="14624"/>
    <cellStyle name="标题 3 6 10" xfId="14625"/>
    <cellStyle name="标题 3 6 11" xfId="14626"/>
    <cellStyle name="标题 3 6 12" xfId="14627"/>
    <cellStyle name="标题 3 6 13" xfId="14628"/>
    <cellStyle name="标题 3 6 14" xfId="14629"/>
    <cellStyle name="标题 3 6 15" xfId="14630"/>
    <cellStyle name="标题 3 6 16" xfId="14631"/>
    <cellStyle name="标题 3 6 17" xfId="14632"/>
    <cellStyle name="标题 3 6 18" xfId="14633"/>
    <cellStyle name="标题 3 6 19" xfId="14634"/>
    <cellStyle name="标题 3 6 2" xfId="14635"/>
    <cellStyle name="标题 3 6 2 10" xfId="14636"/>
    <cellStyle name="标题 3 6 2 11" xfId="14637"/>
    <cellStyle name="标题 3 6 2 12" xfId="14638"/>
    <cellStyle name="标题 3 6 2 13" xfId="14639"/>
    <cellStyle name="标题 3 6 2 14" xfId="14640"/>
    <cellStyle name="标题 3 6 2 15" xfId="14641"/>
    <cellStyle name="标题 3 6 2 16" xfId="14642"/>
    <cellStyle name="标题 3 6 2 17" xfId="14643"/>
    <cellStyle name="标题 3 6 2 18" xfId="14644"/>
    <cellStyle name="标题 3 6 2 19" xfId="14645"/>
    <cellStyle name="标题 3 6 2 2" xfId="14646"/>
    <cellStyle name="标题 3 6 2 20" xfId="14647"/>
    <cellStyle name="标题 3 6 2 21" xfId="14648"/>
    <cellStyle name="标题 3 6 2 22" xfId="14649"/>
    <cellStyle name="标题 3 6 2 23" xfId="14650"/>
    <cellStyle name="标题 3 6 2 24" xfId="14651"/>
    <cellStyle name="标题 3 6 2 25" xfId="14652"/>
    <cellStyle name="标题 3 6 2 26" xfId="14653"/>
    <cellStyle name="标题 3 6 2 27" xfId="14654"/>
    <cellStyle name="标题 3 6 2 3" xfId="14655"/>
    <cellStyle name="标题 3 6 2 4" xfId="14656"/>
    <cellStyle name="标题 3 6 2 5" xfId="14657"/>
    <cellStyle name="标题 3 6 2 6" xfId="14658"/>
    <cellStyle name="标题 3 6 2 7" xfId="14659"/>
    <cellStyle name="标题 3 6 2 8" xfId="14660"/>
    <cellStyle name="标题 3 6 2 9" xfId="14661"/>
    <cellStyle name="标题 3 6 20" xfId="14662"/>
    <cellStyle name="标题 3 6 21" xfId="14663"/>
    <cellStyle name="标题 3 6 22" xfId="14664"/>
    <cellStyle name="标题 3 6 23" xfId="14665"/>
    <cellStyle name="标题 3 6 24" xfId="14666"/>
    <cellStyle name="标题 3 6 25" xfId="14667"/>
    <cellStyle name="标题 3 6 26" xfId="14668"/>
    <cellStyle name="标题 3 6 27" xfId="14669"/>
    <cellStyle name="标题 3 6 28" xfId="14670"/>
    <cellStyle name="标题 3 6 3" xfId="14671"/>
    <cellStyle name="标题 3 6 4" xfId="14672"/>
    <cellStyle name="标题 3 6 5" xfId="14673"/>
    <cellStyle name="标题 3 6 6" xfId="14674"/>
    <cellStyle name="标题 3 6 7" xfId="14675"/>
    <cellStyle name="标题 3 6 8" xfId="14676"/>
    <cellStyle name="标题 3 6 9" xfId="14677"/>
    <cellStyle name="标题 3 7" xfId="14678"/>
    <cellStyle name="标题 3 7 10" xfId="14679"/>
    <cellStyle name="标题 3 7 11" xfId="14680"/>
    <cellStyle name="标题 3 7 12" xfId="14681"/>
    <cellStyle name="标题 3 7 13" xfId="14682"/>
    <cellStyle name="标题 3 7 14" xfId="14683"/>
    <cellStyle name="标题 3 7 15" xfId="14684"/>
    <cellStyle name="标题 3 7 16" xfId="14685"/>
    <cellStyle name="标题 3 7 17" xfId="14686"/>
    <cellStyle name="标题 3 7 18" xfId="14687"/>
    <cellStyle name="标题 3 7 19" xfId="14688"/>
    <cellStyle name="标题 3 7 2" xfId="14689"/>
    <cellStyle name="标题 3 7 2 10" xfId="14690"/>
    <cellStyle name="标题 3 7 2 11" xfId="14691"/>
    <cellStyle name="标题 3 7 2 12" xfId="14692"/>
    <cellStyle name="标题 3 7 2 13" xfId="14693"/>
    <cellStyle name="标题 3 7 2 14" xfId="14694"/>
    <cellStyle name="标题 3 7 2 15" xfId="14695"/>
    <cellStyle name="标题 3 7 2 16" xfId="14696"/>
    <cellStyle name="标题 3 7 2 17" xfId="14697"/>
    <cellStyle name="标题 3 7 2 18" xfId="14698"/>
    <cellStyle name="标题 3 7 2 19" xfId="14699"/>
    <cellStyle name="标题 3 7 2 2" xfId="14700"/>
    <cellStyle name="标题 3 7 2 20" xfId="14701"/>
    <cellStyle name="标题 3 7 2 21" xfId="14702"/>
    <cellStyle name="标题 3 7 2 22" xfId="14703"/>
    <cellStyle name="标题 3 7 2 23" xfId="14704"/>
    <cellStyle name="标题 3 7 2 24" xfId="14705"/>
    <cellStyle name="标题 3 7 2 25" xfId="14706"/>
    <cellStyle name="标题 3 7 2 26" xfId="14707"/>
    <cellStyle name="标题 3 7 2 27" xfId="14708"/>
    <cellStyle name="标题 3 7 2 3" xfId="14709"/>
    <cellStyle name="标题 3 7 2 4" xfId="14710"/>
    <cellStyle name="标题 3 7 2 5" xfId="14711"/>
    <cellStyle name="标题 3 7 2 6" xfId="14712"/>
    <cellStyle name="标题 3 7 2 7" xfId="14713"/>
    <cellStyle name="标题 3 7 2 8" xfId="14714"/>
    <cellStyle name="标题 3 7 2 9" xfId="14715"/>
    <cellStyle name="标题 3 7 20" xfId="14716"/>
    <cellStyle name="标题 3 7 21" xfId="14717"/>
    <cellStyle name="标题 3 7 22" xfId="14718"/>
    <cellStyle name="标题 3 7 23" xfId="14719"/>
    <cellStyle name="标题 3 7 24" xfId="14720"/>
    <cellStyle name="标题 3 7 25" xfId="14721"/>
    <cellStyle name="标题 3 7 26" xfId="14722"/>
    <cellStyle name="标题 3 7 27" xfId="14723"/>
    <cellStyle name="标题 3 7 28" xfId="14724"/>
    <cellStyle name="标题 3 7 3" xfId="14725"/>
    <cellStyle name="标题 3 7 4" xfId="14726"/>
    <cellStyle name="标题 3 7 5" xfId="14727"/>
    <cellStyle name="标题 3 7 6" xfId="14728"/>
    <cellStyle name="标题 3 7 7" xfId="14729"/>
    <cellStyle name="标题 3 7 8" xfId="14730"/>
    <cellStyle name="标题 3 7 9" xfId="14731"/>
    <cellStyle name="标题 3 8" xfId="14732"/>
    <cellStyle name="标题 3 8 10" xfId="14733"/>
    <cellStyle name="标题 3 8 11" xfId="14734"/>
    <cellStyle name="标题 3 8 12" xfId="14735"/>
    <cellStyle name="标题 3 8 13" xfId="14736"/>
    <cellStyle name="标题 3 8 14" xfId="14737"/>
    <cellStyle name="标题 3 8 15" xfId="14738"/>
    <cellStyle name="标题 3 8 16" xfId="14739"/>
    <cellStyle name="标题 3 8 17" xfId="14740"/>
    <cellStyle name="标题 3 8 18" xfId="14741"/>
    <cellStyle name="标题 3 8 19" xfId="14742"/>
    <cellStyle name="标题 3 8 2" xfId="14743"/>
    <cellStyle name="标题 3 8 2 10" xfId="14744"/>
    <cellStyle name="标题 3 8 2 11" xfId="14745"/>
    <cellStyle name="标题 3 8 2 12" xfId="14746"/>
    <cellStyle name="标题 3 8 2 13" xfId="14747"/>
    <cellStyle name="标题 3 8 2 14" xfId="14748"/>
    <cellStyle name="标题 3 8 2 15" xfId="14749"/>
    <cellStyle name="标题 3 8 2 16" xfId="14750"/>
    <cellStyle name="标题 3 8 2 17" xfId="14751"/>
    <cellStyle name="标题 3 8 2 18" xfId="14752"/>
    <cellStyle name="标题 3 8 2 19" xfId="14753"/>
    <cellStyle name="标题 3 8 2 2" xfId="14754"/>
    <cellStyle name="标题 3 8 2 20" xfId="14755"/>
    <cellStyle name="标题 3 8 2 21" xfId="14756"/>
    <cellStyle name="标题 3 8 2 22" xfId="14757"/>
    <cellStyle name="标题 3 8 2 23" xfId="14758"/>
    <cellStyle name="标题 3 8 2 24" xfId="14759"/>
    <cellStyle name="标题 3 8 2 25" xfId="14760"/>
    <cellStyle name="标题 3 8 2 26" xfId="14761"/>
    <cellStyle name="标题 3 8 2 27" xfId="14762"/>
    <cellStyle name="标题 3 8 2 3" xfId="14763"/>
    <cellStyle name="标题 3 8 2 4" xfId="14764"/>
    <cellStyle name="标题 3 8 2 5" xfId="14765"/>
    <cellStyle name="标题 3 8 2 6" xfId="14766"/>
    <cellStyle name="标题 3 8 2 7" xfId="14767"/>
    <cellStyle name="标题 3 8 2 8" xfId="14768"/>
    <cellStyle name="标题 3 8 2 9" xfId="14769"/>
    <cellStyle name="标题 3 8 20" xfId="14770"/>
    <cellStyle name="标题 3 8 21" xfId="14771"/>
    <cellStyle name="标题 3 8 22" xfId="14772"/>
    <cellStyle name="标题 3 8 23" xfId="14773"/>
    <cellStyle name="标题 3 8 24" xfId="14774"/>
    <cellStyle name="标题 3 8 25" xfId="14775"/>
    <cellStyle name="标题 3 8 26" xfId="14776"/>
    <cellStyle name="标题 3 8 27" xfId="14777"/>
    <cellStyle name="标题 3 8 28" xfId="14778"/>
    <cellStyle name="标题 3 8 3" xfId="14779"/>
    <cellStyle name="标题 3 8 4" xfId="14780"/>
    <cellStyle name="标题 3 8 5" xfId="14781"/>
    <cellStyle name="标题 3 8 6" xfId="14782"/>
    <cellStyle name="标题 3 8 7" xfId="14783"/>
    <cellStyle name="标题 3 8 8" xfId="14784"/>
    <cellStyle name="标题 3 8 9" xfId="14785"/>
    <cellStyle name="标题 3 9" xfId="14786"/>
    <cellStyle name="标题 3 9 10" xfId="14787"/>
    <cellStyle name="标题 3 9 11" xfId="14788"/>
    <cellStyle name="标题 3 9 12" xfId="14789"/>
    <cellStyle name="标题 3 9 13" xfId="14790"/>
    <cellStyle name="标题 3 9 14" xfId="14791"/>
    <cellStyle name="标题 3 9 15" xfId="14792"/>
    <cellStyle name="标题 3 9 16" xfId="14793"/>
    <cellStyle name="标题 3 9 17" xfId="14794"/>
    <cellStyle name="标题 3 9 18" xfId="14795"/>
    <cellStyle name="标题 3 9 19" xfId="14796"/>
    <cellStyle name="标题 3 9 2" xfId="14797"/>
    <cellStyle name="标题 3 9 2 10" xfId="14798"/>
    <cellStyle name="标题 3 9 2 11" xfId="14799"/>
    <cellStyle name="标题 3 9 2 12" xfId="14800"/>
    <cellStyle name="标题 3 9 2 13" xfId="14801"/>
    <cellStyle name="标题 3 9 2 14" xfId="14802"/>
    <cellStyle name="标题 3 9 2 15" xfId="14803"/>
    <cellStyle name="标题 3 9 2 16" xfId="14804"/>
    <cellStyle name="标题 3 9 2 17" xfId="14805"/>
    <cellStyle name="标题 3 9 2 18" xfId="14806"/>
    <cellStyle name="标题 3 9 2 19" xfId="14807"/>
    <cellStyle name="标题 3 9 2 2" xfId="14808"/>
    <cellStyle name="标题 3 9 2 20" xfId="14809"/>
    <cellStyle name="标题 3 9 2 21" xfId="14810"/>
    <cellStyle name="标题 3 9 2 22" xfId="14811"/>
    <cellStyle name="标题 3 9 2 23" xfId="14812"/>
    <cellStyle name="标题 3 9 2 24" xfId="14813"/>
    <cellStyle name="标题 3 9 2 25" xfId="14814"/>
    <cellStyle name="标题 3 9 2 26" xfId="14815"/>
    <cellStyle name="标题 3 9 2 27" xfId="14816"/>
    <cellStyle name="标题 3 9 2 3" xfId="14817"/>
    <cellStyle name="标题 3 9 2 4" xfId="14818"/>
    <cellStyle name="标题 3 9 2 5" xfId="14819"/>
    <cellStyle name="标题 3 9 2 6" xfId="14820"/>
    <cellStyle name="标题 3 9 2 7" xfId="14821"/>
    <cellStyle name="标题 3 9 2 8" xfId="14822"/>
    <cellStyle name="标题 3 9 2 9" xfId="14823"/>
    <cellStyle name="标题 3 9 20" xfId="14824"/>
    <cellStyle name="标题 3 9 21" xfId="14825"/>
    <cellStyle name="标题 3 9 22" xfId="14826"/>
    <cellStyle name="标题 3 9 23" xfId="14827"/>
    <cellStyle name="标题 3 9 24" xfId="14828"/>
    <cellStyle name="标题 3 9 25" xfId="14829"/>
    <cellStyle name="标题 3 9 26" xfId="14830"/>
    <cellStyle name="标题 3 9 27" xfId="14831"/>
    <cellStyle name="标题 3 9 28" xfId="14832"/>
    <cellStyle name="标题 3 9 3" xfId="14833"/>
    <cellStyle name="标题 3 9 4" xfId="14834"/>
    <cellStyle name="标题 3 9 5" xfId="14835"/>
    <cellStyle name="标题 3 9 6" xfId="14836"/>
    <cellStyle name="标题 3 9 7" xfId="14837"/>
    <cellStyle name="标题 3 9 8" xfId="14838"/>
    <cellStyle name="标题 3 9 9" xfId="14839"/>
    <cellStyle name="标题 30" xfId="14840"/>
    <cellStyle name="标题 31" xfId="14841"/>
    <cellStyle name="标题 32" xfId="14842"/>
    <cellStyle name="标题 33" xfId="14843"/>
    <cellStyle name="标题 34" xfId="14844"/>
    <cellStyle name="标题 35" xfId="14845"/>
    <cellStyle name="标题 36" xfId="14846"/>
    <cellStyle name="标题 37" xfId="14847"/>
    <cellStyle name="标题 38" xfId="14848"/>
    <cellStyle name="标题 39" xfId="14849"/>
    <cellStyle name="标题 4" xfId="14850" builtinId="19" customBuiltin="1"/>
    <cellStyle name="标题 4 10" xfId="14851"/>
    <cellStyle name="标题 4 10 10" xfId="14852"/>
    <cellStyle name="标题 4 10 11" xfId="14853"/>
    <cellStyle name="标题 4 10 12" xfId="14854"/>
    <cellStyle name="标题 4 10 13" xfId="14855"/>
    <cellStyle name="标题 4 10 14" xfId="14856"/>
    <cellStyle name="标题 4 10 15" xfId="14857"/>
    <cellStyle name="标题 4 10 16" xfId="14858"/>
    <cellStyle name="标题 4 10 17" xfId="14859"/>
    <cellStyle name="标题 4 10 18" xfId="14860"/>
    <cellStyle name="标题 4 10 19" xfId="14861"/>
    <cellStyle name="标题 4 10 2" xfId="14862"/>
    <cellStyle name="标题 4 10 2 10" xfId="14863"/>
    <cellStyle name="标题 4 10 2 11" xfId="14864"/>
    <cellStyle name="标题 4 10 2 12" xfId="14865"/>
    <cellStyle name="标题 4 10 2 13" xfId="14866"/>
    <cellStyle name="标题 4 10 2 14" xfId="14867"/>
    <cellStyle name="标题 4 10 2 15" xfId="14868"/>
    <cellStyle name="标题 4 10 2 16" xfId="14869"/>
    <cellStyle name="标题 4 10 2 17" xfId="14870"/>
    <cellStyle name="标题 4 10 2 18" xfId="14871"/>
    <cellStyle name="标题 4 10 2 19" xfId="14872"/>
    <cellStyle name="标题 4 10 2 2" xfId="14873"/>
    <cellStyle name="标题 4 10 2 20" xfId="14874"/>
    <cellStyle name="标题 4 10 2 21" xfId="14875"/>
    <cellStyle name="标题 4 10 2 22" xfId="14876"/>
    <cellStyle name="标题 4 10 2 23" xfId="14877"/>
    <cellStyle name="标题 4 10 2 24" xfId="14878"/>
    <cellStyle name="标题 4 10 2 25" xfId="14879"/>
    <cellStyle name="标题 4 10 2 26" xfId="14880"/>
    <cellStyle name="标题 4 10 2 27" xfId="14881"/>
    <cellStyle name="标题 4 10 2 3" xfId="14882"/>
    <cellStyle name="标题 4 10 2 4" xfId="14883"/>
    <cellStyle name="标题 4 10 2 5" xfId="14884"/>
    <cellStyle name="标题 4 10 2 6" xfId="14885"/>
    <cellStyle name="标题 4 10 2 7" xfId="14886"/>
    <cellStyle name="标题 4 10 2 8" xfId="14887"/>
    <cellStyle name="标题 4 10 2 9" xfId="14888"/>
    <cellStyle name="标题 4 10 20" xfId="14889"/>
    <cellStyle name="标题 4 10 21" xfId="14890"/>
    <cellStyle name="标题 4 10 22" xfId="14891"/>
    <cellStyle name="标题 4 10 23" xfId="14892"/>
    <cellStyle name="标题 4 10 24" xfId="14893"/>
    <cellStyle name="标题 4 10 25" xfId="14894"/>
    <cellStyle name="标题 4 10 26" xfId="14895"/>
    <cellStyle name="标题 4 10 27" xfId="14896"/>
    <cellStyle name="标题 4 10 28" xfId="14897"/>
    <cellStyle name="标题 4 10 3" xfId="14898"/>
    <cellStyle name="标题 4 10 4" xfId="14899"/>
    <cellStyle name="标题 4 10 5" xfId="14900"/>
    <cellStyle name="标题 4 10 6" xfId="14901"/>
    <cellStyle name="标题 4 10 7" xfId="14902"/>
    <cellStyle name="标题 4 10 8" xfId="14903"/>
    <cellStyle name="标题 4 10 9" xfId="14904"/>
    <cellStyle name="标题 4 11" xfId="14905"/>
    <cellStyle name="标题 4 11 10" xfId="14906"/>
    <cellStyle name="标题 4 11 11" xfId="14907"/>
    <cellStyle name="标题 4 11 12" xfId="14908"/>
    <cellStyle name="标题 4 11 13" xfId="14909"/>
    <cellStyle name="标题 4 11 14" xfId="14910"/>
    <cellStyle name="标题 4 11 15" xfId="14911"/>
    <cellStyle name="标题 4 11 16" xfId="14912"/>
    <cellStyle name="标题 4 11 17" xfId="14913"/>
    <cellStyle name="标题 4 11 18" xfId="14914"/>
    <cellStyle name="标题 4 11 19" xfId="14915"/>
    <cellStyle name="标题 4 11 2" xfId="14916"/>
    <cellStyle name="标题 4 11 2 10" xfId="14917"/>
    <cellStyle name="标题 4 11 2 11" xfId="14918"/>
    <cellStyle name="标题 4 11 2 12" xfId="14919"/>
    <cellStyle name="标题 4 11 2 13" xfId="14920"/>
    <cellStyle name="标题 4 11 2 14" xfId="14921"/>
    <cellStyle name="标题 4 11 2 15" xfId="14922"/>
    <cellStyle name="标题 4 11 2 16" xfId="14923"/>
    <cellStyle name="标题 4 11 2 17" xfId="14924"/>
    <cellStyle name="标题 4 11 2 18" xfId="14925"/>
    <cellStyle name="标题 4 11 2 19" xfId="14926"/>
    <cellStyle name="标题 4 11 2 2" xfId="14927"/>
    <cellStyle name="标题 4 11 2 20" xfId="14928"/>
    <cellStyle name="标题 4 11 2 21" xfId="14929"/>
    <cellStyle name="标题 4 11 2 22" xfId="14930"/>
    <cellStyle name="标题 4 11 2 23" xfId="14931"/>
    <cellStyle name="标题 4 11 2 24" xfId="14932"/>
    <cellStyle name="标题 4 11 2 25" xfId="14933"/>
    <cellStyle name="标题 4 11 2 26" xfId="14934"/>
    <cellStyle name="标题 4 11 2 27" xfId="14935"/>
    <cellStyle name="标题 4 11 2 3" xfId="14936"/>
    <cellStyle name="标题 4 11 2 4" xfId="14937"/>
    <cellStyle name="标题 4 11 2 5" xfId="14938"/>
    <cellStyle name="标题 4 11 2 6" xfId="14939"/>
    <cellStyle name="标题 4 11 2 7" xfId="14940"/>
    <cellStyle name="标题 4 11 2 8" xfId="14941"/>
    <cellStyle name="标题 4 11 2 9" xfId="14942"/>
    <cellStyle name="标题 4 11 20" xfId="14943"/>
    <cellStyle name="标题 4 11 21" xfId="14944"/>
    <cellStyle name="标题 4 11 22" xfId="14945"/>
    <cellStyle name="标题 4 11 23" xfId="14946"/>
    <cellStyle name="标题 4 11 24" xfId="14947"/>
    <cellStyle name="标题 4 11 25" xfId="14948"/>
    <cellStyle name="标题 4 11 26" xfId="14949"/>
    <cellStyle name="标题 4 11 27" xfId="14950"/>
    <cellStyle name="标题 4 11 28" xfId="14951"/>
    <cellStyle name="标题 4 11 3" xfId="14952"/>
    <cellStyle name="标题 4 11 4" xfId="14953"/>
    <cellStyle name="标题 4 11 5" xfId="14954"/>
    <cellStyle name="标题 4 11 6" xfId="14955"/>
    <cellStyle name="标题 4 11 7" xfId="14956"/>
    <cellStyle name="标题 4 11 8" xfId="14957"/>
    <cellStyle name="标题 4 11 9" xfId="14958"/>
    <cellStyle name="标题 4 12" xfId="14959"/>
    <cellStyle name="标题 4 13" xfId="14960"/>
    <cellStyle name="标题 4 14" xfId="14961"/>
    <cellStyle name="标题 4 15" xfId="14962"/>
    <cellStyle name="标题 4 16" xfId="14963"/>
    <cellStyle name="标题 4 17" xfId="14964"/>
    <cellStyle name="标题 4 18" xfId="14965"/>
    <cellStyle name="标题 4 19" xfId="14966"/>
    <cellStyle name="标题 4 2" xfId="14967"/>
    <cellStyle name="标题 4 2 10" xfId="14968"/>
    <cellStyle name="标题 4 2 11" xfId="14969"/>
    <cellStyle name="标题 4 2 12" xfId="14970"/>
    <cellStyle name="标题 4 2 13" xfId="14971"/>
    <cellStyle name="标题 4 2 14" xfId="14972"/>
    <cellStyle name="标题 4 2 15" xfId="14973"/>
    <cellStyle name="标题 4 2 16" xfId="14974"/>
    <cellStyle name="标题 4 2 17" xfId="14975"/>
    <cellStyle name="标题 4 2 18" xfId="14976"/>
    <cellStyle name="标题 4 2 19" xfId="14977"/>
    <cellStyle name="标题 4 2 2" xfId="14978"/>
    <cellStyle name="标题 4 2 2 10" xfId="14979"/>
    <cellStyle name="标题 4 2 2 11" xfId="14980"/>
    <cellStyle name="标题 4 2 2 12" xfId="14981"/>
    <cellStyle name="标题 4 2 2 13" xfId="14982"/>
    <cellStyle name="标题 4 2 2 14" xfId="14983"/>
    <cellStyle name="标题 4 2 2 15" xfId="14984"/>
    <cellStyle name="标题 4 2 2 16" xfId="14985"/>
    <cellStyle name="标题 4 2 2 17" xfId="14986"/>
    <cellStyle name="标题 4 2 2 18" xfId="14987"/>
    <cellStyle name="标题 4 2 2 19" xfId="14988"/>
    <cellStyle name="标题 4 2 2 2" xfId="14989"/>
    <cellStyle name="标题 4 2 2 2 10" xfId="14990"/>
    <cellStyle name="标题 4 2 2 2 11" xfId="14991"/>
    <cellStyle name="标题 4 2 2 2 12" xfId="14992"/>
    <cellStyle name="标题 4 2 2 2 13" xfId="14993"/>
    <cellStyle name="标题 4 2 2 2 14" xfId="14994"/>
    <cellStyle name="标题 4 2 2 2 15" xfId="14995"/>
    <cellStyle name="标题 4 2 2 2 16" xfId="14996"/>
    <cellStyle name="标题 4 2 2 2 17" xfId="14997"/>
    <cellStyle name="标题 4 2 2 2 18" xfId="14998"/>
    <cellStyle name="标题 4 2 2 2 19" xfId="14999"/>
    <cellStyle name="标题 4 2 2 2 2" xfId="15000"/>
    <cellStyle name="标题 4 2 2 2 20" xfId="15001"/>
    <cellStyle name="标题 4 2 2 2 21" xfId="15002"/>
    <cellStyle name="标题 4 2 2 2 22" xfId="15003"/>
    <cellStyle name="标题 4 2 2 2 23" xfId="15004"/>
    <cellStyle name="标题 4 2 2 2 24" xfId="15005"/>
    <cellStyle name="标题 4 2 2 2 25" xfId="15006"/>
    <cellStyle name="标题 4 2 2 2 26" xfId="15007"/>
    <cellStyle name="标题 4 2 2 2 27" xfId="15008"/>
    <cellStyle name="标题 4 2 2 2 3" xfId="15009"/>
    <cellStyle name="标题 4 2 2 2 4" xfId="15010"/>
    <cellStyle name="标题 4 2 2 2 5" xfId="15011"/>
    <cellStyle name="标题 4 2 2 2 6" xfId="15012"/>
    <cellStyle name="标题 4 2 2 2 7" xfId="15013"/>
    <cellStyle name="标题 4 2 2 2 8" xfId="15014"/>
    <cellStyle name="标题 4 2 2 2 9" xfId="15015"/>
    <cellStyle name="标题 4 2 2 20" xfId="15016"/>
    <cellStyle name="标题 4 2 2 21" xfId="15017"/>
    <cellStyle name="标题 4 2 2 22" xfId="15018"/>
    <cellStyle name="标题 4 2 2 23" xfId="15019"/>
    <cellStyle name="标题 4 2 2 24" xfId="15020"/>
    <cellStyle name="标题 4 2 2 25" xfId="15021"/>
    <cellStyle name="标题 4 2 2 26" xfId="15022"/>
    <cellStyle name="标题 4 2 2 27" xfId="15023"/>
    <cellStyle name="标题 4 2 2 28" xfId="15024"/>
    <cellStyle name="标题 4 2 2 3" xfId="15025"/>
    <cellStyle name="标题 4 2 2 4" xfId="15026"/>
    <cellStyle name="标题 4 2 2 5" xfId="15027"/>
    <cellStyle name="标题 4 2 2 6" xfId="15028"/>
    <cellStyle name="标题 4 2 2 7" xfId="15029"/>
    <cellStyle name="标题 4 2 2 8" xfId="15030"/>
    <cellStyle name="标题 4 2 2 9" xfId="15031"/>
    <cellStyle name="标题 4 2 20" xfId="15032"/>
    <cellStyle name="标题 4 2 21" xfId="15033"/>
    <cellStyle name="标题 4 2 22" xfId="15034"/>
    <cellStyle name="标题 4 2 23" xfId="15035"/>
    <cellStyle name="标题 4 2 24" xfId="15036"/>
    <cellStyle name="标题 4 2 25" xfId="15037"/>
    <cellStyle name="标题 4 2 26" xfId="15038"/>
    <cellStyle name="标题 4 2 27" xfId="15039"/>
    <cellStyle name="标题 4 2 28" xfId="15040"/>
    <cellStyle name="标题 4 2 29" xfId="15041"/>
    <cellStyle name="标题 4 2 3" xfId="15042"/>
    <cellStyle name="标题 4 2 3 10" xfId="15043"/>
    <cellStyle name="标题 4 2 3 11" xfId="15044"/>
    <cellStyle name="标题 4 2 3 12" xfId="15045"/>
    <cellStyle name="标题 4 2 3 13" xfId="15046"/>
    <cellStyle name="标题 4 2 3 14" xfId="15047"/>
    <cellStyle name="标题 4 2 3 15" xfId="15048"/>
    <cellStyle name="标题 4 2 3 16" xfId="15049"/>
    <cellStyle name="标题 4 2 3 17" xfId="15050"/>
    <cellStyle name="标题 4 2 3 18" xfId="15051"/>
    <cellStyle name="标题 4 2 3 19" xfId="15052"/>
    <cellStyle name="标题 4 2 3 2" xfId="15053"/>
    <cellStyle name="标题 4 2 3 2 10" xfId="15054"/>
    <cellStyle name="标题 4 2 3 2 11" xfId="15055"/>
    <cellStyle name="标题 4 2 3 2 12" xfId="15056"/>
    <cellStyle name="标题 4 2 3 2 13" xfId="15057"/>
    <cellStyle name="标题 4 2 3 2 14" xfId="15058"/>
    <cellStyle name="标题 4 2 3 2 15" xfId="15059"/>
    <cellStyle name="标题 4 2 3 2 16" xfId="15060"/>
    <cellStyle name="标题 4 2 3 2 17" xfId="15061"/>
    <cellStyle name="标题 4 2 3 2 18" xfId="15062"/>
    <cellStyle name="标题 4 2 3 2 19" xfId="15063"/>
    <cellStyle name="标题 4 2 3 2 2" xfId="15064"/>
    <cellStyle name="标题 4 2 3 2 20" xfId="15065"/>
    <cellStyle name="标题 4 2 3 2 21" xfId="15066"/>
    <cellStyle name="标题 4 2 3 2 22" xfId="15067"/>
    <cellStyle name="标题 4 2 3 2 23" xfId="15068"/>
    <cellStyle name="标题 4 2 3 2 24" xfId="15069"/>
    <cellStyle name="标题 4 2 3 2 25" xfId="15070"/>
    <cellStyle name="标题 4 2 3 2 26" xfId="15071"/>
    <cellStyle name="标题 4 2 3 2 27" xfId="15072"/>
    <cellStyle name="标题 4 2 3 2 3" xfId="15073"/>
    <cellStyle name="标题 4 2 3 2 4" xfId="15074"/>
    <cellStyle name="标题 4 2 3 2 5" xfId="15075"/>
    <cellStyle name="标题 4 2 3 2 6" xfId="15076"/>
    <cellStyle name="标题 4 2 3 2 7" xfId="15077"/>
    <cellStyle name="标题 4 2 3 2 8" xfId="15078"/>
    <cellStyle name="标题 4 2 3 2 9" xfId="15079"/>
    <cellStyle name="标题 4 2 3 20" xfId="15080"/>
    <cellStyle name="标题 4 2 3 21" xfId="15081"/>
    <cellStyle name="标题 4 2 3 22" xfId="15082"/>
    <cellStyle name="标题 4 2 3 23" xfId="15083"/>
    <cellStyle name="标题 4 2 3 24" xfId="15084"/>
    <cellStyle name="标题 4 2 3 25" xfId="15085"/>
    <cellStyle name="标题 4 2 3 26" xfId="15086"/>
    <cellStyle name="标题 4 2 3 27" xfId="15087"/>
    <cellStyle name="标题 4 2 3 28" xfId="15088"/>
    <cellStyle name="标题 4 2 3 3" xfId="15089"/>
    <cellStyle name="标题 4 2 3 4" xfId="15090"/>
    <cellStyle name="标题 4 2 3 5" xfId="15091"/>
    <cellStyle name="标题 4 2 3 6" xfId="15092"/>
    <cellStyle name="标题 4 2 3 7" xfId="15093"/>
    <cellStyle name="标题 4 2 3 8" xfId="15094"/>
    <cellStyle name="标题 4 2 3 9" xfId="15095"/>
    <cellStyle name="标题 4 2 30" xfId="15096"/>
    <cellStyle name="标题 4 2 31" xfId="15097"/>
    <cellStyle name="标题 4 2 32" xfId="15098"/>
    <cellStyle name="标题 4 2 33" xfId="15099"/>
    <cellStyle name="标题 4 2 4" xfId="15100"/>
    <cellStyle name="标题 4 2 4 10" xfId="15101"/>
    <cellStyle name="标题 4 2 4 11" xfId="15102"/>
    <cellStyle name="标题 4 2 4 12" xfId="15103"/>
    <cellStyle name="标题 4 2 4 13" xfId="15104"/>
    <cellStyle name="标题 4 2 4 14" xfId="15105"/>
    <cellStyle name="标题 4 2 4 15" xfId="15106"/>
    <cellStyle name="标题 4 2 4 16" xfId="15107"/>
    <cellStyle name="标题 4 2 4 17" xfId="15108"/>
    <cellStyle name="标题 4 2 4 18" xfId="15109"/>
    <cellStyle name="标题 4 2 4 19" xfId="15110"/>
    <cellStyle name="标题 4 2 4 2" xfId="15111"/>
    <cellStyle name="标题 4 2 4 20" xfId="15112"/>
    <cellStyle name="标题 4 2 4 21" xfId="15113"/>
    <cellStyle name="标题 4 2 4 22" xfId="15114"/>
    <cellStyle name="标题 4 2 4 23" xfId="15115"/>
    <cellStyle name="标题 4 2 4 24" xfId="15116"/>
    <cellStyle name="标题 4 2 4 25" xfId="15117"/>
    <cellStyle name="标题 4 2 4 26" xfId="15118"/>
    <cellStyle name="标题 4 2 4 27" xfId="15119"/>
    <cellStyle name="标题 4 2 4 3" xfId="15120"/>
    <cellStyle name="标题 4 2 4 4" xfId="15121"/>
    <cellStyle name="标题 4 2 4 5" xfId="15122"/>
    <cellStyle name="标题 4 2 4 6" xfId="15123"/>
    <cellStyle name="标题 4 2 4 7" xfId="15124"/>
    <cellStyle name="标题 4 2 4 8" xfId="15125"/>
    <cellStyle name="标题 4 2 4 9" xfId="15126"/>
    <cellStyle name="标题 4 2 5" xfId="15127"/>
    <cellStyle name="标题 4 2 6" xfId="15128"/>
    <cellStyle name="标题 4 2 7" xfId="15129"/>
    <cellStyle name="标题 4 2 8" xfId="15130"/>
    <cellStyle name="标题 4 2 9" xfId="15131"/>
    <cellStyle name="标题 4 20" xfId="15132"/>
    <cellStyle name="标题 4 21" xfId="15133"/>
    <cellStyle name="标题 4 22" xfId="15134"/>
    <cellStyle name="标题 4 23" xfId="15135"/>
    <cellStyle name="标题 4 24" xfId="15136"/>
    <cellStyle name="标题 4 25" xfId="15137"/>
    <cellStyle name="标题 4 26" xfId="15138"/>
    <cellStyle name="标题 4 27" xfId="15139"/>
    <cellStyle name="标题 4 28" xfId="15140"/>
    <cellStyle name="标题 4 29" xfId="15141"/>
    <cellStyle name="标题 4 3" xfId="15142"/>
    <cellStyle name="标题 4 3 10" xfId="15143"/>
    <cellStyle name="标题 4 3 11" xfId="15144"/>
    <cellStyle name="标题 4 3 12" xfId="15145"/>
    <cellStyle name="标题 4 3 13" xfId="15146"/>
    <cellStyle name="标题 4 3 14" xfId="15147"/>
    <cellStyle name="标题 4 3 15" xfId="15148"/>
    <cellStyle name="标题 4 3 16" xfId="15149"/>
    <cellStyle name="标题 4 3 17" xfId="15150"/>
    <cellStyle name="标题 4 3 18" xfId="15151"/>
    <cellStyle name="标题 4 3 19" xfId="15152"/>
    <cellStyle name="标题 4 3 2" xfId="15153"/>
    <cellStyle name="标题 4 3 2 10" xfId="15154"/>
    <cellStyle name="标题 4 3 2 11" xfId="15155"/>
    <cellStyle name="标题 4 3 2 12" xfId="15156"/>
    <cellStyle name="标题 4 3 2 13" xfId="15157"/>
    <cellStyle name="标题 4 3 2 14" xfId="15158"/>
    <cellStyle name="标题 4 3 2 15" xfId="15159"/>
    <cellStyle name="标题 4 3 2 16" xfId="15160"/>
    <cellStyle name="标题 4 3 2 17" xfId="15161"/>
    <cellStyle name="标题 4 3 2 18" xfId="15162"/>
    <cellStyle name="标题 4 3 2 19" xfId="15163"/>
    <cellStyle name="标题 4 3 2 2" xfId="15164"/>
    <cellStyle name="标题 4 3 2 20" xfId="15165"/>
    <cellStyle name="标题 4 3 2 21" xfId="15166"/>
    <cellStyle name="标题 4 3 2 22" xfId="15167"/>
    <cellStyle name="标题 4 3 2 23" xfId="15168"/>
    <cellStyle name="标题 4 3 2 24" xfId="15169"/>
    <cellStyle name="标题 4 3 2 25" xfId="15170"/>
    <cellStyle name="标题 4 3 2 26" xfId="15171"/>
    <cellStyle name="标题 4 3 2 27" xfId="15172"/>
    <cellStyle name="标题 4 3 2 3" xfId="15173"/>
    <cellStyle name="标题 4 3 2 4" xfId="15174"/>
    <cellStyle name="标题 4 3 2 5" xfId="15175"/>
    <cellStyle name="标题 4 3 2 6" xfId="15176"/>
    <cellStyle name="标题 4 3 2 7" xfId="15177"/>
    <cellStyle name="标题 4 3 2 8" xfId="15178"/>
    <cellStyle name="标题 4 3 2 9" xfId="15179"/>
    <cellStyle name="标题 4 3 20" xfId="15180"/>
    <cellStyle name="标题 4 3 21" xfId="15181"/>
    <cellStyle name="标题 4 3 22" xfId="15182"/>
    <cellStyle name="标题 4 3 23" xfId="15183"/>
    <cellStyle name="标题 4 3 24" xfId="15184"/>
    <cellStyle name="标题 4 3 25" xfId="15185"/>
    <cellStyle name="标题 4 3 26" xfId="15186"/>
    <cellStyle name="标题 4 3 27" xfId="15187"/>
    <cellStyle name="标题 4 3 28" xfId="15188"/>
    <cellStyle name="标题 4 3 3" xfId="15189"/>
    <cellStyle name="标题 4 3 4" xfId="15190"/>
    <cellStyle name="标题 4 3 5" xfId="15191"/>
    <cellStyle name="标题 4 3 6" xfId="15192"/>
    <cellStyle name="标题 4 3 7" xfId="15193"/>
    <cellStyle name="标题 4 3 8" xfId="15194"/>
    <cellStyle name="标题 4 3 9" xfId="15195"/>
    <cellStyle name="标题 4 30" xfId="15196"/>
    <cellStyle name="标题 4 31" xfId="15197"/>
    <cellStyle name="标题 4 32" xfId="15198"/>
    <cellStyle name="标题 4 33" xfId="15199"/>
    <cellStyle name="标题 4 34" xfId="15200"/>
    <cellStyle name="标题 4 35" xfId="15201"/>
    <cellStyle name="标题 4 36" xfId="15202"/>
    <cellStyle name="标题 4 37" xfId="15203"/>
    <cellStyle name="标题 4 38" xfId="15204"/>
    <cellStyle name="标题 4 39" xfId="15205"/>
    <cellStyle name="标题 4 4" xfId="15206"/>
    <cellStyle name="标题 4 4 10" xfId="15207"/>
    <cellStyle name="标题 4 4 11" xfId="15208"/>
    <cellStyle name="标题 4 4 12" xfId="15209"/>
    <cellStyle name="标题 4 4 13" xfId="15210"/>
    <cellStyle name="标题 4 4 14" xfId="15211"/>
    <cellStyle name="标题 4 4 15" xfId="15212"/>
    <cellStyle name="标题 4 4 16" xfId="15213"/>
    <cellStyle name="标题 4 4 17" xfId="15214"/>
    <cellStyle name="标题 4 4 18" xfId="15215"/>
    <cellStyle name="标题 4 4 19" xfId="15216"/>
    <cellStyle name="标题 4 4 2" xfId="15217"/>
    <cellStyle name="标题 4 4 2 10" xfId="15218"/>
    <cellStyle name="标题 4 4 2 11" xfId="15219"/>
    <cellStyle name="标题 4 4 2 12" xfId="15220"/>
    <cellStyle name="标题 4 4 2 13" xfId="15221"/>
    <cellStyle name="标题 4 4 2 14" xfId="15222"/>
    <cellStyle name="标题 4 4 2 15" xfId="15223"/>
    <cellStyle name="标题 4 4 2 16" xfId="15224"/>
    <cellStyle name="标题 4 4 2 17" xfId="15225"/>
    <cellStyle name="标题 4 4 2 18" xfId="15226"/>
    <cellStyle name="标题 4 4 2 19" xfId="15227"/>
    <cellStyle name="标题 4 4 2 2" xfId="15228"/>
    <cellStyle name="标题 4 4 2 20" xfId="15229"/>
    <cellStyle name="标题 4 4 2 21" xfId="15230"/>
    <cellStyle name="标题 4 4 2 22" xfId="15231"/>
    <cellStyle name="标题 4 4 2 23" xfId="15232"/>
    <cellStyle name="标题 4 4 2 24" xfId="15233"/>
    <cellStyle name="标题 4 4 2 25" xfId="15234"/>
    <cellStyle name="标题 4 4 2 26" xfId="15235"/>
    <cellStyle name="标题 4 4 2 27" xfId="15236"/>
    <cellStyle name="标题 4 4 2 3" xfId="15237"/>
    <cellStyle name="标题 4 4 2 4" xfId="15238"/>
    <cellStyle name="标题 4 4 2 5" xfId="15239"/>
    <cellStyle name="标题 4 4 2 6" xfId="15240"/>
    <cellStyle name="标题 4 4 2 7" xfId="15241"/>
    <cellStyle name="标题 4 4 2 8" xfId="15242"/>
    <cellStyle name="标题 4 4 2 9" xfId="15243"/>
    <cellStyle name="标题 4 4 20" xfId="15244"/>
    <cellStyle name="标题 4 4 21" xfId="15245"/>
    <cellStyle name="标题 4 4 22" xfId="15246"/>
    <cellStyle name="标题 4 4 23" xfId="15247"/>
    <cellStyle name="标题 4 4 24" xfId="15248"/>
    <cellStyle name="标题 4 4 25" xfId="15249"/>
    <cellStyle name="标题 4 4 26" xfId="15250"/>
    <cellStyle name="标题 4 4 27" xfId="15251"/>
    <cellStyle name="标题 4 4 28" xfId="15252"/>
    <cellStyle name="标题 4 4 3" xfId="15253"/>
    <cellStyle name="标题 4 4 4" xfId="15254"/>
    <cellStyle name="标题 4 4 5" xfId="15255"/>
    <cellStyle name="标题 4 4 6" xfId="15256"/>
    <cellStyle name="标题 4 4 7" xfId="15257"/>
    <cellStyle name="标题 4 4 8" xfId="15258"/>
    <cellStyle name="标题 4 4 9" xfId="15259"/>
    <cellStyle name="标题 4 40" xfId="15260"/>
    <cellStyle name="标题 4 5" xfId="15261"/>
    <cellStyle name="标题 4 5 10" xfId="15262"/>
    <cellStyle name="标题 4 5 11" xfId="15263"/>
    <cellStyle name="标题 4 5 12" xfId="15264"/>
    <cellStyle name="标题 4 5 13" xfId="15265"/>
    <cellStyle name="标题 4 5 14" xfId="15266"/>
    <cellStyle name="标题 4 5 15" xfId="15267"/>
    <cellStyle name="标题 4 5 16" xfId="15268"/>
    <cellStyle name="标题 4 5 17" xfId="15269"/>
    <cellStyle name="标题 4 5 18" xfId="15270"/>
    <cellStyle name="标题 4 5 19" xfId="15271"/>
    <cellStyle name="标题 4 5 2" xfId="15272"/>
    <cellStyle name="标题 4 5 2 10" xfId="15273"/>
    <cellStyle name="标题 4 5 2 11" xfId="15274"/>
    <cellStyle name="标题 4 5 2 12" xfId="15275"/>
    <cellStyle name="标题 4 5 2 13" xfId="15276"/>
    <cellStyle name="标题 4 5 2 14" xfId="15277"/>
    <cellStyle name="标题 4 5 2 15" xfId="15278"/>
    <cellStyle name="标题 4 5 2 16" xfId="15279"/>
    <cellStyle name="标题 4 5 2 17" xfId="15280"/>
    <cellStyle name="标题 4 5 2 18" xfId="15281"/>
    <cellStyle name="标题 4 5 2 19" xfId="15282"/>
    <cellStyle name="标题 4 5 2 2" xfId="15283"/>
    <cellStyle name="标题 4 5 2 20" xfId="15284"/>
    <cellStyle name="标题 4 5 2 21" xfId="15285"/>
    <cellStyle name="标题 4 5 2 22" xfId="15286"/>
    <cellStyle name="标题 4 5 2 23" xfId="15287"/>
    <cellStyle name="标题 4 5 2 24" xfId="15288"/>
    <cellStyle name="标题 4 5 2 25" xfId="15289"/>
    <cellStyle name="标题 4 5 2 26" xfId="15290"/>
    <cellStyle name="标题 4 5 2 27" xfId="15291"/>
    <cellStyle name="标题 4 5 2 3" xfId="15292"/>
    <cellStyle name="标题 4 5 2 4" xfId="15293"/>
    <cellStyle name="标题 4 5 2 5" xfId="15294"/>
    <cellStyle name="标题 4 5 2 6" xfId="15295"/>
    <cellStyle name="标题 4 5 2 7" xfId="15296"/>
    <cellStyle name="标题 4 5 2 8" xfId="15297"/>
    <cellStyle name="标题 4 5 2 9" xfId="15298"/>
    <cellStyle name="标题 4 5 20" xfId="15299"/>
    <cellStyle name="标题 4 5 21" xfId="15300"/>
    <cellStyle name="标题 4 5 22" xfId="15301"/>
    <cellStyle name="标题 4 5 23" xfId="15302"/>
    <cellStyle name="标题 4 5 24" xfId="15303"/>
    <cellStyle name="标题 4 5 25" xfId="15304"/>
    <cellStyle name="标题 4 5 26" xfId="15305"/>
    <cellStyle name="标题 4 5 27" xfId="15306"/>
    <cellStyle name="标题 4 5 28" xfId="15307"/>
    <cellStyle name="标题 4 5 3" xfId="15308"/>
    <cellStyle name="标题 4 5 4" xfId="15309"/>
    <cellStyle name="标题 4 5 5" xfId="15310"/>
    <cellStyle name="标题 4 5 6" xfId="15311"/>
    <cellStyle name="标题 4 5 7" xfId="15312"/>
    <cellStyle name="标题 4 5 8" xfId="15313"/>
    <cellStyle name="标题 4 5 9" xfId="15314"/>
    <cellStyle name="标题 4 6" xfId="15315"/>
    <cellStyle name="标题 4 6 10" xfId="15316"/>
    <cellStyle name="标题 4 6 11" xfId="15317"/>
    <cellStyle name="标题 4 6 12" xfId="15318"/>
    <cellStyle name="标题 4 6 13" xfId="15319"/>
    <cellStyle name="标题 4 6 14" xfId="15320"/>
    <cellStyle name="标题 4 6 15" xfId="15321"/>
    <cellStyle name="标题 4 6 16" xfId="15322"/>
    <cellStyle name="标题 4 6 17" xfId="15323"/>
    <cellStyle name="标题 4 6 18" xfId="15324"/>
    <cellStyle name="标题 4 6 19" xfId="15325"/>
    <cellStyle name="标题 4 6 2" xfId="15326"/>
    <cellStyle name="标题 4 6 2 10" xfId="15327"/>
    <cellStyle name="标题 4 6 2 11" xfId="15328"/>
    <cellStyle name="标题 4 6 2 12" xfId="15329"/>
    <cellStyle name="标题 4 6 2 13" xfId="15330"/>
    <cellStyle name="标题 4 6 2 14" xfId="15331"/>
    <cellStyle name="标题 4 6 2 15" xfId="15332"/>
    <cellStyle name="标题 4 6 2 16" xfId="15333"/>
    <cellStyle name="标题 4 6 2 17" xfId="15334"/>
    <cellStyle name="标题 4 6 2 18" xfId="15335"/>
    <cellStyle name="标题 4 6 2 19" xfId="15336"/>
    <cellStyle name="标题 4 6 2 2" xfId="15337"/>
    <cellStyle name="标题 4 6 2 20" xfId="15338"/>
    <cellStyle name="标题 4 6 2 21" xfId="15339"/>
    <cellStyle name="标题 4 6 2 22" xfId="15340"/>
    <cellStyle name="标题 4 6 2 23" xfId="15341"/>
    <cellStyle name="标题 4 6 2 24" xfId="15342"/>
    <cellStyle name="标题 4 6 2 25" xfId="15343"/>
    <cellStyle name="标题 4 6 2 26" xfId="15344"/>
    <cellStyle name="标题 4 6 2 27" xfId="15345"/>
    <cellStyle name="标题 4 6 2 3" xfId="15346"/>
    <cellStyle name="标题 4 6 2 4" xfId="15347"/>
    <cellStyle name="标题 4 6 2 5" xfId="15348"/>
    <cellStyle name="标题 4 6 2 6" xfId="15349"/>
    <cellStyle name="标题 4 6 2 7" xfId="15350"/>
    <cellStyle name="标题 4 6 2 8" xfId="15351"/>
    <cellStyle name="标题 4 6 2 9" xfId="15352"/>
    <cellStyle name="标题 4 6 20" xfId="15353"/>
    <cellStyle name="标题 4 6 21" xfId="15354"/>
    <cellStyle name="标题 4 6 22" xfId="15355"/>
    <cellStyle name="标题 4 6 23" xfId="15356"/>
    <cellStyle name="标题 4 6 24" xfId="15357"/>
    <cellStyle name="标题 4 6 25" xfId="15358"/>
    <cellStyle name="标题 4 6 26" xfId="15359"/>
    <cellStyle name="标题 4 6 27" xfId="15360"/>
    <cellStyle name="标题 4 6 28" xfId="15361"/>
    <cellStyle name="标题 4 6 3" xfId="15362"/>
    <cellStyle name="标题 4 6 4" xfId="15363"/>
    <cellStyle name="标题 4 6 5" xfId="15364"/>
    <cellStyle name="标题 4 6 6" xfId="15365"/>
    <cellStyle name="标题 4 6 7" xfId="15366"/>
    <cellStyle name="标题 4 6 8" xfId="15367"/>
    <cellStyle name="标题 4 6 9" xfId="15368"/>
    <cellStyle name="标题 4 7" xfId="15369"/>
    <cellStyle name="标题 4 7 10" xfId="15370"/>
    <cellStyle name="标题 4 7 11" xfId="15371"/>
    <cellStyle name="标题 4 7 12" xfId="15372"/>
    <cellStyle name="标题 4 7 13" xfId="15373"/>
    <cellStyle name="标题 4 7 14" xfId="15374"/>
    <cellStyle name="标题 4 7 15" xfId="15375"/>
    <cellStyle name="标题 4 7 16" xfId="15376"/>
    <cellStyle name="标题 4 7 17" xfId="15377"/>
    <cellStyle name="标题 4 7 18" xfId="15378"/>
    <cellStyle name="标题 4 7 19" xfId="15379"/>
    <cellStyle name="标题 4 7 2" xfId="15380"/>
    <cellStyle name="标题 4 7 2 10" xfId="15381"/>
    <cellStyle name="标题 4 7 2 11" xfId="15382"/>
    <cellStyle name="标题 4 7 2 12" xfId="15383"/>
    <cellStyle name="标题 4 7 2 13" xfId="15384"/>
    <cellStyle name="标题 4 7 2 14" xfId="15385"/>
    <cellStyle name="标题 4 7 2 15" xfId="15386"/>
    <cellStyle name="标题 4 7 2 16" xfId="15387"/>
    <cellStyle name="标题 4 7 2 17" xfId="15388"/>
    <cellStyle name="标题 4 7 2 18" xfId="15389"/>
    <cellStyle name="标题 4 7 2 19" xfId="15390"/>
    <cellStyle name="标题 4 7 2 2" xfId="15391"/>
    <cellStyle name="标题 4 7 2 20" xfId="15392"/>
    <cellStyle name="标题 4 7 2 21" xfId="15393"/>
    <cellStyle name="标题 4 7 2 22" xfId="15394"/>
    <cellStyle name="标题 4 7 2 23" xfId="15395"/>
    <cellStyle name="标题 4 7 2 24" xfId="15396"/>
    <cellStyle name="标题 4 7 2 25" xfId="15397"/>
    <cellStyle name="标题 4 7 2 26" xfId="15398"/>
    <cellStyle name="标题 4 7 2 27" xfId="15399"/>
    <cellStyle name="标题 4 7 2 3" xfId="15400"/>
    <cellStyle name="标题 4 7 2 4" xfId="15401"/>
    <cellStyle name="标题 4 7 2 5" xfId="15402"/>
    <cellStyle name="标题 4 7 2 6" xfId="15403"/>
    <cellStyle name="标题 4 7 2 7" xfId="15404"/>
    <cellStyle name="标题 4 7 2 8" xfId="15405"/>
    <cellStyle name="标题 4 7 2 9" xfId="15406"/>
    <cellStyle name="标题 4 7 20" xfId="15407"/>
    <cellStyle name="标题 4 7 21" xfId="15408"/>
    <cellStyle name="标题 4 7 22" xfId="15409"/>
    <cellStyle name="标题 4 7 23" xfId="15410"/>
    <cellStyle name="标题 4 7 24" xfId="15411"/>
    <cellStyle name="标题 4 7 25" xfId="15412"/>
    <cellStyle name="标题 4 7 26" xfId="15413"/>
    <cellStyle name="标题 4 7 27" xfId="15414"/>
    <cellStyle name="标题 4 7 28" xfId="15415"/>
    <cellStyle name="标题 4 7 3" xfId="15416"/>
    <cellStyle name="标题 4 7 4" xfId="15417"/>
    <cellStyle name="标题 4 7 5" xfId="15418"/>
    <cellStyle name="标题 4 7 6" xfId="15419"/>
    <cellStyle name="标题 4 7 7" xfId="15420"/>
    <cellStyle name="标题 4 7 8" xfId="15421"/>
    <cellStyle name="标题 4 7 9" xfId="15422"/>
    <cellStyle name="标题 4 8" xfId="15423"/>
    <cellStyle name="标题 4 8 10" xfId="15424"/>
    <cellStyle name="标题 4 8 11" xfId="15425"/>
    <cellStyle name="标题 4 8 12" xfId="15426"/>
    <cellStyle name="标题 4 8 13" xfId="15427"/>
    <cellStyle name="标题 4 8 14" xfId="15428"/>
    <cellStyle name="标题 4 8 15" xfId="15429"/>
    <cellStyle name="标题 4 8 16" xfId="15430"/>
    <cellStyle name="标题 4 8 17" xfId="15431"/>
    <cellStyle name="标题 4 8 18" xfId="15432"/>
    <cellStyle name="标题 4 8 19" xfId="15433"/>
    <cellStyle name="标题 4 8 2" xfId="15434"/>
    <cellStyle name="标题 4 8 2 10" xfId="15435"/>
    <cellStyle name="标题 4 8 2 11" xfId="15436"/>
    <cellStyle name="标题 4 8 2 12" xfId="15437"/>
    <cellStyle name="标题 4 8 2 13" xfId="15438"/>
    <cellStyle name="标题 4 8 2 14" xfId="15439"/>
    <cellStyle name="标题 4 8 2 15" xfId="15440"/>
    <cellStyle name="标题 4 8 2 16" xfId="15441"/>
    <cellStyle name="标题 4 8 2 17" xfId="15442"/>
    <cellStyle name="标题 4 8 2 18" xfId="15443"/>
    <cellStyle name="标题 4 8 2 19" xfId="15444"/>
    <cellStyle name="标题 4 8 2 2" xfId="15445"/>
    <cellStyle name="标题 4 8 2 20" xfId="15446"/>
    <cellStyle name="标题 4 8 2 21" xfId="15447"/>
    <cellStyle name="标题 4 8 2 22" xfId="15448"/>
    <cellStyle name="标题 4 8 2 23" xfId="15449"/>
    <cellStyle name="标题 4 8 2 24" xfId="15450"/>
    <cellStyle name="标题 4 8 2 25" xfId="15451"/>
    <cellStyle name="标题 4 8 2 26" xfId="15452"/>
    <cellStyle name="标题 4 8 2 27" xfId="15453"/>
    <cellStyle name="标题 4 8 2 3" xfId="15454"/>
    <cellStyle name="标题 4 8 2 4" xfId="15455"/>
    <cellStyle name="标题 4 8 2 5" xfId="15456"/>
    <cellStyle name="标题 4 8 2 6" xfId="15457"/>
    <cellStyle name="标题 4 8 2 7" xfId="15458"/>
    <cellStyle name="标题 4 8 2 8" xfId="15459"/>
    <cellStyle name="标题 4 8 2 9" xfId="15460"/>
    <cellStyle name="标题 4 8 20" xfId="15461"/>
    <cellStyle name="标题 4 8 21" xfId="15462"/>
    <cellStyle name="标题 4 8 22" xfId="15463"/>
    <cellStyle name="标题 4 8 23" xfId="15464"/>
    <cellStyle name="标题 4 8 24" xfId="15465"/>
    <cellStyle name="标题 4 8 25" xfId="15466"/>
    <cellStyle name="标题 4 8 26" xfId="15467"/>
    <cellStyle name="标题 4 8 27" xfId="15468"/>
    <cellStyle name="标题 4 8 28" xfId="15469"/>
    <cellStyle name="标题 4 8 3" xfId="15470"/>
    <cellStyle name="标题 4 8 4" xfId="15471"/>
    <cellStyle name="标题 4 8 5" xfId="15472"/>
    <cellStyle name="标题 4 8 6" xfId="15473"/>
    <cellStyle name="标题 4 8 7" xfId="15474"/>
    <cellStyle name="标题 4 8 8" xfId="15475"/>
    <cellStyle name="标题 4 8 9" xfId="15476"/>
    <cellStyle name="标题 4 9" xfId="15477"/>
    <cellStyle name="标题 4 9 10" xfId="15478"/>
    <cellStyle name="标题 4 9 11" xfId="15479"/>
    <cellStyle name="标题 4 9 12" xfId="15480"/>
    <cellStyle name="标题 4 9 13" xfId="15481"/>
    <cellStyle name="标题 4 9 14" xfId="15482"/>
    <cellStyle name="标题 4 9 15" xfId="15483"/>
    <cellStyle name="标题 4 9 16" xfId="15484"/>
    <cellStyle name="标题 4 9 17" xfId="15485"/>
    <cellStyle name="标题 4 9 18" xfId="15486"/>
    <cellStyle name="标题 4 9 19" xfId="15487"/>
    <cellStyle name="标题 4 9 2" xfId="15488"/>
    <cellStyle name="标题 4 9 2 10" xfId="15489"/>
    <cellStyle name="标题 4 9 2 11" xfId="15490"/>
    <cellStyle name="标题 4 9 2 12" xfId="15491"/>
    <cellStyle name="标题 4 9 2 13" xfId="15492"/>
    <cellStyle name="标题 4 9 2 14" xfId="15493"/>
    <cellStyle name="标题 4 9 2 15" xfId="15494"/>
    <cellStyle name="标题 4 9 2 16" xfId="15495"/>
    <cellStyle name="标题 4 9 2 17" xfId="15496"/>
    <cellStyle name="标题 4 9 2 18" xfId="15497"/>
    <cellStyle name="标题 4 9 2 19" xfId="15498"/>
    <cellStyle name="标题 4 9 2 2" xfId="15499"/>
    <cellStyle name="标题 4 9 2 20" xfId="15500"/>
    <cellStyle name="标题 4 9 2 21" xfId="15501"/>
    <cellStyle name="标题 4 9 2 22" xfId="15502"/>
    <cellStyle name="标题 4 9 2 23" xfId="15503"/>
    <cellStyle name="标题 4 9 2 24" xfId="15504"/>
    <cellStyle name="标题 4 9 2 25" xfId="15505"/>
    <cellStyle name="标题 4 9 2 26" xfId="15506"/>
    <cellStyle name="标题 4 9 2 27" xfId="15507"/>
    <cellStyle name="标题 4 9 2 3" xfId="15508"/>
    <cellStyle name="标题 4 9 2 4" xfId="15509"/>
    <cellStyle name="标题 4 9 2 5" xfId="15510"/>
    <cellStyle name="标题 4 9 2 6" xfId="15511"/>
    <cellStyle name="标题 4 9 2 7" xfId="15512"/>
    <cellStyle name="标题 4 9 2 8" xfId="15513"/>
    <cellStyle name="标题 4 9 2 9" xfId="15514"/>
    <cellStyle name="标题 4 9 20" xfId="15515"/>
    <cellStyle name="标题 4 9 21" xfId="15516"/>
    <cellStyle name="标题 4 9 22" xfId="15517"/>
    <cellStyle name="标题 4 9 23" xfId="15518"/>
    <cellStyle name="标题 4 9 24" xfId="15519"/>
    <cellStyle name="标题 4 9 25" xfId="15520"/>
    <cellStyle name="标题 4 9 26" xfId="15521"/>
    <cellStyle name="标题 4 9 27" xfId="15522"/>
    <cellStyle name="标题 4 9 28" xfId="15523"/>
    <cellStyle name="标题 4 9 3" xfId="15524"/>
    <cellStyle name="标题 4 9 4" xfId="15525"/>
    <cellStyle name="标题 4 9 5" xfId="15526"/>
    <cellStyle name="标题 4 9 6" xfId="15527"/>
    <cellStyle name="标题 4 9 7" xfId="15528"/>
    <cellStyle name="标题 4 9 8" xfId="15529"/>
    <cellStyle name="标题 4 9 9" xfId="15530"/>
    <cellStyle name="标题 40" xfId="15531"/>
    <cellStyle name="标题 41" xfId="15532"/>
    <cellStyle name="标题 42" xfId="15533"/>
    <cellStyle name="标题 43" xfId="15534"/>
    <cellStyle name="标题 5" xfId="15535"/>
    <cellStyle name="标题 5 10" xfId="15536"/>
    <cellStyle name="标题 5 11" xfId="15537"/>
    <cellStyle name="标题 5 12" xfId="15538"/>
    <cellStyle name="标题 5 13" xfId="15539"/>
    <cellStyle name="标题 5 14" xfId="15540"/>
    <cellStyle name="标题 5 15" xfId="15541"/>
    <cellStyle name="标题 5 16" xfId="15542"/>
    <cellStyle name="标题 5 17" xfId="15543"/>
    <cellStyle name="标题 5 18" xfId="15544"/>
    <cellStyle name="标题 5 19" xfId="15545"/>
    <cellStyle name="标题 5 2" xfId="15546"/>
    <cellStyle name="标题 5 2 10" xfId="15547"/>
    <cellStyle name="标题 5 2 11" xfId="15548"/>
    <cellStyle name="标题 5 2 12" xfId="15549"/>
    <cellStyle name="标题 5 2 13" xfId="15550"/>
    <cellStyle name="标题 5 2 14" xfId="15551"/>
    <cellStyle name="标题 5 2 15" xfId="15552"/>
    <cellStyle name="标题 5 2 16" xfId="15553"/>
    <cellStyle name="标题 5 2 17" xfId="15554"/>
    <cellStyle name="标题 5 2 18" xfId="15555"/>
    <cellStyle name="标题 5 2 19" xfId="15556"/>
    <cellStyle name="标题 5 2 2" xfId="15557"/>
    <cellStyle name="标题 5 2 2 10" xfId="15558"/>
    <cellStyle name="标题 5 2 2 11" xfId="15559"/>
    <cellStyle name="标题 5 2 2 12" xfId="15560"/>
    <cellStyle name="标题 5 2 2 13" xfId="15561"/>
    <cellStyle name="标题 5 2 2 14" xfId="15562"/>
    <cellStyle name="标题 5 2 2 15" xfId="15563"/>
    <cellStyle name="标题 5 2 2 16" xfId="15564"/>
    <cellStyle name="标题 5 2 2 17" xfId="15565"/>
    <cellStyle name="标题 5 2 2 18" xfId="15566"/>
    <cellStyle name="标题 5 2 2 19" xfId="15567"/>
    <cellStyle name="标题 5 2 2 2" xfId="15568"/>
    <cellStyle name="标题 5 2 2 20" xfId="15569"/>
    <cellStyle name="标题 5 2 2 21" xfId="15570"/>
    <cellStyle name="标题 5 2 2 22" xfId="15571"/>
    <cellStyle name="标题 5 2 2 23" xfId="15572"/>
    <cellStyle name="标题 5 2 2 24" xfId="15573"/>
    <cellStyle name="标题 5 2 2 25" xfId="15574"/>
    <cellStyle name="标题 5 2 2 26" xfId="15575"/>
    <cellStyle name="标题 5 2 2 27" xfId="15576"/>
    <cellStyle name="标题 5 2 2 3" xfId="15577"/>
    <cellStyle name="标题 5 2 2 4" xfId="15578"/>
    <cellStyle name="标题 5 2 2 5" xfId="15579"/>
    <cellStyle name="标题 5 2 2 6" xfId="15580"/>
    <cellStyle name="标题 5 2 2 7" xfId="15581"/>
    <cellStyle name="标题 5 2 2 8" xfId="15582"/>
    <cellStyle name="标题 5 2 2 9" xfId="15583"/>
    <cellStyle name="标题 5 2 20" xfId="15584"/>
    <cellStyle name="标题 5 2 21" xfId="15585"/>
    <cellStyle name="标题 5 2 22" xfId="15586"/>
    <cellStyle name="标题 5 2 23" xfId="15587"/>
    <cellStyle name="标题 5 2 24" xfId="15588"/>
    <cellStyle name="标题 5 2 25" xfId="15589"/>
    <cellStyle name="标题 5 2 26" xfId="15590"/>
    <cellStyle name="标题 5 2 27" xfId="15591"/>
    <cellStyle name="标题 5 2 28" xfId="15592"/>
    <cellStyle name="标题 5 2 3" xfId="15593"/>
    <cellStyle name="标题 5 2 4" xfId="15594"/>
    <cellStyle name="标题 5 2 5" xfId="15595"/>
    <cellStyle name="标题 5 2 6" xfId="15596"/>
    <cellStyle name="标题 5 2 7" xfId="15597"/>
    <cellStyle name="标题 5 2 8" xfId="15598"/>
    <cellStyle name="标题 5 2 9" xfId="15599"/>
    <cellStyle name="标题 5 20" xfId="15600"/>
    <cellStyle name="标题 5 21" xfId="15601"/>
    <cellStyle name="标题 5 22" xfId="15602"/>
    <cellStyle name="标题 5 23" xfId="15603"/>
    <cellStyle name="标题 5 24" xfId="15604"/>
    <cellStyle name="标题 5 25" xfId="15605"/>
    <cellStyle name="标题 5 26" xfId="15606"/>
    <cellStyle name="标题 5 27" xfId="15607"/>
    <cellStyle name="标题 5 28" xfId="15608"/>
    <cellStyle name="标题 5 29" xfId="15609"/>
    <cellStyle name="标题 5 3" xfId="15610"/>
    <cellStyle name="标题 5 3 10" xfId="15611"/>
    <cellStyle name="标题 5 3 11" xfId="15612"/>
    <cellStyle name="标题 5 3 12" xfId="15613"/>
    <cellStyle name="标题 5 3 13" xfId="15614"/>
    <cellStyle name="标题 5 3 14" xfId="15615"/>
    <cellStyle name="标题 5 3 15" xfId="15616"/>
    <cellStyle name="标题 5 3 16" xfId="15617"/>
    <cellStyle name="标题 5 3 17" xfId="15618"/>
    <cellStyle name="标题 5 3 18" xfId="15619"/>
    <cellStyle name="标题 5 3 19" xfId="15620"/>
    <cellStyle name="标题 5 3 2" xfId="15621"/>
    <cellStyle name="标题 5 3 2 10" xfId="15622"/>
    <cellStyle name="标题 5 3 2 11" xfId="15623"/>
    <cellStyle name="标题 5 3 2 12" xfId="15624"/>
    <cellStyle name="标题 5 3 2 13" xfId="15625"/>
    <cellStyle name="标题 5 3 2 14" xfId="15626"/>
    <cellStyle name="标题 5 3 2 15" xfId="15627"/>
    <cellStyle name="标题 5 3 2 16" xfId="15628"/>
    <cellStyle name="标题 5 3 2 17" xfId="15629"/>
    <cellStyle name="标题 5 3 2 18" xfId="15630"/>
    <cellStyle name="标题 5 3 2 19" xfId="15631"/>
    <cellStyle name="标题 5 3 2 2" xfId="15632"/>
    <cellStyle name="标题 5 3 2 20" xfId="15633"/>
    <cellStyle name="标题 5 3 2 21" xfId="15634"/>
    <cellStyle name="标题 5 3 2 22" xfId="15635"/>
    <cellStyle name="标题 5 3 2 23" xfId="15636"/>
    <cellStyle name="标题 5 3 2 24" xfId="15637"/>
    <cellStyle name="标题 5 3 2 25" xfId="15638"/>
    <cellStyle name="标题 5 3 2 26" xfId="15639"/>
    <cellStyle name="标题 5 3 2 27" xfId="15640"/>
    <cellStyle name="标题 5 3 2 3" xfId="15641"/>
    <cellStyle name="标题 5 3 2 4" xfId="15642"/>
    <cellStyle name="标题 5 3 2 5" xfId="15643"/>
    <cellStyle name="标题 5 3 2 6" xfId="15644"/>
    <cellStyle name="标题 5 3 2 7" xfId="15645"/>
    <cellStyle name="标题 5 3 2 8" xfId="15646"/>
    <cellStyle name="标题 5 3 2 9" xfId="15647"/>
    <cellStyle name="标题 5 3 20" xfId="15648"/>
    <cellStyle name="标题 5 3 21" xfId="15649"/>
    <cellStyle name="标题 5 3 22" xfId="15650"/>
    <cellStyle name="标题 5 3 23" xfId="15651"/>
    <cellStyle name="标题 5 3 24" xfId="15652"/>
    <cellStyle name="标题 5 3 25" xfId="15653"/>
    <cellStyle name="标题 5 3 26" xfId="15654"/>
    <cellStyle name="标题 5 3 27" xfId="15655"/>
    <cellStyle name="标题 5 3 28" xfId="15656"/>
    <cellStyle name="标题 5 3 3" xfId="15657"/>
    <cellStyle name="标题 5 3 4" xfId="15658"/>
    <cellStyle name="标题 5 3 5" xfId="15659"/>
    <cellStyle name="标题 5 3 6" xfId="15660"/>
    <cellStyle name="标题 5 3 7" xfId="15661"/>
    <cellStyle name="标题 5 3 8" xfId="15662"/>
    <cellStyle name="标题 5 3 9" xfId="15663"/>
    <cellStyle name="标题 5 30" xfId="15664"/>
    <cellStyle name="标题 5 31" xfId="15665"/>
    <cellStyle name="标题 5 32" xfId="15666"/>
    <cellStyle name="标题 5 33" xfId="15667"/>
    <cellStyle name="标题 5 4" xfId="15668"/>
    <cellStyle name="标题 5 4 10" xfId="15669"/>
    <cellStyle name="标题 5 4 11" xfId="15670"/>
    <cellStyle name="标题 5 4 12" xfId="15671"/>
    <cellStyle name="标题 5 4 13" xfId="15672"/>
    <cellStyle name="标题 5 4 14" xfId="15673"/>
    <cellStyle name="标题 5 4 15" xfId="15674"/>
    <cellStyle name="标题 5 4 16" xfId="15675"/>
    <cellStyle name="标题 5 4 17" xfId="15676"/>
    <cellStyle name="标题 5 4 18" xfId="15677"/>
    <cellStyle name="标题 5 4 19" xfId="15678"/>
    <cellStyle name="标题 5 4 2" xfId="15679"/>
    <cellStyle name="标题 5 4 20" xfId="15680"/>
    <cellStyle name="标题 5 4 21" xfId="15681"/>
    <cellStyle name="标题 5 4 22" xfId="15682"/>
    <cellStyle name="标题 5 4 23" xfId="15683"/>
    <cellStyle name="标题 5 4 24" xfId="15684"/>
    <cellStyle name="标题 5 4 25" xfId="15685"/>
    <cellStyle name="标题 5 4 26" xfId="15686"/>
    <cellStyle name="标题 5 4 27" xfId="15687"/>
    <cellStyle name="标题 5 4 3" xfId="15688"/>
    <cellStyle name="标题 5 4 4" xfId="15689"/>
    <cellStyle name="标题 5 4 5" xfId="15690"/>
    <cellStyle name="标题 5 4 6" xfId="15691"/>
    <cellStyle name="标题 5 4 7" xfId="15692"/>
    <cellStyle name="标题 5 4 8" xfId="15693"/>
    <cellStyle name="标题 5 4 9" xfId="15694"/>
    <cellStyle name="标题 5 5" xfId="15695"/>
    <cellStyle name="标题 5 6" xfId="15696"/>
    <cellStyle name="标题 5 7" xfId="15697"/>
    <cellStyle name="标题 5 8" xfId="15698"/>
    <cellStyle name="标题 5 9" xfId="15699"/>
    <cellStyle name="标题 6" xfId="15700"/>
    <cellStyle name="标题 6 10" xfId="15701"/>
    <cellStyle name="标题 6 11" xfId="15702"/>
    <cellStyle name="标题 6 12" xfId="15703"/>
    <cellStyle name="标题 6 13" xfId="15704"/>
    <cellStyle name="标题 6 14" xfId="15705"/>
    <cellStyle name="标题 6 15" xfId="15706"/>
    <cellStyle name="标题 6 16" xfId="15707"/>
    <cellStyle name="标题 6 17" xfId="15708"/>
    <cellStyle name="标题 6 18" xfId="15709"/>
    <cellStyle name="标题 6 19" xfId="15710"/>
    <cellStyle name="标题 6 2" xfId="15711"/>
    <cellStyle name="标题 6 2 10" xfId="15712"/>
    <cellStyle name="标题 6 2 11" xfId="15713"/>
    <cellStyle name="标题 6 2 12" xfId="15714"/>
    <cellStyle name="标题 6 2 13" xfId="15715"/>
    <cellStyle name="标题 6 2 14" xfId="15716"/>
    <cellStyle name="标题 6 2 15" xfId="15717"/>
    <cellStyle name="标题 6 2 16" xfId="15718"/>
    <cellStyle name="标题 6 2 17" xfId="15719"/>
    <cellStyle name="标题 6 2 18" xfId="15720"/>
    <cellStyle name="标题 6 2 19" xfId="15721"/>
    <cellStyle name="标题 6 2 2" xfId="15722"/>
    <cellStyle name="标题 6 2 20" xfId="15723"/>
    <cellStyle name="标题 6 2 21" xfId="15724"/>
    <cellStyle name="标题 6 2 22" xfId="15725"/>
    <cellStyle name="标题 6 2 23" xfId="15726"/>
    <cellStyle name="标题 6 2 24" xfId="15727"/>
    <cellStyle name="标题 6 2 25" xfId="15728"/>
    <cellStyle name="标题 6 2 26" xfId="15729"/>
    <cellStyle name="标题 6 2 27" xfId="15730"/>
    <cellStyle name="标题 6 2 3" xfId="15731"/>
    <cellStyle name="标题 6 2 4" xfId="15732"/>
    <cellStyle name="标题 6 2 5" xfId="15733"/>
    <cellStyle name="标题 6 2 6" xfId="15734"/>
    <cellStyle name="标题 6 2 7" xfId="15735"/>
    <cellStyle name="标题 6 2 8" xfId="15736"/>
    <cellStyle name="标题 6 2 9" xfId="15737"/>
    <cellStyle name="标题 6 20" xfId="15738"/>
    <cellStyle name="标题 6 21" xfId="15739"/>
    <cellStyle name="标题 6 22" xfId="15740"/>
    <cellStyle name="标题 6 23" xfId="15741"/>
    <cellStyle name="标题 6 24" xfId="15742"/>
    <cellStyle name="标题 6 25" xfId="15743"/>
    <cellStyle name="标题 6 26" xfId="15744"/>
    <cellStyle name="标题 6 27" xfId="15745"/>
    <cellStyle name="标题 6 28" xfId="15746"/>
    <cellStyle name="标题 6 3" xfId="15747"/>
    <cellStyle name="标题 6 4" xfId="15748"/>
    <cellStyle name="标题 6 5" xfId="15749"/>
    <cellStyle name="标题 6 6" xfId="15750"/>
    <cellStyle name="标题 6 7" xfId="15751"/>
    <cellStyle name="标题 6 8" xfId="15752"/>
    <cellStyle name="标题 6 9" xfId="15753"/>
    <cellStyle name="标题 7" xfId="15754"/>
    <cellStyle name="标题 7 10" xfId="15755"/>
    <cellStyle name="标题 7 11" xfId="15756"/>
    <cellStyle name="标题 7 12" xfId="15757"/>
    <cellStyle name="标题 7 13" xfId="15758"/>
    <cellStyle name="标题 7 14" xfId="15759"/>
    <cellStyle name="标题 7 15" xfId="15760"/>
    <cellStyle name="标题 7 16" xfId="15761"/>
    <cellStyle name="标题 7 17" xfId="15762"/>
    <cellStyle name="标题 7 18" xfId="15763"/>
    <cellStyle name="标题 7 19" xfId="15764"/>
    <cellStyle name="标题 7 2" xfId="15765"/>
    <cellStyle name="标题 7 2 10" xfId="15766"/>
    <cellStyle name="标题 7 2 11" xfId="15767"/>
    <cellStyle name="标题 7 2 12" xfId="15768"/>
    <cellStyle name="标题 7 2 13" xfId="15769"/>
    <cellStyle name="标题 7 2 14" xfId="15770"/>
    <cellStyle name="标题 7 2 15" xfId="15771"/>
    <cellStyle name="标题 7 2 16" xfId="15772"/>
    <cellStyle name="标题 7 2 17" xfId="15773"/>
    <cellStyle name="标题 7 2 18" xfId="15774"/>
    <cellStyle name="标题 7 2 19" xfId="15775"/>
    <cellStyle name="标题 7 2 2" xfId="15776"/>
    <cellStyle name="标题 7 2 20" xfId="15777"/>
    <cellStyle name="标题 7 2 21" xfId="15778"/>
    <cellStyle name="标题 7 2 22" xfId="15779"/>
    <cellStyle name="标题 7 2 23" xfId="15780"/>
    <cellStyle name="标题 7 2 24" xfId="15781"/>
    <cellStyle name="标题 7 2 25" xfId="15782"/>
    <cellStyle name="标题 7 2 26" xfId="15783"/>
    <cellStyle name="标题 7 2 27" xfId="15784"/>
    <cellStyle name="标题 7 2 3" xfId="15785"/>
    <cellStyle name="标题 7 2 4" xfId="15786"/>
    <cellStyle name="标题 7 2 5" xfId="15787"/>
    <cellStyle name="标题 7 2 6" xfId="15788"/>
    <cellStyle name="标题 7 2 7" xfId="15789"/>
    <cellStyle name="标题 7 2 8" xfId="15790"/>
    <cellStyle name="标题 7 2 9" xfId="15791"/>
    <cellStyle name="标题 7 20" xfId="15792"/>
    <cellStyle name="标题 7 21" xfId="15793"/>
    <cellStyle name="标题 7 22" xfId="15794"/>
    <cellStyle name="标题 7 23" xfId="15795"/>
    <cellStyle name="标题 7 24" xfId="15796"/>
    <cellStyle name="标题 7 25" xfId="15797"/>
    <cellStyle name="标题 7 26" xfId="15798"/>
    <cellStyle name="标题 7 27" xfId="15799"/>
    <cellStyle name="标题 7 28" xfId="15800"/>
    <cellStyle name="标题 7 3" xfId="15801"/>
    <cellStyle name="标题 7 4" xfId="15802"/>
    <cellStyle name="标题 7 5" xfId="15803"/>
    <cellStyle name="标题 7 6" xfId="15804"/>
    <cellStyle name="标题 7 7" xfId="15805"/>
    <cellStyle name="标题 7 8" xfId="15806"/>
    <cellStyle name="标题 7 9" xfId="15807"/>
    <cellStyle name="标题 8" xfId="15808"/>
    <cellStyle name="标题 8 10" xfId="15809"/>
    <cellStyle name="标题 8 11" xfId="15810"/>
    <cellStyle name="标题 8 12" xfId="15811"/>
    <cellStyle name="标题 8 13" xfId="15812"/>
    <cellStyle name="标题 8 14" xfId="15813"/>
    <cellStyle name="标题 8 15" xfId="15814"/>
    <cellStyle name="标题 8 16" xfId="15815"/>
    <cellStyle name="标题 8 17" xfId="15816"/>
    <cellStyle name="标题 8 18" xfId="15817"/>
    <cellStyle name="标题 8 19" xfId="15818"/>
    <cellStyle name="标题 8 2" xfId="15819"/>
    <cellStyle name="标题 8 2 10" xfId="15820"/>
    <cellStyle name="标题 8 2 11" xfId="15821"/>
    <cellStyle name="标题 8 2 12" xfId="15822"/>
    <cellStyle name="标题 8 2 13" xfId="15823"/>
    <cellStyle name="标题 8 2 14" xfId="15824"/>
    <cellStyle name="标题 8 2 15" xfId="15825"/>
    <cellStyle name="标题 8 2 16" xfId="15826"/>
    <cellStyle name="标题 8 2 17" xfId="15827"/>
    <cellStyle name="标题 8 2 18" xfId="15828"/>
    <cellStyle name="标题 8 2 19" xfId="15829"/>
    <cellStyle name="标题 8 2 2" xfId="15830"/>
    <cellStyle name="标题 8 2 20" xfId="15831"/>
    <cellStyle name="标题 8 2 21" xfId="15832"/>
    <cellStyle name="标题 8 2 22" xfId="15833"/>
    <cellStyle name="标题 8 2 23" xfId="15834"/>
    <cellStyle name="标题 8 2 24" xfId="15835"/>
    <cellStyle name="标题 8 2 25" xfId="15836"/>
    <cellStyle name="标题 8 2 26" xfId="15837"/>
    <cellStyle name="标题 8 2 27" xfId="15838"/>
    <cellStyle name="标题 8 2 3" xfId="15839"/>
    <cellStyle name="标题 8 2 4" xfId="15840"/>
    <cellStyle name="标题 8 2 5" xfId="15841"/>
    <cellStyle name="标题 8 2 6" xfId="15842"/>
    <cellStyle name="标题 8 2 7" xfId="15843"/>
    <cellStyle name="标题 8 2 8" xfId="15844"/>
    <cellStyle name="标题 8 2 9" xfId="15845"/>
    <cellStyle name="标题 8 20" xfId="15846"/>
    <cellStyle name="标题 8 21" xfId="15847"/>
    <cellStyle name="标题 8 22" xfId="15848"/>
    <cellStyle name="标题 8 23" xfId="15849"/>
    <cellStyle name="标题 8 24" xfId="15850"/>
    <cellStyle name="标题 8 25" xfId="15851"/>
    <cellStyle name="标题 8 26" xfId="15852"/>
    <cellStyle name="标题 8 27" xfId="15853"/>
    <cellStyle name="标题 8 28" xfId="15854"/>
    <cellStyle name="标题 8 3" xfId="15855"/>
    <cellStyle name="标题 8 4" xfId="15856"/>
    <cellStyle name="标题 8 5" xfId="15857"/>
    <cellStyle name="标题 8 6" xfId="15858"/>
    <cellStyle name="标题 8 7" xfId="15859"/>
    <cellStyle name="标题 8 8" xfId="15860"/>
    <cellStyle name="标题 8 9" xfId="15861"/>
    <cellStyle name="标题 9" xfId="15862"/>
    <cellStyle name="标题 9 10" xfId="15863"/>
    <cellStyle name="标题 9 11" xfId="15864"/>
    <cellStyle name="标题 9 12" xfId="15865"/>
    <cellStyle name="标题 9 13" xfId="15866"/>
    <cellStyle name="标题 9 14" xfId="15867"/>
    <cellStyle name="标题 9 15" xfId="15868"/>
    <cellStyle name="标题 9 16" xfId="15869"/>
    <cellStyle name="标题 9 17" xfId="15870"/>
    <cellStyle name="标题 9 18" xfId="15871"/>
    <cellStyle name="标题 9 19" xfId="15872"/>
    <cellStyle name="标题 9 2" xfId="15873"/>
    <cellStyle name="标题 9 2 10" xfId="15874"/>
    <cellStyle name="标题 9 2 11" xfId="15875"/>
    <cellStyle name="标题 9 2 12" xfId="15876"/>
    <cellStyle name="标题 9 2 13" xfId="15877"/>
    <cellStyle name="标题 9 2 14" xfId="15878"/>
    <cellStyle name="标题 9 2 15" xfId="15879"/>
    <cellStyle name="标题 9 2 16" xfId="15880"/>
    <cellStyle name="标题 9 2 17" xfId="15881"/>
    <cellStyle name="标题 9 2 18" xfId="15882"/>
    <cellStyle name="标题 9 2 19" xfId="15883"/>
    <cellStyle name="标题 9 2 2" xfId="15884"/>
    <cellStyle name="标题 9 2 20" xfId="15885"/>
    <cellStyle name="标题 9 2 21" xfId="15886"/>
    <cellStyle name="标题 9 2 22" xfId="15887"/>
    <cellStyle name="标题 9 2 23" xfId="15888"/>
    <cellStyle name="标题 9 2 24" xfId="15889"/>
    <cellStyle name="标题 9 2 25" xfId="15890"/>
    <cellStyle name="标题 9 2 26" xfId="15891"/>
    <cellStyle name="标题 9 2 27" xfId="15892"/>
    <cellStyle name="标题 9 2 3" xfId="15893"/>
    <cellStyle name="标题 9 2 4" xfId="15894"/>
    <cellStyle name="标题 9 2 5" xfId="15895"/>
    <cellStyle name="标题 9 2 6" xfId="15896"/>
    <cellStyle name="标题 9 2 7" xfId="15897"/>
    <cellStyle name="标题 9 2 8" xfId="15898"/>
    <cellStyle name="标题 9 2 9" xfId="15899"/>
    <cellStyle name="标题 9 20" xfId="15900"/>
    <cellStyle name="标题 9 21" xfId="15901"/>
    <cellStyle name="标题 9 22" xfId="15902"/>
    <cellStyle name="标题 9 23" xfId="15903"/>
    <cellStyle name="标题 9 24" xfId="15904"/>
    <cellStyle name="标题 9 25" xfId="15905"/>
    <cellStyle name="标题 9 26" xfId="15906"/>
    <cellStyle name="标题 9 27" xfId="15907"/>
    <cellStyle name="标题 9 28" xfId="15908"/>
    <cellStyle name="标题 9 3" xfId="15909"/>
    <cellStyle name="标题 9 4" xfId="15910"/>
    <cellStyle name="标题 9 5" xfId="15911"/>
    <cellStyle name="标题 9 6" xfId="15912"/>
    <cellStyle name="标题 9 7" xfId="15913"/>
    <cellStyle name="标题 9 8" xfId="15914"/>
    <cellStyle name="标题 9 9" xfId="15915"/>
    <cellStyle name="差" xfId="15916" builtinId="27" customBuiltin="1"/>
    <cellStyle name="差 10" xfId="15917"/>
    <cellStyle name="差 10 10" xfId="15918"/>
    <cellStyle name="差 10 11" xfId="15919"/>
    <cellStyle name="差 10 12" xfId="15920"/>
    <cellStyle name="差 10 13" xfId="15921"/>
    <cellStyle name="差 10 14" xfId="15922"/>
    <cellStyle name="差 10 15" xfId="15923"/>
    <cellStyle name="差 10 16" xfId="15924"/>
    <cellStyle name="差 10 17" xfId="15925"/>
    <cellStyle name="差 10 18" xfId="15926"/>
    <cellStyle name="差 10 19" xfId="15927"/>
    <cellStyle name="差 10 2" xfId="15928"/>
    <cellStyle name="差 10 2 10" xfId="15929"/>
    <cellStyle name="差 10 2 11" xfId="15930"/>
    <cellStyle name="差 10 2 12" xfId="15931"/>
    <cellStyle name="差 10 2 13" xfId="15932"/>
    <cellStyle name="差 10 2 14" xfId="15933"/>
    <cellStyle name="差 10 2 15" xfId="15934"/>
    <cellStyle name="差 10 2 16" xfId="15935"/>
    <cellStyle name="差 10 2 17" xfId="15936"/>
    <cellStyle name="差 10 2 18" xfId="15937"/>
    <cellStyle name="差 10 2 19" xfId="15938"/>
    <cellStyle name="差 10 2 2" xfId="15939"/>
    <cellStyle name="差 10 2 20" xfId="15940"/>
    <cellStyle name="差 10 2 21" xfId="15941"/>
    <cellStyle name="差 10 2 22" xfId="15942"/>
    <cellStyle name="差 10 2 23" xfId="15943"/>
    <cellStyle name="差 10 2 24" xfId="15944"/>
    <cellStyle name="差 10 2 25" xfId="15945"/>
    <cellStyle name="差 10 2 26" xfId="15946"/>
    <cellStyle name="差 10 2 27" xfId="15947"/>
    <cellStyle name="差 10 2 3" xfId="15948"/>
    <cellStyle name="差 10 2 4" xfId="15949"/>
    <cellStyle name="差 10 2 5" xfId="15950"/>
    <cellStyle name="差 10 2 6" xfId="15951"/>
    <cellStyle name="差 10 2 7" xfId="15952"/>
    <cellStyle name="差 10 2 8" xfId="15953"/>
    <cellStyle name="差 10 2 9" xfId="15954"/>
    <cellStyle name="差 10 20" xfId="15955"/>
    <cellStyle name="差 10 21" xfId="15956"/>
    <cellStyle name="差 10 22" xfId="15957"/>
    <cellStyle name="差 10 23" xfId="15958"/>
    <cellStyle name="差 10 24" xfId="15959"/>
    <cellStyle name="差 10 25" xfId="15960"/>
    <cellStyle name="差 10 26" xfId="15961"/>
    <cellStyle name="差 10 27" xfId="15962"/>
    <cellStyle name="差 10 28" xfId="15963"/>
    <cellStyle name="差 10 3" xfId="15964"/>
    <cellStyle name="差 10 4" xfId="15965"/>
    <cellStyle name="差 10 5" xfId="15966"/>
    <cellStyle name="差 10 6" xfId="15967"/>
    <cellStyle name="差 10 7" xfId="15968"/>
    <cellStyle name="差 10 8" xfId="15969"/>
    <cellStyle name="差 10 9" xfId="15970"/>
    <cellStyle name="差 11" xfId="15971"/>
    <cellStyle name="差 11 10" xfId="15972"/>
    <cellStyle name="差 11 11" xfId="15973"/>
    <cellStyle name="差 11 12" xfId="15974"/>
    <cellStyle name="差 11 13" xfId="15975"/>
    <cellStyle name="差 11 14" xfId="15976"/>
    <cellStyle name="差 11 15" xfId="15977"/>
    <cellStyle name="差 11 16" xfId="15978"/>
    <cellStyle name="差 11 17" xfId="15979"/>
    <cellStyle name="差 11 18" xfId="15980"/>
    <cellStyle name="差 11 19" xfId="15981"/>
    <cellStyle name="差 11 2" xfId="15982"/>
    <cellStyle name="差 11 2 10" xfId="15983"/>
    <cellStyle name="差 11 2 11" xfId="15984"/>
    <cellStyle name="差 11 2 12" xfId="15985"/>
    <cellStyle name="差 11 2 13" xfId="15986"/>
    <cellStyle name="差 11 2 14" xfId="15987"/>
    <cellStyle name="差 11 2 15" xfId="15988"/>
    <cellStyle name="差 11 2 16" xfId="15989"/>
    <cellStyle name="差 11 2 17" xfId="15990"/>
    <cellStyle name="差 11 2 18" xfId="15991"/>
    <cellStyle name="差 11 2 19" xfId="15992"/>
    <cellStyle name="差 11 2 2" xfId="15993"/>
    <cellStyle name="差 11 2 20" xfId="15994"/>
    <cellStyle name="差 11 2 21" xfId="15995"/>
    <cellStyle name="差 11 2 22" xfId="15996"/>
    <cellStyle name="差 11 2 23" xfId="15997"/>
    <cellStyle name="差 11 2 24" xfId="15998"/>
    <cellStyle name="差 11 2 25" xfId="15999"/>
    <cellStyle name="差 11 2 26" xfId="16000"/>
    <cellStyle name="差 11 2 27" xfId="16001"/>
    <cellStyle name="差 11 2 3" xfId="16002"/>
    <cellStyle name="差 11 2 4" xfId="16003"/>
    <cellStyle name="差 11 2 5" xfId="16004"/>
    <cellStyle name="差 11 2 6" xfId="16005"/>
    <cellStyle name="差 11 2 7" xfId="16006"/>
    <cellStyle name="差 11 2 8" xfId="16007"/>
    <cellStyle name="差 11 2 9" xfId="16008"/>
    <cellStyle name="差 11 20" xfId="16009"/>
    <cellStyle name="差 11 21" xfId="16010"/>
    <cellStyle name="差 11 22" xfId="16011"/>
    <cellStyle name="差 11 23" xfId="16012"/>
    <cellStyle name="差 11 24" xfId="16013"/>
    <cellStyle name="差 11 25" xfId="16014"/>
    <cellStyle name="差 11 26" xfId="16015"/>
    <cellStyle name="差 11 27" xfId="16016"/>
    <cellStyle name="差 11 28" xfId="16017"/>
    <cellStyle name="差 11 3" xfId="16018"/>
    <cellStyle name="差 11 4" xfId="16019"/>
    <cellStyle name="差 11 5" xfId="16020"/>
    <cellStyle name="差 11 6" xfId="16021"/>
    <cellStyle name="差 11 7" xfId="16022"/>
    <cellStyle name="差 11 8" xfId="16023"/>
    <cellStyle name="差 11 9" xfId="16024"/>
    <cellStyle name="差 12" xfId="16025"/>
    <cellStyle name="差 13" xfId="16026"/>
    <cellStyle name="差 14" xfId="16027"/>
    <cellStyle name="差 15" xfId="16028"/>
    <cellStyle name="差 16" xfId="16029"/>
    <cellStyle name="差 17" xfId="16030"/>
    <cellStyle name="差 18" xfId="16031"/>
    <cellStyle name="差 19" xfId="16032"/>
    <cellStyle name="差 2" xfId="16033"/>
    <cellStyle name="差 2 10" xfId="16034"/>
    <cellStyle name="差 2 11" xfId="16035"/>
    <cellStyle name="差 2 12" xfId="16036"/>
    <cellStyle name="差 2 13" xfId="16037"/>
    <cellStyle name="差 2 14" xfId="16038"/>
    <cellStyle name="差 2 15" xfId="16039"/>
    <cellStyle name="差 2 16" xfId="16040"/>
    <cellStyle name="差 2 17" xfId="16041"/>
    <cellStyle name="差 2 18" xfId="16042"/>
    <cellStyle name="差 2 19" xfId="16043"/>
    <cellStyle name="差 2 2" xfId="16044"/>
    <cellStyle name="差 2 2 10" xfId="16045"/>
    <cellStyle name="差 2 2 11" xfId="16046"/>
    <cellStyle name="差 2 2 12" xfId="16047"/>
    <cellStyle name="差 2 2 13" xfId="16048"/>
    <cellStyle name="差 2 2 14" xfId="16049"/>
    <cellStyle name="差 2 2 15" xfId="16050"/>
    <cellStyle name="差 2 2 16" xfId="16051"/>
    <cellStyle name="差 2 2 17" xfId="16052"/>
    <cellStyle name="差 2 2 18" xfId="16053"/>
    <cellStyle name="差 2 2 19" xfId="16054"/>
    <cellStyle name="差 2 2 2" xfId="16055"/>
    <cellStyle name="差 2 2 2 10" xfId="16056"/>
    <cellStyle name="差 2 2 2 11" xfId="16057"/>
    <cellStyle name="差 2 2 2 12" xfId="16058"/>
    <cellStyle name="差 2 2 2 13" xfId="16059"/>
    <cellStyle name="差 2 2 2 14" xfId="16060"/>
    <cellStyle name="差 2 2 2 15" xfId="16061"/>
    <cellStyle name="差 2 2 2 16" xfId="16062"/>
    <cellStyle name="差 2 2 2 17" xfId="16063"/>
    <cellStyle name="差 2 2 2 18" xfId="16064"/>
    <cellStyle name="差 2 2 2 19" xfId="16065"/>
    <cellStyle name="差 2 2 2 2" xfId="16066"/>
    <cellStyle name="差 2 2 2 20" xfId="16067"/>
    <cellStyle name="差 2 2 2 21" xfId="16068"/>
    <cellStyle name="差 2 2 2 22" xfId="16069"/>
    <cellStyle name="差 2 2 2 23" xfId="16070"/>
    <cellStyle name="差 2 2 2 24" xfId="16071"/>
    <cellStyle name="差 2 2 2 25" xfId="16072"/>
    <cellStyle name="差 2 2 2 26" xfId="16073"/>
    <cellStyle name="差 2 2 2 27" xfId="16074"/>
    <cellStyle name="差 2 2 2 3" xfId="16075"/>
    <cellStyle name="差 2 2 2 4" xfId="16076"/>
    <cellStyle name="差 2 2 2 5" xfId="16077"/>
    <cellStyle name="差 2 2 2 6" xfId="16078"/>
    <cellStyle name="差 2 2 2 7" xfId="16079"/>
    <cellStyle name="差 2 2 2 8" xfId="16080"/>
    <cellStyle name="差 2 2 2 9" xfId="16081"/>
    <cellStyle name="差 2 2 20" xfId="16082"/>
    <cellStyle name="差 2 2 21" xfId="16083"/>
    <cellStyle name="差 2 2 22" xfId="16084"/>
    <cellStyle name="差 2 2 23" xfId="16085"/>
    <cellStyle name="差 2 2 24" xfId="16086"/>
    <cellStyle name="差 2 2 25" xfId="16087"/>
    <cellStyle name="差 2 2 26" xfId="16088"/>
    <cellStyle name="差 2 2 27" xfId="16089"/>
    <cellStyle name="差 2 2 28" xfId="16090"/>
    <cellStyle name="差 2 2 3" xfId="16091"/>
    <cellStyle name="差 2 2 4" xfId="16092"/>
    <cellStyle name="差 2 2 5" xfId="16093"/>
    <cellStyle name="差 2 2 6" xfId="16094"/>
    <cellStyle name="差 2 2 7" xfId="16095"/>
    <cellStyle name="差 2 2 8" xfId="16096"/>
    <cellStyle name="差 2 2 9" xfId="16097"/>
    <cellStyle name="差 2 20" xfId="16098"/>
    <cellStyle name="差 2 21" xfId="16099"/>
    <cellStyle name="差 2 22" xfId="16100"/>
    <cellStyle name="差 2 23" xfId="16101"/>
    <cellStyle name="差 2 24" xfId="16102"/>
    <cellStyle name="差 2 25" xfId="16103"/>
    <cellStyle name="差 2 26" xfId="16104"/>
    <cellStyle name="差 2 27" xfId="16105"/>
    <cellStyle name="差 2 28" xfId="16106"/>
    <cellStyle name="差 2 29" xfId="16107"/>
    <cellStyle name="差 2 3" xfId="16108"/>
    <cellStyle name="差 2 3 10" xfId="16109"/>
    <cellStyle name="差 2 3 11" xfId="16110"/>
    <cellStyle name="差 2 3 12" xfId="16111"/>
    <cellStyle name="差 2 3 13" xfId="16112"/>
    <cellStyle name="差 2 3 14" xfId="16113"/>
    <cellStyle name="差 2 3 15" xfId="16114"/>
    <cellStyle name="差 2 3 16" xfId="16115"/>
    <cellStyle name="差 2 3 17" xfId="16116"/>
    <cellStyle name="差 2 3 18" xfId="16117"/>
    <cellStyle name="差 2 3 19" xfId="16118"/>
    <cellStyle name="差 2 3 2" xfId="16119"/>
    <cellStyle name="差 2 3 2 10" xfId="16120"/>
    <cellStyle name="差 2 3 2 11" xfId="16121"/>
    <cellStyle name="差 2 3 2 12" xfId="16122"/>
    <cellStyle name="差 2 3 2 13" xfId="16123"/>
    <cellStyle name="差 2 3 2 14" xfId="16124"/>
    <cellStyle name="差 2 3 2 15" xfId="16125"/>
    <cellStyle name="差 2 3 2 16" xfId="16126"/>
    <cellStyle name="差 2 3 2 17" xfId="16127"/>
    <cellStyle name="差 2 3 2 18" xfId="16128"/>
    <cellStyle name="差 2 3 2 19" xfId="16129"/>
    <cellStyle name="差 2 3 2 2" xfId="16130"/>
    <cellStyle name="差 2 3 2 20" xfId="16131"/>
    <cellStyle name="差 2 3 2 21" xfId="16132"/>
    <cellStyle name="差 2 3 2 22" xfId="16133"/>
    <cellStyle name="差 2 3 2 23" xfId="16134"/>
    <cellStyle name="差 2 3 2 24" xfId="16135"/>
    <cellStyle name="差 2 3 2 25" xfId="16136"/>
    <cellStyle name="差 2 3 2 26" xfId="16137"/>
    <cellStyle name="差 2 3 2 27" xfId="16138"/>
    <cellStyle name="差 2 3 2 3" xfId="16139"/>
    <cellStyle name="差 2 3 2 4" xfId="16140"/>
    <cellStyle name="差 2 3 2 5" xfId="16141"/>
    <cellStyle name="差 2 3 2 6" xfId="16142"/>
    <cellStyle name="差 2 3 2 7" xfId="16143"/>
    <cellStyle name="差 2 3 2 8" xfId="16144"/>
    <cellStyle name="差 2 3 2 9" xfId="16145"/>
    <cellStyle name="差 2 3 20" xfId="16146"/>
    <cellStyle name="差 2 3 21" xfId="16147"/>
    <cellStyle name="差 2 3 22" xfId="16148"/>
    <cellStyle name="差 2 3 23" xfId="16149"/>
    <cellStyle name="差 2 3 24" xfId="16150"/>
    <cellStyle name="差 2 3 25" xfId="16151"/>
    <cellStyle name="差 2 3 26" xfId="16152"/>
    <cellStyle name="差 2 3 27" xfId="16153"/>
    <cellStyle name="差 2 3 28" xfId="16154"/>
    <cellStyle name="差 2 3 3" xfId="16155"/>
    <cellStyle name="差 2 3 4" xfId="16156"/>
    <cellStyle name="差 2 3 5" xfId="16157"/>
    <cellStyle name="差 2 3 6" xfId="16158"/>
    <cellStyle name="差 2 3 7" xfId="16159"/>
    <cellStyle name="差 2 3 8" xfId="16160"/>
    <cellStyle name="差 2 3 9" xfId="16161"/>
    <cellStyle name="差 2 30" xfId="16162"/>
    <cellStyle name="差 2 31" xfId="16163"/>
    <cellStyle name="差 2 32" xfId="16164"/>
    <cellStyle name="差 2 33" xfId="16165"/>
    <cellStyle name="差 2 4" xfId="16166"/>
    <cellStyle name="差 2 4 10" xfId="16167"/>
    <cellStyle name="差 2 4 11" xfId="16168"/>
    <cellStyle name="差 2 4 12" xfId="16169"/>
    <cellStyle name="差 2 4 13" xfId="16170"/>
    <cellStyle name="差 2 4 14" xfId="16171"/>
    <cellStyle name="差 2 4 15" xfId="16172"/>
    <cellStyle name="差 2 4 16" xfId="16173"/>
    <cellStyle name="差 2 4 17" xfId="16174"/>
    <cellStyle name="差 2 4 18" xfId="16175"/>
    <cellStyle name="差 2 4 19" xfId="16176"/>
    <cellStyle name="差 2 4 2" xfId="16177"/>
    <cellStyle name="差 2 4 20" xfId="16178"/>
    <cellStyle name="差 2 4 21" xfId="16179"/>
    <cellStyle name="差 2 4 22" xfId="16180"/>
    <cellStyle name="差 2 4 23" xfId="16181"/>
    <cellStyle name="差 2 4 24" xfId="16182"/>
    <cellStyle name="差 2 4 25" xfId="16183"/>
    <cellStyle name="差 2 4 26" xfId="16184"/>
    <cellStyle name="差 2 4 27" xfId="16185"/>
    <cellStyle name="差 2 4 3" xfId="16186"/>
    <cellStyle name="差 2 4 4" xfId="16187"/>
    <cellStyle name="差 2 4 5" xfId="16188"/>
    <cellStyle name="差 2 4 6" xfId="16189"/>
    <cellStyle name="差 2 4 7" xfId="16190"/>
    <cellStyle name="差 2 4 8" xfId="16191"/>
    <cellStyle name="差 2 4 9" xfId="16192"/>
    <cellStyle name="差 2 5" xfId="16193"/>
    <cellStyle name="差 2 6" xfId="16194"/>
    <cellStyle name="差 2 7" xfId="16195"/>
    <cellStyle name="差 2 8" xfId="16196"/>
    <cellStyle name="差 2 9" xfId="16197"/>
    <cellStyle name="差 20" xfId="16198"/>
    <cellStyle name="差 21" xfId="16199"/>
    <cellStyle name="差 22" xfId="16200"/>
    <cellStyle name="差 23" xfId="16201"/>
    <cellStyle name="差 24" xfId="16202"/>
    <cellStyle name="差 25" xfId="16203"/>
    <cellStyle name="差 26" xfId="16204"/>
    <cellStyle name="差 27" xfId="16205"/>
    <cellStyle name="差 28" xfId="16206"/>
    <cellStyle name="差 29" xfId="16207"/>
    <cellStyle name="差 3" xfId="16208"/>
    <cellStyle name="差 3 10" xfId="16209"/>
    <cellStyle name="差 3 11" xfId="16210"/>
    <cellStyle name="差 3 12" xfId="16211"/>
    <cellStyle name="差 3 13" xfId="16212"/>
    <cellStyle name="差 3 14" xfId="16213"/>
    <cellStyle name="差 3 15" xfId="16214"/>
    <cellStyle name="差 3 16" xfId="16215"/>
    <cellStyle name="差 3 17" xfId="16216"/>
    <cellStyle name="差 3 18" xfId="16217"/>
    <cellStyle name="差 3 19" xfId="16218"/>
    <cellStyle name="差 3 2" xfId="16219"/>
    <cellStyle name="差 3 2 10" xfId="16220"/>
    <cellStyle name="差 3 2 11" xfId="16221"/>
    <cellStyle name="差 3 2 12" xfId="16222"/>
    <cellStyle name="差 3 2 13" xfId="16223"/>
    <cellStyle name="差 3 2 14" xfId="16224"/>
    <cellStyle name="差 3 2 15" xfId="16225"/>
    <cellStyle name="差 3 2 16" xfId="16226"/>
    <cellStyle name="差 3 2 17" xfId="16227"/>
    <cellStyle name="差 3 2 18" xfId="16228"/>
    <cellStyle name="差 3 2 19" xfId="16229"/>
    <cellStyle name="差 3 2 2" xfId="16230"/>
    <cellStyle name="差 3 2 20" xfId="16231"/>
    <cellStyle name="差 3 2 21" xfId="16232"/>
    <cellStyle name="差 3 2 22" xfId="16233"/>
    <cellStyle name="差 3 2 23" xfId="16234"/>
    <cellStyle name="差 3 2 24" xfId="16235"/>
    <cellStyle name="差 3 2 25" xfId="16236"/>
    <cellStyle name="差 3 2 26" xfId="16237"/>
    <cellStyle name="差 3 2 27" xfId="16238"/>
    <cellStyle name="差 3 2 3" xfId="16239"/>
    <cellStyle name="差 3 2 4" xfId="16240"/>
    <cellStyle name="差 3 2 5" xfId="16241"/>
    <cellStyle name="差 3 2 6" xfId="16242"/>
    <cellStyle name="差 3 2 7" xfId="16243"/>
    <cellStyle name="差 3 2 8" xfId="16244"/>
    <cellStyle name="差 3 2 9" xfId="16245"/>
    <cellStyle name="差 3 20" xfId="16246"/>
    <cellStyle name="差 3 21" xfId="16247"/>
    <cellStyle name="差 3 22" xfId="16248"/>
    <cellStyle name="差 3 23" xfId="16249"/>
    <cellStyle name="差 3 24" xfId="16250"/>
    <cellStyle name="差 3 25" xfId="16251"/>
    <cellStyle name="差 3 26" xfId="16252"/>
    <cellStyle name="差 3 27" xfId="16253"/>
    <cellStyle name="差 3 28" xfId="16254"/>
    <cellStyle name="差 3 3" xfId="16255"/>
    <cellStyle name="差 3 4" xfId="16256"/>
    <cellStyle name="差 3 5" xfId="16257"/>
    <cellStyle name="差 3 6" xfId="16258"/>
    <cellStyle name="差 3 7" xfId="16259"/>
    <cellStyle name="差 3 8" xfId="16260"/>
    <cellStyle name="差 3 9" xfId="16261"/>
    <cellStyle name="差 30" xfId="16262"/>
    <cellStyle name="差 31" xfId="16263"/>
    <cellStyle name="差 32" xfId="16264"/>
    <cellStyle name="差 33" xfId="16265"/>
    <cellStyle name="差 34" xfId="16266"/>
    <cellStyle name="差 35" xfId="16267"/>
    <cellStyle name="差 36" xfId="16268"/>
    <cellStyle name="差 37" xfId="16269"/>
    <cellStyle name="差 38" xfId="16270"/>
    <cellStyle name="差 39" xfId="16271"/>
    <cellStyle name="差 4" xfId="16272"/>
    <cellStyle name="差 4 10" xfId="16273"/>
    <cellStyle name="差 4 11" xfId="16274"/>
    <cellStyle name="差 4 12" xfId="16275"/>
    <cellStyle name="差 4 13" xfId="16276"/>
    <cellStyle name="差 4 14" xfId="16277"/>
    <cellStyle name="差 4 15" xfId="16278"/>
    <cellStyle name="差 4 16" xfId="16279"/>
    <cellStyle name="差 4 17" xfId="16280"/>
    <cellStyle name="差 4 18" xfId="16281"/>
    <cellStyle name="差 4 19" xfId="16282"/>
    <cellStyle name="差 4 2" xfId="16283"/>
    <cellStyle name="差 4 2 10" xfId="16284"/>
    <cellStyle name="差 4 2 11" xfId="16285"/>
    <cellStyle name="差 4 2 12" xfId="16286"/>
    <cellStyle name="差 4 2 13" xfId="16287"/>
    <cellStyle name="差 4 2 14" xfId="16288"/>
    <cellStyle name="差 4 2 15" xfId="16289"/>
    <cellStyle name="差 4 2 16" xfId="16290"/>
    <cellStyle name="差 4 2 17" xfId="16291"/>
    <cellStyle name="差 4 2 18" xfId="16292"/>
    <cellStyle name="差 4 2 19" xfId="16293"/>
    <cellStyle name="差 4 2 2" xfId="16294"/>
    <cellStyle name="差 4 2 20" xfId="16295"/>
    <cellStyle name="差 4 2 21" xfId="16296"/>
    <cellStyle name="差 4 2 22" xfId="16297"/>
    <cellStyle name="差 4 2 23" xfId="16298"/>
    <cellStyle name="差 4 2 24" xfId="16299"/>
    <cellStyle name="差 4 2 25" xfId="16300"/>
    <cellStyle name="差 4 2 26" xfId="16301"/>
    <cellStyle name="差 4 2 27" xfId="16302"/>
    <cellStyle name="差 4 2 3" xfId="16303"/>
    <cellStyle name="差 4 2 4" xfId="16304"/>
    <cellStyle name="差 4 2 5" xfId="16305"/>
    <cellStyle name="差 4 2 6" xfId="16306"/>
    <cellStyle name="差 4 2 7" xfId="16307"/>
    <cellStyle name="差 4 2 8" xfId="16308"/>
    <cellStyle name="差 4 2 9" xfId="16309"/>
    <cellStyle name="差 4 20" xfId="16310"/>
    <cellStyle name="差 4 21" xfId="16311"/>
    <cellStyle name="差 4 22" xfId="16312"/>
    <cellStyle name="差 4 23" xfId="16313"/>
    <cellStyle name="差 4 24" xfId="16314"/>
    <cellStyle name="差 4 25" xfId="16315"/>
    <cellStyle name="差 4 26" xfId="16316"/>
    <cellStyle name="差 4 27" xfId="16317"/>
    <cellStyle name="差 4 28" xfId="16318"/>
    <cellStyle name="差 4 3" xfId="16319"/>
    <cellStyle name="差 4 4" xfId="16320"/>
    <cellStyle name="差 4 5" xfId="16321"/>
    <cellStyle name="差 4 6" xfId="16322"/>
    <cellStyle name="差 4 7" xfId="16323"/>
    <cellStyle name="差 4 8" xfId="16324"/>
    <cellStyle name="差 4 9" xfId="16325"/>
    <cellStyle name="差 40" xfId="16326"/>
    <cellStyle name="差 5" xfId="16327"/>
    <cellStyle name="差 5 10" xfId="16328"/>
    <cellStyle name="差 5 11" xfId="16329"/>
    <cellStyle name="差 5 12" xfId="16330"/>
    <cellStyle name="差 5 13" xfId="16331"/>
    <cellStyle name="差 5 14" xfId="16332"/>
    <cellStyle name="差 5 15" xfId="16333"/>
    <cellStyle name="差 5 16" xfId="16334"/>
    <cellStyle name="差 5 17" xfId="16335"/>
    <cellStyle name="差 5 18" xfId="16336"/>
    <cellStyle name="差 5 19" xfId="16337"/>
    <cellStyle name="差 5 2" xfId="16338"/>
    <cellStyle name="差 5 2 10" xfId="16339"/>
    <cellStyle name="差 5 2 11" xfId="16340"/>
    <cellStyle name="差 5 2 12" xfId="16341"/>
    <cellStyle name="差 5 2 13" xfId="16342"/>
    <cellStyle name="差 5 2 14" xfId="16343"/>
    <cellStyle name="差 5 2 15" xfId="16344"/>
    <cellStyle name="差 5 2 16" xfId="16345"/>
    <cellStyle name="差 5 2 17" xfId="16346"/>
    <cellStyle name="差 5 2 18" xfId="16347"/>
    <cellStyle name="差 5 2 19" xfId="16348"/>
    <cellStyle name="差 5 2 2" xfId="16349"/>
    <cellStyle name="差 5 2 20" xfId="16350"/>
    <cellStyle name="差 5 2 21" xfId="16351"/>
    <cellStyle name="差 5 2 22" xfId="16352"/>
    <cellStyle name="差 5 2 23" xfId="16353"/>
    <cellStyle name="差 5 2 24" xfId="16354"/>
    <cellStyle name="差 5 2 25" xfId="16355"/>
    <cellStyle name="差 5 2 26" xfId="16356"/>
    <cellStyle name="差 5 2 27" xfId="16357"/>
    <cellStyle name="差 5 2 3" xfId="16358"/>
    <cellStyle name="差 5 2 4" xfId="16359"/>
    <cellStyle name="差 5 2 5" xfId="16360"/>
    <cellStyle name="差 5 2 6" xfId="16361"/>
    <cellStyle name="差 5 2 7" xfId="16362"/>
    <cellStyle name="差 5 2 8" xfId="16363"/>
    <cellStyle name="差 5 2 9" xfId="16364"/>
    <cellStyle name="差 5 20" xfId="16365"/>
    <cellStyle name="差 5 21" xfId="16366"/>
    <cellStyle name="差 5 22" xfId="16367"/>
    <cellStyle name="差 5 23" xfId="16368"/>
    <cellStyle name="差 5 24" xfId="16369"/>
    <cellStyle name="差 5 25" xfId="16370"/>
    <cellStyle name="差 5 26" xfId="16371"/>
    <cellStyle name="差 5 27" xfId="16372"/>
    <cellStyle name="差 5 28" xfId="16373"/>
    <cellStyle name="差 5 3" xfId="16374"/>
    <cellStyle name="差 5 4" xfId="16375"/>
    <cellStyle name="差 5 5" xfId="16376"/>
    <cellStyle name="差 5 6" xfId="16377"/>
    <cellStyle name="差 5 7" xfId="16378"/>
    <cellStyle name="差 5 8" xfId="16379"/>
    <cellStyle name="差 5 9" xfId="16380"/>
    <cellStyle name="差 6" xfId="16381"/>
    <cellStyle name="差 6 10" xfId="16382"/>
    <cellStyle name="差 6 11" xfId="16383"/>
    <cellStyle name="差 6 12" xfId="16384"/>
    <cellStyle name="差 6 13" xfId="16385"/>
    <cellStyle name="差 6 14" xfId="16386"/>
    <cellStyle name="差 6 15" xfId="16387"/>
    <cellStyle name="差 6 16" xfId="16388"/>
    <cellStyle name="差 6 17" xfId="16389"/>
    <cellStyle name="差 6 18" xfId="16390"/>
    <cellStyle name="差 6 19" xfId="16391"/>
    <cellStyle name="差 6 2" xfId="16392"/>
    <cellStyle name="差 6 2 10" xfId="16393"/>
    <cellStyle name="差 6 2 11" xfId="16394"/>
    <cellStyle name="差 6 2 12" xfId="16395"/>
    <cellStyle name="差 6 2 13" xfId="16396"/>
    <cellStyle name="差 6 2 14" xfId="16397"/>
    <cellStyle name="差 6 2 15" xfId="16398"/>
    <cellStyle name="差 6 2 16" xfId="16399"/>
    <cellStyle name="差 6 2 17" xfId="16400"/>
    <cellStyle name="差 6 2 18" xfId="16401"/>
    <cellStyle name="差 6 2 19" xfId="16402"/>
    <cellStyle name="差 6 2 2" xfId="16403"/>
    <cellStyle name="差 6 2 20" xfId="16404"/>
    <cellStyle name="差 6 2 21" xfId="16405"/>
    <cellStyle name="差 6 2 22" xfId="16406"/>
    <cellStyle name="差 6 2 23" xfId="16407"/>
    <cellStyle name="差 6 2 24" xfId="16408"/>
    <cellStyle name="差 6 2 25" xfId="16409"/>
    <cellStyle name="差 6 2 26" xfId="16410"/>
    <cellStyle name="差 6 2 27" xfId="16411"/>
    <cellStyle name="差 6 2 3" xfId="16412"/>
    <cellStyle name="差 6 2 4" xfId="16413"/>
    <cellStyle name="差 6 2 5" xfId="16414"/>
    <cellStyle name="差 6 2 6" xfId="16415"/>
    <cellStyle name="差 6 2 7" xfId="16416"/>
    <cellStyle name="差 6 2 8" xfId="16417"/>
    <cellStyle name="差 6 2 9" xfId="16418"/>
    <cellStyle name="差 6 20" xfId="16419"/>
    <cellStyle name="差 6 21" xfId="16420"/>
    <cellStyle name="差 6 22" xfId="16421"/>
    <cellStyle name="差 6 23" xfId="16422"/>
    <cellStyle name="差 6 24" xfId="16423"/>
    <cellStyle name="差 6 25" xfId="16424"/>
    <cellStyle name="差 6 26" xfId="16425"/>
    <cellStyle name="差 6 27" xfId="16426"/>
    <cellStyle name="差 6 28" xfId="16427"/>
    <cellStyle name="差 6 3" xfId="16428"/>
    <cellStyle name="差 6 4" xfId="16429"/>
    <cellStyle name="差 6 5" xfId="16430"/>
    <cellStyle name="差 6 6" xfId="16431"/>
    <cellStyle name="差 6 7" xfId="16432"/>
    <cellStyle name="差 6 8" xfId="16433"/>
    <cellStyle name="差 6 9" xfId="16434"/>
    <cellStyle name="差 7" xfId="16435"/>
    <cellStyle name="差 7 10" xfId="16436"/>
    <cellStyle name="差 7 11" xfId="16437"/>
    <cellStyle name="差 7 12" xfId="16438"/>
    <cellStyle name="差 7 13" xfId="16439"/>
    <cellStyle name="差 7 14" xfId="16440"/>
    <cellStyle name="差 7 15" xfId="16441"/>
    <cellStyle name="差 7 16" xfId="16442"/>
    <cellStyle name="差 7 17" xfId="16443"/>
    <cellStyle name="差 7 18" xfId="16444"/>
    <cellStyle name="差 7 19" xfId="16445"/>
    <cellStyle name="差 7 2" xfId="16446"/>
    <cellStyle name="差 7 2 10" xfId="16447"/>
    <cellStyle name="差 7 2 11" xfId="16448"/>
    <cellStyle name="差 7 2 12" xfId="16449"/>
    <cellStyle name="差 7 2 13" xfId="16450"/>
    <cellStyle name="差 7 2 14" xfId="16451"/>
    <cellStyle name="差 7 2 15" xfId="16452"/>
    <cellStyle name="差 7 2 16" xfId="16453"/>
    <cellStyle name="差 7 2 17" xfId="16454"/>
    <cellStyle name="差 7 2 18" xfId="16455"/>
    <cellStyle name="差 7 2 19" xfId="16456"/>
    <cellStyle name="差 7 2 2" xfId="16457"/>
    <cellStyle name="差 7 2 20" xfId="16458"/>
    <cellStyle name="差 7 2 21" xfId="16459"/>
    <cellStyle name="差 7 2 22" xfId="16460"/>
    <cellStyle name="差 7 2 23" xfId="16461"/>
    <cellStyle name="差 7 2 24" xfId="16462"/>
    <cellStyle name="差 7 2 25" xfId="16463"/>
    <cellStyle name="差 7 2 26" xfId="16464"/>
    <cellStyle name="差 7 2 27" xfId="16465"/>
    <cellStyle name="差 7 2 3" xfId="16466"/>
    <cellStyle name="差 7 2 4" xfId="16467"/>
    <cellStyle name="差 7 2 5" xfId="16468"/>
    <cellStyle name="差 7 2 6" xfId="16469"/>
    <cellStyle name="差 7 2 7" xfId="16470"/>
    <cellStyle name="差 7 2 8" xfId="16471"/>
    <cellStyle name="差 7 2 9" xfId="16472"/>
    <cellStyle name="差 7 20" xfId="16473"/>
    <cellStyle name="差 7 21" xfId="16474"/>
    <cellStyle name="差 7 22" xfId="16475"/>
    <cellStyle name="差 7 23" xfId="16476"/>
    <cellStyle name="差 7 24" xfId="16477"/>
    <cellStyle name="差 7 25" xfId="16478"/>
    <cellStyle name="差 7 26" xfId="16479"/>
    <cellStyle name="差 7 27" xfId="16480"/>
    <cellStyle name="差 7 28" xfId="16481"/>
    <cellStyle name="差 7 3" xfId="16482"/>
    <cellStyle name="差 7 4" xfId="16483"/>
    <cellStyle name="差 7 5" xfId="16484"/>
    <cellStyle name="差 7 6" xfId="16485"/>
    <cellStyle name="差 7 7" xfId="16486"/>
    <cellStyle name="差 7 8" xfId="16487"/>
    <cellStyle name="差 7 9" xfId="16488"/>
    <cellStyle name="差 8" xfId="16489"/>
    <cellStyle name="差 8 10" xfId="16490"/>
    <cellStyle name="差 8 11" xfId="16491"/>
    <cellStyle name="差 8 12" xfId="16492"/>
    <cellStyle name="差 8 13" xfId="16493"/>
    <cellStyle name="差 8 14" xfId="16494"/>
    <cellStyle name="差 8 15" xfId="16495"/>
    <cellStyle name="差 8 16" xfId="16496"/>
    <cellStyle name="差 8 17" xfId="16497"/>
    <cellStyle name="差 8 18" xfId="16498"/>
    <cellStyle name="差 8 19" xfId="16499"/>
    <cellStyle name="差 8 2" xfId="16500"/>
    <cellStyle name="差 8 2 10" xfId="16501"/>
    <cellStyle name="差 8 2 11" xfId="16502"/>
    <cellStyle name="差 8 2 12" xfId="16503"/>
    <cellStyle name="差 8 2 13" xfId="16504"/>
    <cellStyle name="差 8 2 14" xfId="16505"/>
    <cellStyle name="差 8 2 15" xfId="16506"/>
    <cellStyle name="差 8 2 16" xfId="16507"/>
    <cellStyle name="差 8 2 17" xfId="16508"/>
    <cellStyle name="差 8 2 18" xfId="16509"/>
    <cellStyle name="差 8 2 19" xfId="16510"/>
    <cellStyle name="差 8 2 2" xfId="16511"/>
    <cellStyle name="差 8 2 20" xfId="16512"/>
    <cellStyle name="差 8 2 21" xfId="16513"/>
    <cellStyle name="差 8 2 22" xfId="16514"/>
    <cellStyle name="差 8 2 23" xfId="16515"/>
    <cellStyle name="差 8 2 24" xfId="16516"/>
    <cellStyle name="差 8 2 25" xfId="16517"/>
    <cellStyle name="差 8 2 26" xfId="16518"/>
    <cellStyle name="差 8 2 27" xfId="16519"/>
    <cellStyle name="差 8 2 3" xfId="16520"/>
    <cellStyle name="差 8 2 4" xfId="16521"/>
    <cellStyle name="差 8 2 5" xfId="16522"/>
    <cellStyle name="差 8 2 6" xfId="16523"/>
    <cellStyle name="差 8 2 7" xfId="16524"/>
    <cellStyle name="差 8 2 8" xfId="16525"/>
    <cellStyle name="差 8 2 9" xfId="16526"/>
    <cellStyle name="差 8 20" xfId="16527"/>
    <cellStyle name="差 8 21" xfId="16528"/>
    <cellStyle name="差 8 22" xfId="16529"/>
    <cellStyle name="差 8 23" xfId="16530"/>
    <cellStyle name="差 8 24" xfId="16531"/>
    <cellStyle name="差 8 25" xfId="16532"/>
    <cellStyle name="差 8 26" xfId="16533"/>
    <cellStyle name="差 8 27" xfId="16534"/>
    <cellStyle name="差 8 28" xfId="16535"/>
    <cellStyle name="差 8 3" xfId="16536"/>
    <cellStyle name="差 8 4" xfId="16537"/>
    <cellStyle name="差 8 5" xfId="16538"/>
    <cellStyle name="差 8 6" xfId="16539"/>
    <cellStyle name="差 8 7" xfId="16540"/>
    <cellStyle name="差 8 8" xfId="16541"/>
    <cellStyle name="差 8 9" xfId="16542"/>
    <cellStyle name="差 9" xfId="16543"/>
    <cellStyle name="差 9 10" xfId="16544"/>
    <cellStyle name="差 9 11" xfId="16545"/>
    <cellStyle name="差 9 12" xfId="16546"/>
    <cellStyle name="差 9 13" xfId="16547"/>
    <cellStyle name="差 9 14" xfId="16548"/>
    <cellStyle name="差 9 15" xfId="16549"/>
    <cellStyle name="差 9 16" xfId="16550"/>
    <cellStyle name="差 9 17" xfId="16551"/>
    <cellStyle name="差 9 18" xfId="16552"/>
    <cellStyle name="差 9 19" xfId="16553"/>
    <cellStyle name="差 9 2" xfId="16554"/>
    <cellStyle name="差 9 2 10" xfId="16555"/>
    <cellStyle name="差 9 2 11" xfId="16556"/>
    <cellStyle name="差 9 2 12" xfId="16557"/>
    <cellStyle name="差 9 2 13" xfId="16558"/>
    <cellStyle name="差 9 2 14" xfId="16559"/>
    <cellStyle name="差 9 2 15" xfId="16560"/>
    <cellStyle name="差 9 2 16" xfId="16561"/>
    <cellStyle name="差 9 2 17" xfId="16562"/>
    <cellStyle name="差 9 2 18" xfId="16563"/>
    <cellStyle name="差 9 2 19" xfId="16564"/>
    <cellStyle name="差 9 2 2" xfId="16565"/>
    <cellStyle name="差 9 2 20" xfId="16566"/>
    <cellStyle name="差 9 2 21" xfId="16567"/>
    <cellStyle name="差 9 2 22" xfId="16568"/>
    <cellStyle name="差 9 2 23" xfId="16569"/>
    <cellStyle name="差 9 2 24" xfId="16570"/>
    <cellStyle name="差 9 2 25" xfId="16571"/>
    <cellStyle name="差 9 2 26" xfId="16572"/>
    <cellStyle name="差 9 2 27" xfId="16573"/>
    <cellStyle name="差 9 2 3" xfId="16574"/>
    <cellStyle name="差 9 2 4" xfId="16575"/>
    <cellStyle name="差 9 2 5" xfId="16576"/>
    <cellStyle name="差 9 2 6" xfId="16577"/>
    <cellStyle name="差 9 2 7" xfId="16578"/>
    <cellStyle name="差 9 2 8" xfId="16579"/>
    <cellStyle name="差 9 2 9" xfId="16580"/>
    <cellStyle name="差 9 20" xfId="16581"/>
    <cellStyle name="差 9 21" xfId="16582"/>
    <cellStyle name="差 9 22" xfId="16583"/>
    <cellStyle name="差 9 23" xfId="16584"/>
    <cellStyle name="差 9 24" xfId="16585"/>
    <cellStyle name="差 9 25" xfId="16586"/>
    <cellStyle name="差 9 26" xfId="16587"/>
    <cellStyle name="差 9 27" xfId="16588"/>
    <cellStyle name="差 9 28" xfId="16589"/>
    <cellStyle name="差 9 3" xfId="16590"/>
    <cellStyle name="差 9 4" xfId="16591"/>
    <cellStyle name="差 9 5" xfId="16592"/>
    <cellStyle name="差 9 6" xfId="16593"/>
    <cellStyle name="差 9 7" xfId="16594"/>
    <cellStyle name="差 9 8" xfId="16595"/>
    <cellStyle name="差 9 9" xfId="16596"/>
    <cellStyle name="常规" xfId="0" builtinId="0"/>
    <cellStyle name="常规 10" xfId="16597"/>
    <cellStyle name="常规 10 2" xfId="16598"/>
    <cellStyle name="常规 100" xfId="16599"/>
    <cellStyle name="常规 100 2" xfId="16600"/>
    <cellStyle name="常规 101" xfId="16601"/>
    <cellStyle name="常规 101 2" xfId="16602"/>
    <cellStyle name="常规 102" xfId="16603"/>
    <cellStyle name="常规 102 2" xfId="16604"/>
    <cellStyle name="常规 103" xfId="16605"/>
    <cellStyle name="常规 103 2" xfId="16606"/>
    <cellStyle name="常规 104" xfId="16607"/>
    <cellStyle name="常规 104 2" xfId="16608"/>
    <cellStyle name="常规 105" xfId="16609"/>
    <cellStyle name="常规 106" xfId="16610"/>
    <cellStyle name="常规 106 2" xfId="16611"/>
    <cellStyle name="常规 107" xfId="16612"/>
    <cellStyle name="常规 108" xfId="16613"/>
    <cellStyle name="常规 109" xfId="16614"/>
    <cellStyle name="常规 11" xfId="16615"/>
    <cellStyle name="常规 11 2" xfId="16616"/>
    <cellStyle name="常规 110" xfId="16617"/>
    <cellStyle name="常规 111" xfId="16618"/>
    <cellStyle name="常规 112" xfId="16619"/>
    <cellStyle name="常规 113" xfId="16620"/>
    <cellStyle name="常规 114" xfId="16621"/>
    <cellStyle name="常规 115" xfId="16622"/>
    <cellStyle name="常规 116" xfId="16623"/>
    <cellStyle name="常规 117" xfId="16624"/>
    <cellStyle name="常规 118" xfId="16625"/>
    <cellStyle name="常规 119" xfId="16626"/>
    <cellStyle name="常规 119 2" xfId="16627"/>
    <cellStyle name="常规 12" xfId="16628"/>
    <cellStyle name="常规 12 2" xfId="16629"/>
    <cellStyle name="常规 120" xfId="16630"/>
    <cellStyle name="常规 120 2" xfId="16631"/>
    <cellStyle name="常规 121" xfId="16632"/>
    <cellStyle name="常规 121 2" xfId="16633"/>
    <cellStyle name="常规 122" xfId="16634"/>
    <cellStyle name="常规 123" xfId="16635"/>
    <cellStyle name="常规 123 2" xfId="16636"/>
    <cellStyle name="常规 124" xfId="16637"/>
    <cellStyle name="常规 124 2" xfId="16638"/>
    <cellStyle name="常规 125" xfId="16639"/>
    <cellStyle name="常规 125 2" xfId="16640"/>
    <cellStyle name="常规 126" xfId="16641"/>
    <cellStyle name="常规 126 2" xfId="16642"/>
    <cellStyle name="常规 127" xfId="16643"/>
    <cellStyle name="常规 128" xfId="16644"/>
    <cellStyle name="常规 128 2" xfId="16645"/>
    <cellStyle name="常规 129" xfId="16646"/>
    <cellStyle name="常规 13" xfId="16647"/>
    <cellStyle name="常规 13 2" xfId="16648"/>
    <cellStyle name="常规 130" xfId="16649"/>
    <cellStyle name="常规 131" xfId="16650"/>
    <cellStyle name="常规 131 2" xfId="16651"/>
    <cellStyle name="常规 132" xfId="16652"/>
    <cellStyle name="常规 132 2" xfId="16653"/>
    <cellStyle name="常规 133" xfId="16654"/>
    <cellStyle name="常规 133 2" xfId="16655"/>
    <cellStyle name="常规 134" xfId="16656"/>
    <cellStyle name="常规 134 2" xfId="16657"/>
    <cellStyle name="常规 135" xfId="16658"/>
    <cellStyle name="常规 135 2" xfId="16659"/>
    <cellStyle name="常规 136" xfId="16660"/>
    <cellStyle name="常规 136 2" xfId="16661"/>
    <cellStyle name="常规 137" xfId="16662"/>
    <cellStyle name="常规 137 2" xfId="16663"/>
    <cellStyle name="常规 138" xfId="16664"/>
    <cellStyle name="常规 138 2" xfId="16665"/>
    <cellStyle name="常规 139" xfId="16666"/>
    <cellStyle name="常规 139 2" xfId="16667"/>
    <cellStyle name="常规 14" xfId="16668"/>
    <cellStyle name="常规 14 2" xfId="16669"/>
    <cellStyle name="常规 140" xfId="16670"/>
    <cellStyle name="常规 141" xfId="17063"/>
    <cellStyle name="常规 141 2" xfId="16671"/>
    <cellStyle name="常规 141 3" xfId="16672"/>
    <cellStyle name="常规 142 2" xfId="16673"/>
    <cellStyle name="常规 142 3" xfId="16674"/>
    <cellStyle name="常规 15" xfId="16675"/>
    <cellStyle name="常规 15 2" xfId="16676"/>
    <cellStyle name="常规 16" xfId="16677"/>
    <cellStyle name="常规 16 2" xfId="16678"/>
    <cellStyle name="常规 17" xfId="16679"/>
    <cellStyle name="常规 17 2" xfId="16680"/>
    <cellStyle name="常规 18" xfId="16681"/>
    <cellStyle name="常规 18 2" xfId="16682"/>
    <cellStyle name="常规 184 2" xfId="16683"/>
    <cellStyle name="常规 19" xfId="16684"/>
    <cellStyle name="常规 19 2" xfId="16685"/>
    <cellStyle name="常规 2" xfId="16686"/>
    <cellStyle name="常规 2 10" xfId="16687"/>
    <cellStyle name="常规 2 11" xfId="16688"/>
    <cellStyle name="常规 2 11 2" xfId="16689"/>
    <cellStyle name="常规 2 2" xfId="16690"/>
    <cellStyle name="常规 2 3" xfId="16691"/>
    <cellStyle name="常规 2 4" xfId="16692"/>
    <cellStyle name="常规 2 5" xfId="16693"/>
    <cellStyle name="常规 2 6" xfId="16694"/>
    <cellStyle name="常规 2 7" xfId="16695"/>
    <cellStyle name="常规 2 8" xfId="16696"/>
    <cellStyle name="常规 2 9" xfId="16697"/>
    <cellStyle name="常规 20" xfId="16698"/>
    <cellStyle name="常规 20 2" xfId="16699"/>
    <cellStyle name="常规 21" xfId="16700"/>
    <cellStyle name="常规 21 2" xfId="16701"/>
    <cellStyle name="常规 22" xfId="16702"/>
    <cellStyle name="常规 22 2" xfId="16703"/>
    <cellStyle name="常规 23" xfId="16704"/>
    <cellStyle name="常规 23 2" xfId="16705"/>
    <cellStyle name="常规 24" xfId="16706"/>
    <cellStyle name="常规 24 2" xfId="16707"/>
    <cellStyle name="常规 25" xfId="16708"/>
    <cellStyle name="常规 25 2" xfId="16709"/>
    <cellStyle name="常规 26" xfId="16710"/>
    <cellStyle name="常规 26 2" xfId="16711"/>
    <cellStyle name="常规 27" xfId="16712"/>
    <cellStyle name="常规 27 2" xfId="16713"/>
    <cellStyle name="常规 28" xfId="16714"/>
    <cellStyle name="常规 28 2" xfId="16715"/>
    <cellStyle name="常规 29" xfId="16716"/>
    <cellStyle name="常规 29 2" xfId="16717"/>
    <cellStyle name="常规 3" xfId="16718"/>
    <cellStyle name="常规 3 2" xfId="16719"/>
    <cellStyle name="常规 30" xfId="16720"/>
    <cellStyle name="常规 30 2" xfId="16721"/>
    <cellStyle name="常规 31" xfId="16722"/>
    <cellStyle name="常规 31 2" xfId="16723"/>
    <cellStyle name="常规 32" xfId="16724"/>
    <cellStyle name="常规 32 2" xfId="16725"/>
    <cellStyle name="常规 33" xfId="16726"/>
    <cellStyle name="常规 33 2" xfId="16727"/>
    <cellStyle name="常规 34" xfId="16728"/>
    <cellStyle name="常规 34 2" xfId="16729"/>
    <cellStyle name="常规 35" xfId="16730"/>
    <cellStyle name="常规 35 2" xfId="16731"/>
    <cellStyle name="常规 36" xfId="16732"/>
    <cellStyle name="常规 36 2" xfId="16733"/>
    <cellStyle name="常规 37" xfId="16734"/>
    <cellStyle name="常规 37 2" xfId="16735"/>
    <cellStyle name="常规 38" xfId="16736"/>
    <cellStyle name="常规 38 2" xfId="16737"/>
    <cellStyle name="常规 39" xfId="16738"/>
    <cellStyle name="常规 39 2" xfId="16739"/>
    <cellStyle name="常规 4" xfId="16740"/>
    <cellStyle name="常规 4 2" xfId="16741"/>
    <cellStyle name="常规 40" xfId="16742"/>
    <cellStyle name="常规 40 2" xfId="16743"/>
    <cellStyle name="常规 41" xfId="16744"/>
    <cellStyle name="常规 41 2" xfId="16745"/>
    <cellStyle name="常规 42" xfId="16746"/>
    <cellStyle name="常规 42 2" xfId="16747"/>
    <cellStyle name="常规 43" xfId="16748"/>
    <cellStyle name="常规 43 2" xfId="16749"/>
    <cellStyle name="常规 44" xfId="16750"/>
    <cellStyle name="常规 44 2" xfId="16751"/>
    <cellStyle name="常规 45" xfId="16752"/>
    <cellStyle name="常规 45 2" xfId="16753"/>
    <cellStyle name="常规 46" xfId="16754"/>
    <cellStyle name="常规 46 2" xfId="16755"/>
    <cellStyle name="常规 47" xfId="16756"/>
    <cellStyle name="常规 47 2" xfId="16757"/>
    <cellStyle name="常规 48" xfId="16758"/>
    <cellStyle name="常规 48 2" xfId="16759"/>
    <cellStyle name="常规 49" xfId="16760"/>
    <cellStyle name="常规 49 2" xfId="16761"/>
    <cellStyle name="常规 5" xfId="16762"/>
    <cellStyle name="常规 5 2" xfId="16763"/>
    <cellStyle name="常规 50" xfId="16764"/>
    <cellStyle name="常规 50 2" xfId="16765"/>
    <cellStyle name="常规 51" xfId="16766"/>
    <cellStyle name="常规 51 2" xfId="16767"/>
    <cellStyle name="常规 52" xfId="16768"/>
    <cellStyle name="常规 52 2" xfId="16769"/>
    <cellStyle name="常规 53" xfId="16770"/>
    <cellStyle name="常规 53 2" xfId="16771"/>
    <cellStyle name="常规 54" xfId="16772"/>
    <cellStyle name="常规 54 2" xfId="16773"/>
    <cellStyle name="常规 55" xfId="16774"/>
    <cellStyle name="常规 55 2" xfId="16775"/>
    <cellStyle name="常规 56" xfId="16776"/>
    <cellStyle name="常规 56 2" xfId="16777"/>
    <cellStyle name="常规 57" xfId="16778"/>
    <cellStyle name="常规 57 2" xfId="16779"/>
    <cellStyle name="常规 58" xfId="16780"/>
    <cellStyle name="常规 58 2" xfId="16781"/>
    <cellStyle name="常规 59" xfId="16782"/>
    <cellStyle name="常规 59 2" xfId="16783"/>
    <cellStyle name="常规 6" xfId="16784"/>
    <cellStyle name="常规 6 2" xfId="16785"/>
    <cellStyle name="常规 60" xfId="16786"/>
    <cellStyle name="常规 60 2" xfId="16787"/>
    <cellStyle name="常规 61" xfId="16788"/>
    <cellStyle name="常规 61 2" xfId="16789"/>
    <cellStyle name="常规 62" xfId="16790"/>
    <cellStyle name="常规 62 2" xfId="16791"/>
    <cellStyle name="常规 63" xfId="16792"/>
    <cellStyle name="常规 63 2" xfId="16793"/>
    <cellStyle name="常规 64" xfId="16794"/>
    <cellStyle name="常规 64 2" xfId="16795"/>
    <cellStyle name="常规 65" xfId="16796"/>
    <cellStyle name="常规 65 2" xfId="16797"/>
    <cellStyle name="常规 66" xfId="16798"/>
    <cellStyle name="常规 66 2" xfId="16799"/>
    <cellStyle name="常规 67" xfId="16800"/>
    <cellStyle name="常规 67 2" xfId="16801"/>
    <cellStyle name="常规 68" xfId="16802"/>
    <cellStyle name="常规 68 2" xfId="16803"/>
    <cellStyle name="常规 69" xfId="16804"/>
    <cellStyle name="常规 69 2" xfId="16805"/>
    <cellStyle name="常规 7" xfId="16806"/>
    <cellStyle name="常规 7 2" xfId="16807"/>
    <cellStyle name="常规 70" xfId="16808"/>
    <cellStyle name="常规 70 2" xfId="16809"/>
    <cellStyle name="常规 71" xfId="16810"/>
    <cellStyle name="常规 71 2" xfId="16811"/>
    <cellStyle name="常规 72" xfId="16812"/>
    <cellStyle name="常规 72 2" xfId="16813"/>
    <cellStyle name="常规 73" xfId="16814"/>
    <cellStyle name="常规 73 2" xfId="16815"/>
    <cellStyle name="常规 74" xfId="16816"/>
    <cellStyle name="常规 74 2" xfId="16817"/>
    <cellStyle name="常规 75" xfId="16818"/>
    <cellStyle name="常规 75 2" xfId="16819"/>
    <cellStyle name="常规 76" xfId="16820"/>
    <cellStyle name="常规 76 2" xfId="16821"/>
    <cellStyle name="常规 77" xfId="16822"/>
    <cellStyle name="常规 77 2" xfId="16823"/>
    <cellStyle name="常规 78" xfId="16824"/>
    <cellStyle name="常规 78 2" xfId="16825"/>
    <cellStyle name="常规 79" xfId="16826"/>
    <cellStyle name="常规 79 2" xfId="16827"/>
    <cellStyle name="常规 8" xfId="16828"/>
    <cellStyle name="常规 8 2" xfId="16829"/>
    <cellStyle name="常规 80" xfId="16830"/>
    <cellStyle name="常规 80 2" xfId="16831"/>
    <cellStyle name="常规 81" xfId="16832"/>
    <cellStyle name="常规 81 2" xfId="16833"/>
    <cellStyle name="常规 82" xfId="16834"/>
    <cellStyle name="常规 82 2" xfId="16835"/>
    <cellStyle name="常规 83" xfId="16836"/>
    <cellStyle name="常规 83 2" xfId="16837"/>
    <cellStyle name="常规 84" xfId="16838"/>
    <cellStyle name="常规 84 2" xfId="16839"/>
    <cellStyle name="常规 85" xfId="16840"/>
    <cellStyle name="常规 85 2" xfId="16841"/>
    <cellStyle name="常规 86" xfId="16842"/>
    <cellStyle name="常规 86 2" xfId="16843"/>
    <cellStyle name="常规 87" xfId="16844"/>
    <cellStyle name="常规 87 2" xfId="16845"/>
    <cellStyle name="常规 88" xfId="16846"/>
    <cellStyle name="常规 88 2" xfId="16847"/>
    <cellStyle name="常规 89" xfId="16848"/>
    <cellStyle name="常规 89 2" xfId="16849"/>
    <cellStyle name="常规 9" xfId="16850"/>
    <cellStyle name="常规 9 2" xfId="16851"/>
    <cellStyle name="常规 90" xfId="16852"/>
    <cellStyle name="常规 91" xfId="16853"/>
    <cellStyle name="常规 91 2" xfId="16854"/>
    <cellStyle name="常规 92" xfId="16855"/>
    <cellStyle name="常规 92 2" xfId="16856"/>
    <cellStyle name="常规 93" xfId="16857"/>
    <cellStyle name="常规 93 2" xfId="16858"/>
    <cellStyle name="常规 94" xfId="16859"/>
    <cellStyle name="常规 94 2" xfId="16860"/>
    <cellStyle name="常规 95" xfId="16861"/>
    <cellStyle name="常规 95 2" xfId="16862"/>
    <cellStyle name="常规 96" xfId="16863"/>
    <cellStyle name="常规 96 2" xfId="16864"/>
    <cellStyle name="常规 97" xfId="16865"/>
    <cellStyle name="常规 97 2" xfId="16866"/>
    <cellStyle name="常规 98" xfId="16867"/>
    <cellStyle name="常规 98 2" xfId="16868"/>
    <cellStyle name="常规 99" xfId="16869"/>
    <cellStyle name="常规 99 2" xfId="16870"/>
    <cellStyle name="好" xfId="16871" builtinId="26" customBuiltin="1"/>
    <cellStyle name="好 10" xfId="16872"/>
    <cellStyle name="好 11" xfId="16873"/>
    <cellStyle name="好 2" xfId="16874"/>
    <cellStyle name="好 2 2" xfId="16875"/>
    <cellStyle name="好 2 3" xfId="16876"/>
    <cellStyle name="好 3" xfId="16877"/>
    <cellStyle name="好 4" xfId="16878"/>
    <cellStyle name="好 5" xfId="16879"/>
    <cellStyle name="好 6" xfId="16880"/>
    <cellStyle name="好 7" xfId="16881"/>
    <cellStyle name="好 8" xfId="16882"/>
    <cellStyle name="好 9" xfId="16883"/>
    <cellStyle name="汇总" xfId="16884" builtinId="25" customBuiltin="1"/>
    <cellStyle name="汇总 10" xfId="16885"/>
    <cellStyle name="汇总 11" xfId="16886"/>
    <cellStyle name="汇总 2" xfId="16887"/>
    <cellStyle name="汇总 2 2" xfId="16888"/>
    <cellStyle name="汇总 2 3" xfId="16889"/>
    <cellStyle name="汇总 3" xfId="16890"/>
    <cellStyle name="汇总 4" xfId="16891"/>
    <cellStyle name="汇总 5" xfId="16892"/>
    <cellStyle name="汇总 6" xfId="16893"/>
    <cellStyle name="汇总 7" xfId="16894"/>
    <cellStyle name="汇总 8" xfId="16895"/>
    <cellStyle name="汇总 9" xfId="16896"/>
    <cellStyle name="计算" xfId="16897" builtinId="22" customBuiltin="1"/>
    <cellStyle name="计算 10" xfId="16898"/>
    <cellStyle name="计算 11" xfId="16899"/>
    <cellStyle name="计算 2" xfId="16900"/>
    <cellStyle name="计算 2 2" xfId="16901"/>
    <cellStyle name="计算 2 3" xfId="16902"/>
    <cellStyle name="计算 3" xfId="16903"/>
    <cellStyle name="计算 4" xfId="16904"/>
    <cellStyle name="计算 5" xfId="16905"/>
    <cellStyle name="计算 6" xfId="16906"/>
    <cellStyle name="计算 7" xfId="16907"/>
    <cellStyle name="计算 8" xfId="16908"/>
    <cellStyle name="计算 9" xfId="16909"/>
    <cellStyle name="检查单元格" xfId="16910" builtinId="23" customBuiltin="1"/>
    <cellStyle name="检查单元格 10" xfId="16911"/>
    <cellStyle name="检查单元格 11" xfId="16912"/>
    <cellStyle name="检查单元格 2" xfId="16913"/>
    <cellStyle name="检查单元格 2 2" xfId="16914"/>
    <cellStyle name="检查单元格 2 3" xfId="16915"/>
    <cellStyle name="检查单元格 3" xfId="16916"/>
    <cellStyle name="检查单元格 4" xfId="16917"/>
    <cellStyle name="检查单元格 5" xfId="16918"/>
    <cellStyle name="检查单元格 6" xfId="16919"/>
    <cellStyle name="检查单元格 7" xfId="16920"/>
    <cellStyle name="检查单元格 8" xfId="16921"/>
    <cellStyle name="检查单元格 9" xfId="16922"/>
    <cellStyle name="警告文本" xfId="16923" builtinId="11" customBuiltin="1"/>
    <cellStyle name="警告文本 10" xfId="16924"/>
    <cellStyle name="警告文本 11" xfId="16925"/>
    <cellStyle name="警告文本 2" xfId="16926"/>
    <cellStyle name="警告文本 2 2" xfId="16927"/>
    <cellStyle name="警告文本 2 3" xfId="16928"/>
    <cellStyle name="警告文本 3" xfId="16929"/>
    <cellStyle name="警告文本 4" xfId="16930"/>
    <cellStyle name="警告文本 5" xfId="16931"/>
    <cellStyle name="警告文本 6" xfId="16932"/>
    <cellStyle name="警告文本 7" xfId="16933"/>
    <cellStyle name="警告文本 8" xfId="16934"/>
    <cellStyle name="警告文本 9" xfId="16935"/>
    <cellStyle name="链接单元格" xfId="16936" builtinId="24" customBuiltin="1"/>
    <cellStyle name="链接单元格 10" xfId="16937"/>
    <cellStyle name="链接单元格 11" xfId="16938"/>
    <cellStyle name="链接单元格 2" xfId="16939"/>
    <cellStyle name="链接单元格 2 2" xfId="16940"/>
    <cellStyle name="链接单元格 2 3" xfId="16941"/>
    <cellStyle name="链接单元格 3" xfId="16942"/>
    <cellStyle name="链接单元格 4" xfId="16943"/>
    <cellStyle name="链接单元格 5" xfId="16944"/>
    <cellStyle name="链接单元格 6" xfId="16945"/>
    <cellStyle name="链接单元格 7" xfId="16946"/>
    <cellStyle name="链接单元格 8" xfId="16947"/>
    <cellStyle name="链接单元格 9" xfId="16948"/>
    <cellStyle name="强调文字颜色 1 10" xfId="16949"/>
    <cellStyle name="强调文字颜色 1 11" xfId="16950"/>
    <cellStyle name="强调文字颜色 1 2" xfId="16951"/>
    <cellStyle name="强调文字颜色 1 2 2" xfId="16952"/>
    <cellStyle name="强调文字颜色 1 2 3" xfId="16953"/>
    <cellStyle name="强调文字颜色 1 3" xfId="16954"/>
    <cellStyle name="强调文字颜色 1 4" xfId="16955"/>
    <cellStyle name="强调文字颜色 1 5" xfId="16956"/>
    <cellStyle name="强调文字颜色 1 6" xfId="16957"/>
    <cellStyle name="强调文字颜色 1 7" xfId="16958"/>
    <cellStyle name="强调文字颜色 1 8" xfId="16959"/>
    <cellStyle name="强调文字颜色 1 9" xfId="16960"/>
    <cellStyle name="强调文字颜色 2 10" xfId="16961"/>
    <cellStyle name="强调文字颜色 2 11" xfId="16962"/>
    <cellStyle name="强调文字颜色 2 2" xfId="16963"/>
    <cellStyle name="强调文字颜色 2 2 2" xfId="16964"/>
    <cellStyle name="强调文字颜色 2 2 3" xfId="16965"/>
    <cellStyle name="强调文字颜色 2 3" xfId="16966"/>
    <cellStyle name="强调文字颜色 2 4" xfId="16967"/>
    <cellStyle name="强调文字颜色 2 5" xfId="16968"/>
    <cellStyle name="强调文字颜色 2 6" xfId="16969"/>
    <cellStyle name="强调文字颜色 2 7" xfId="16970"/>
    <cellStyle name="强调文字颜色 2 8" xfId="16971"/>
    <cellStyle name="强调文字颜色 2 9" xfId="16972"/>
    <cellStyle name="强调文字颜色 3 10" xfId="16973"/>
    <cellStyle name="强调文字颜色 3 11" xfId="16974"/>
    <cellStyle name="强调文字颜色 3 2" xfId="16975"/>
    <cellStyle name="强调文字颜色 3 2 2" xfId="16976"/>
    <cellStyle name="强调文字颜色 3 2 3" xfId="16977"/>
    <cellStyle name="强调文字颜色 3 3" xfId="16978"/>
    <cellStyle name="强调文字颜色 3 4" xfId="16979"/>
    <cellStyle name="强调文字颜色 3 5" xfId="16980"/>
    <cellStyle name="强调文字颜色 3 6" xfId="16981"/>
    <cellStyle name="强调文字颜色 3 7" xfId="16982"/>
    <cellStyle name="强调文字颜色 3 8" xfId="16983"/>
    <cellStyle name="强调文字颜色 3 9" xfId="16984"/>
    <cellStyle name="强调文字颜色 4 10" xfId="16985"/>
    <cellStyle name="强调文字颜色 4 11" xfId="16986"/>
    <cellStyle name="强调文字颜色 4 2" xfId="16987"/>
    <cellStyle name="强调文字颜色 4 2 2" xfId="16988"/>
    <cellStyle name="强调文字颜色 4 2 3" xfId="16989"/>
    <cellStyle name="强调文字颜色 4 3" xfId="16990"/>
    <cellStyle name="强调文字颜色 4 4" xfId="16991"/>
    <cellStyle name="强调文字颜色 4 5" xfId="16992"/>
    <cellStyle name="强调文字颜色 4 6" xfId="16993"/>
    <cellStyle name="强调文字颜色 4 7" xfId="16994"/>
    <cellStyle name="强调文字颜色 4 8" xfId="16995"/>
    <cellStyle name="强调文字颜色 4 9" xfId="16996"/>
    <cellStyle name="强调文字颜色 5 10" xfId="16997"/>
    <cellStyle name="强调文字颜色 5 11" xfId="16998"/>
    <cellStyle name="强调文字颜色 5 2" xfId="16999"/>
    <cellStyle name="强调文字颜色 5 2 2" xfId="17000"/>
    <cellStyle name="强调文字颜色 5 2 3" xfId="17001"/>
    <cellStyle name="强调文字颜色 5 3" xfId="17002"/>
    <cellStyle name="强调文字颜色 5 4" xfId="17003"/>
    <cellStyle name="强调文字颜色 5 5" xfId="17004"/>
    <cellStyle name="强调文字颜色 5 6" xfId="17005"/>
    <cellStyle name="强调文字颜色 5 7" xfId="17006"/>
    <cellStyle name="强调文字颜色 5 8" xfId="17007"/>
    <cellStyle name="强调文字颜色 5 9" xfId="17008"/>
    <cellStyle name="强调文字颜色 6 10" xfId="17009"/>
    <cellStyle name="强调文字颜色 6 11" xfId="17010"/>
    <cellStyle name="强调文字颜色 6 2" xfId="17011"/>
    <cellStyle name="强调文字颜色 6 2 2" xfId="17012"/>
    <cellStyle name="强调文字颜色 6 2 3" xfId="17013"/>
    <cellStyle name="强调文字颜色 6 3" xfId="17014"/>
    <cellStyle name="强调文字颜色 6 4" xfId="17015"/>
    <cellStyle name="强调文字颜色 6 5" xfId="17016"/>
    <cellStyle name="强调文字颜色 6 6" xfId="17017"/>
    <cellStyle name="强调文字颜色 6 7" xfId="17018"/>
    <cellStyle name="强调文字颜色 6 8" xfId="17019"/>
    <cellStyle name="强调文字颜色 6 9" xfId="17020"/>
    <cellStyle name="输出" xfId="17021" builtinId="21" customBuiltin="1"/>
    <cellStyle name="输出 10" xfId="17022"/>
    <cellStyle name="输出 11" xfId="17023"/>
    <cellStyle name="输出 2" xfId="17024"/>
    <cellStyle name="输出 2 2" xfId="17025"/>
    <cellStyle name="输出 2 3" xfId="17026"/>
    <cellStyle name="输出 3" xfId="17027"/>
    <cellStyle name="输出 4" xfId="17028"/>
    <cellStyle name="输出 5" xfId="17029"/>
    <cellStyle name="输出 6" xfId="17030"/>
    <cellStyle name="输出 7" xfId="17031"/>
    <cellStyle name="输出 8" xfId="17032"/>
    <cellStyle name="输出 9" xfId="17033"/>
    <cellStyle name="输入" xfId="17034" builtinId="20" customBuiltin="1"/>
    <cellStyle name="输入 10" xfId="17035"/>
    <cellStyle name="输入 11" xfId="17036"/>
    <cellStyle name="输入 2" xfId="17037"/>
    <cellStyle name="输入 2 2" xfId="17038"/>
    <cellStyle name="输入 2 3" xfId="17039"/>
    <cellStyle name="输入 3" xfId="17040"/>
    <cellStyle name="输入 4" xfId="17041"/>
    <cellStyle name="输入 5" xfId="17042"/>
    <cellStyle name="输入 6" xfId="17043"/>
    <cellStyle name="输入 7" xfId="17044"/>
    <cellStyle name="输入 8" xfId="17045"/>
    <cellStyle name="输入 9" xfId="17046"/>
    <cellStyle name="说明文本 2" xfId="17047"/>
    <cellStyle name="无色 2" xfId="17048"/>
    <cellStyle name="一般__關卡設計範本" xfId="17049"/>
    <cellStyle name="注释" xfId="17050" builtinId="10" customBuiltin="1"/>
    <cellStyle name="注释 10" xfId="17051"/>
    <cellStyle name="注释 11" xfId="17052"/>
    <cellStyle name="注释 2" xfId="17053"/>
    <cellStyle name="注释 2 2" xfId="17054"/>
    <cellStyle name="注释 2 3" xfId="17055"/>
    <cellStyle name="注释 3" xfId="17056"/>
    <cellStyle name="注释 4" xfId="17057"/>
    <cellStyle name="注释 5" xfId="17058"/>
    <cellStyle name="注释 6" xfId="17059"/>
    <cellStyle name="注释 7" xfId="17060"/>
    <cellStyle name="注释 8" xfId="17061"/>
    <cellStyle name="注释 9" xfId="170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0806"/>
      <rgbColor rgb="00333333"/>
      <rgbColor rgb="00FCF305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AJ60"/>
  <sheetViews>
    <sheetView workbookViewId="0">
      <selection activeCell="B3" sqref="B3"/>
    </sheetView>
  </sheetViews>
  <sheetFormatPr defaultColWidth="8.875" defaultRowHeight="15" customHeight="1" x14ac:dyDescent="0.15"/>
  <cols>
    <col min="1" max="1" width="8.875" style="1"/>
    <col min="2" max="2" width="56.375" style="1" bestFit="1" customWidth="1"/>
    <col min="3" max="35" width="8.875" style="1"/>
    <col min="36" max="36" width="8.875" style="2"/>
    <col min="37" max="16384" width="8.875" style="1"/>
  </cols>
  <sheetData>
    <row r="1" spans="1:11" s="2" customFormat="1" ht="15" customHeight="1" x14ac:dyDescent="0.15">
      <c r="A1" s="2" t="s">
        <v>12</v>
      </c>
      <c r="B1" s="2" t="s">
        <v>13</v>
      </c>
      <c r="C1" s="2" t="s">
        <v>14</v>
      </c>
    </row>
    <row r="2" spans="1:11" ht="15" customHeight="1" x14ac:dyDescent="0.15">
      <c r="A2" s="1" t="s">
        <v>10</v>
      </c>
      <c r="B2" s="1" t="s">
        <v>269</v>
      </c>
      <c r="C2" s="1" t="s">
        <v>8</v>
      </c>
    </row>
    <row r="3" spans="1:11" ht="15" customHeight="1" x14ac:dyDescent="0.15">
      <c r="A3" s="2"/>
      <c r="C3" s="2"/>
    </row>
    <row r="4" spans="1:11" ht="15" customHeight="1" x14ac:dyDescent="0.15">
      <c r="A4" s="2" t="s">
        <v>266</v>
      </c>
      <c r="B4" s="2" t="s">
        <v>267</v>
      </c>
      <c r="C4" s="2" t="s">
        <v>268</v>
      </c>
    </row>
    <row r="9" spans="1:11" ht="15" customHeight="1" x14ac:dyDescent="0.15">
      <c r="D9" s="65" t="s">
        <v>11</v>
      </c>
      <c r="E9" s="65"/>
      <c r="F9" s="65"/>
      <c r="G9" s="65"/>
      <c r="H9" s="65"/>
      <c r="I9" s="65"/>
      <c r="J9" s="65"/>
      <c r="K9" s="65"/>
    </row>
    <row r="10" spans="1:11" ht="15" customHeight="1" x14ac:dyDescent="0.15">
      <c r="D10" s="65"/>
      <c r="E10" s="65"/>
      <c r="F10" s="65"/>
      <c r="G10" s="65"/>
      <c r="H10" s="65"/>
      <c r="I10" s="65"/>
      <c r="J10" s="65"/>
      <c r="K10" s="65"/>
    </row>
    <row r="11" spans="1:11" ht="15" customHeight="1" x14ac:dyDescent="0.15">
      <c r="D11" s="65"/>
      <c r="E11" s="65"/>
      <c r="F11" s="65"/>
      <c r="G11" s="65"/>
      <c r="H11" s="65"/>
      <c r="I11" s="65"/>
      <c r="J11" s="65"/>
      <c r="K11" s="65"/>
    </row>
    <row r="12" spans="1:11" ht="15" customHeight="1" x14ac:dyDescent="0.15">
      <c r="D12" s="65"/>
      <c r="E12" s="65"/>
      <c r="F12" s="65"/>
      <c r="G12" s="65"/>
      <c r="H12" s="65"/>
      <c r="I12" s="65"/>
      <c r="J12" s="65"/>
      <c r="K12" s="65"/>
    </row>
    <row r="13" spans="1:11" ht="15" customHeight="1" x14ac:dyDescent="0.15">
      <c r="D13" s="65"/>
      <c r="E13" s="65"/>
      <c r="F13" s="65"/>
      <c r="G13" s="65"/>
      <c r="H13" s="65"/>
      <c r="I13" s="65"/>
      <c r="J13" s="65"/>
      <c r="K13" s="65"/>
    </row>
    <row r="14" spans="1:11" ht="15" customHeight="1" x14ac:dyDescent="0.15">
      <c r="D14" s="65"/>
      <c r="E14" s="65"/>
      <c r="F14" s="65"/>
      <c r="G14" s="65"/>
      <c r="H14" s="65"/>
      <c r="I14" s="65"/>
      <c r="J14" s="65"/>
      <c r="K14" s="65"/>
    </row>
    <row r="15" spans="1:11" ht="15" customHeight="1" x14ac:dyDescent="0.15">
      <c r="D15" s="65"/>
      <c r="E15" s="65"/>
      <c r="F15" s="65"/>
      <c r="G15" s="65"/>
      <c r="H15" s="65"/>
      <c r="I15" s="65"/>
      <c r="J15" s="65"/>
      <c r="K15" s="65"/>
    </row>
    <row r="16" spans="1:11" ht="15" customHeight="1" x14ac:dyDescent="0.15">
      <c r="D16" s="65"/>
      <c r="E16" s="65"/>
      <c r="F16" s="65"/>
      <c r="G16" s="65"/>
      <c r="H16" s="65"/>
      <c r="I16" s="65"/>
      <c r="J16" s="65"/>
      <c r="K16" s="65"/>
    </row>
    <row r="17" spans="4:11" ht="15" customHeight="1" x14ac:dyDescent="0.15">
      <c r="D17" s="65"/>
      <c r="E17" s="65"/>
      <c r="F17" s="65"/>
      <c r="G17" s="65"/>
      <c r="H17" s="65"/>
      <c r="I17" s="65"/>
      <c r="J17" s="65"/>
      <c r="K17" s="65"/>
    </row>
    <row r="60" spans="1:1" ht="15" customHeight="1" x14ac:dyDescent="0.15">
      <c r="A60" s="1" t="s">
        <v>9</v>
      </c>
    </row>
  </sheetData>
  <mergeCells count="1">
    <mergeCell ref="D9:K17"/>
  </mergeCells>
  <phoneticPr fontId="1" type="noConversion"/>
  <pageMargins left="0.69791666666666663" right="0.69791666666666663" top="0.74930555555555556" bottom="0.74930555555555556" header="0.29930555555555555" footer="0.29930555555555555"/>
  <pageSetup paperSize="9" firstPageNumber="429496319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88"/>
  <sheetViews>
    <sheetView zoomScale="85" zoomScaleNormal="85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31" sqref="D31"/>
    </sheetView>
  </sheetViews>
  <sheetFormatPr defaultColWidth="8.875" defaultRowHeight="16.5" x14ac:dyDescent="0.35"/>
  <cols>
    <col min="1" max="1" width="8.5" style="5" bestFit="1" customWidth="1"/>
    <col min="2" max="2" width="8.625" style="21" customWidth="1"/>
    <col min="3" max="3" width="8.875" style="29"/>
    <col min="4" max="4" width="25.125" style="32" bestFit="1" customWidth="1"/>
    <col min="5" max="5" width="23.625" style="32" customWidth="1"/>
    <col min="6" max="6" width="11.5" style="29" bestFit="1" customWidth="1"/>
    <col min="7" max="7" width="8.625" style="29" bestFit="1" customWidth="1"/>
    <col min="8" max="8" width="6" style="29" bestFit="1" customWidth="1"/>
    <col min="9" max="9" width="18.75" style="29" bestFit="1" customWidth="1"/>
    <col min="10" max="10" width="17.875" style="29" customWidth="1"/>
    <col min="11" max="11" width="8.25" style="29" bestFit="1" customWidth="1"/>
    <col min="12" max="14" width="6.625" style="29" customWidth="1"/>
    <col min="15" max="166" width="8.875" style="6"/>
    <col min="167" max="167" width="9.625" style="6" customWidth="1"/>
    <col min="168" max="168" width="11.5" style="6" customWidth="1"/>
    <col min="169" max="169" width="9" style="6" customWidth="1"/>
    <col min="170" max="170" width="13.375" style="6" customWidth="1"/>
    <col min="171" max="171" width="10.5" style="6" customWidth="1"/>
    <col min="172" max="172" width="12.5" style="6" customWidth="1"/>
    <col min="173" max="173" width="13.75" style="6" customWidth="1"/>
    <col min="174" max="174" width="8.875" style="6"/>
    <col min="175" max="175" width="12.375" style="6" customWidth="1"/>
    <col min="176" max="177" width="8.875" style="6"/>
    <col min="178" max="178" width="15.625" style="6" bestFit="1" customWidth="1"/>
    <col min="179" max="179" width="18.875" style="6" customWidth="1"/>
    <col min="180" max="422" width="8.875" style="6"/>
    <col min="423" max="423" width="9.625" style="6" customWidth="1"/>
    <col min="424" max="424" width="11.5" style="6" customWidth="1"/>
    <col min="425" max="425" width="9" style="6" customWidth="1"/>
    <col min="426" max="426" width="13.375" style="6" customWidth="1"/>
    <col min="427" max="427" width="10.5" style="6" customWidth="1"/>
    <col min="428" max="428" width="12.5" style="6" customWidth="1"/>
    <col min="429" max="429" width="13.75" style="6" customWidth="1"/>
    <col min="430" max="430" width="8.875" style="6"/>
    <col min="431" max="431" width="12.375" style="6" customWidth="1"/>
    <col min="432" max="433" width="8.875" style="6"/>
    <col min="434" max="434" width="15.625" style="6" bestFit="1" customWidth="1"/>
    <col min="435" max="435" width="18.875" style="6" customWidth="1"/>
    <col min="436" max="678" width="8.875" style="6"/>
    <col min="679" max="679" width="9.625" style="6" customWidth="1"/>
    <col min="680" max="680" width="11.5" style="6" customWidth="1"/>
    <col min="681" max="681" width="9" style="6" customWidth="1"/>
    <col min="682" max="682" width="13.375" style="6" customWidth="1"/>
    <col min="683" max="683" width="10.5" style="6" customWidth="1"/>
    <col min="684" max="684" width="12.5" style="6" customWidth="1"/>
    <col min="685" max="685" width="13.75" style="6" customWidth="1"/>
    <col min="686" max="686" width="8.875" style="6"/>
    <col min="687" max="687" width="12.375" style="6" customWidth="1"/>
    <col min="688" max="689" width="8.875" style="6"/>
    <col min="690" max="690" width="15.625" style="6" bestFit="1" customWidth="1"/>
    <col min="691" max="691" width="18.875" style="6" customWidth="1"/>
    <col min="692" max="16384" width="8.875" style="6"/>
  </cols>
  <sheetData>
    <row r="1" spans="1:15" s="4" customFormat="1" x14ac:dyDescent="0.35">
      <c r="A1" s="3" t="s">
        <v>4</v>
      </c>
      <c r="B1" s="30" t="s">
        <v>0</v>
      </c>
      <c r="C1" s="7"/>
      <c r="D1" s="28"/>
      <c r="E1" s="28"/>
      <c r="F1" s="7"/>
      <c r="G1" s="7"/>
      <c r="H1" s="7"/>
      <c r="I1" s="7"/>
      <c r="J1" s="7"/>
      <c r="K1" s="7"/>
      <c r="L1" s="7"/>
      <c r="M1" s="7"/>
      <c r="N1" s="7"/>
    </row>
    <row r="2" spans="1:15" s="4" customFormat="1" x14ac:dyDescent="0.35">
      <c r="A2" s="3" t="s">
        <v>1</v>
      </c>
      <c r="B2" s="30" t="s">
        <v>20</v>
      </c>
      <c r="C2" s="7"/>
      <c r="D2" s="28"/>
      <c r="E2" s="28"/>
      <c r="F2" s="7"/>
      <c r="G2" s="7"/>
      <c r="H2" s="7"/>
      <c r="I2" s="7"/>
      <c r="J2" s="7"/>
      <c r="K2" s="7"/>
      <c r="L2" s="7"/>
      <c r="M2" s="7"/>
      <c r="N2" s="7"/>
    </row>
    <row r="3" spans="1:15" s="7" customFormat="1" x14ac:dyDescent="0.15">
      <c r="A3" s="3" t="s">
        <v>29</v>
      </c>
      <c r="B3" s="38"/>
      <c r="C3" s="7" t="s">
        <v>7</v>
      </c>
      <c r="D3" s="7" t="s">
        <v>238</v>
      </c>
      <c r="E3" s="7" t="s">
        <v>21</v>
      </c>
      <c r="F3" s="7" t="s">
        <v>17</v>
      </c>
      <c r="G3" s="7" t="s">
        <v>219</v>
      </c>
      <c r="H3" s="7" t="s">
        <v>310</v>
      </c>
      <c r="I3" s="7" t="s">
        <v>19</v>
      </c>
      <c r="J3" s="7" t="s">
        <v>106</v>
      </c>
      <c r="K3" s="7" t="s">
        <v>67</v>
      </c>
      <c r="L3" s="7" t="s">
        <v>263</v>
      </c>
      <c r="M3" s="7" t="s">
        <v>6</v>
      </c>
      <c r="N3" s="7" t="s">
        <v>103</v>
      </c>
      <c r="O3" s="7" t="s">
        <v>7</v>
      </c>
    </row>
    <row r="4" spans="1:15" s="7" customFormat="1" ht="33" x14ac:dyDescent="0.15">
      <c r="A4" s="3" t="s">
        <v>30</v>
      </c>
      <c r="C4" s="7" t="s">
        <v>15</v>
      </c>
      <c r="D4" s="7" t="s">
        <v>239</v>
      </c>
      <c r="E4" s="7" t="s">
        <v>22</v>
      </c>
      <c r="F4" s="7" t="s">
        <v>16</v>
      </c>
      <c r="G4" s="7" t="s">
        <v>220</v>
      </c>
      <c r="H4" s="7" t="s">
        <v>279</v>
      </c>
      <c r="I4" s="7" t="s">
        <v>18</v>
      </c>
      <c r="J4" s="7" t="s">
        <v>107</v>
      </c>
      <c r="K4" s="7" t="s">
        <v>87</v>
      </c>
      <c r="L4" s="7" t="s">
        <v>264</v>
      </c>
      <c r="M4" s="7" t="s">
        <v>149</v>
      </c>
      <c r="N4" s="7" t="s">
        <v>102</v>
      </c>
      <c r="O4" s="7" t="s">
        <v>311</v>
      </c>
    </row>
    <row r="5" spans="1:15" s="7" customFormat="1" ht="71.25" customHeight="1" x14ac:dyDescent="0.15">
      <c r="C5" s="7" t="s">
        <v>84</v>
      </c>
      <c r="D5" s="7" t="s">
        <v>5</v>
      </c>
      <c r="E5" s="7" t="s">
        <v>23</v>
      </c>
      <c r="F5" s="7" t="s">
        <v>237</v>
      </c>
      <c r="G5" s="7" t="s">
        <v>221</v>
      </c>
      <c r="H5" s="8" t="s">
        <v>301</v>
      </c>
      <c r="I5" s="8" t="s">
        <v>286</v>
      </c>
      <c r="J5" s="8" t="s">
        <v>528</v>
      </c>
      <c r="K5" s="8" t="s">
        <v>281</v>
      </c>
      <c r="L5" s="8" t="s">
        <v>265</v>
      </c>
      <c r="M5" s="8" t="s">
        <v>288</v>
      </c>
      <c r="N5" s="8" t="s">
        <v>104</v>
      </c>
      <c r="O5" s="7" t="s">
        <v>312</v>
      </c>
    </row>
    <row r="6" spans="1:15" s="7" customFormat="1" x14ac:dyDescent="0.15">
      <c r="H6" s="8"/>
      <c r="I6" s="8"/>
      <c r="J6" s="8"/>
      <c r="K6" s="8"/>
      <c r="L6" s="8"/>
      <c r="M6" s="8"/>
      <c r="N6" s="8"/>
    </row>
    <row r="7" spans="1:15" s="7" customFormat="1" x14ac:dyDescent="0.15">
      <c r="H7" s="8"/>
      <c r="I7" s="8"/>
      <c r="J7" s="8"/>
      <c r="K7" s="8"/>
      <c r="L7" s="8"/>
      <c r="M7" s="8"/>
      <c r="N7" s="8"/>
    </row>
    <row r="8" spans="1:15" x14ac:dyDescent="0.35">
      <c r="A8" s="5" t="s">
        <v>302</v>
      </c>
      <c r="C8" s="29">
        <v>1000</v>
      </c>
      <c r="D8" s="32" t="s">
        <v>303</v>
      </c>
      <c r="E8" s="32" t="s">
        <v>304</v>
      </c>
      <c r="F8" s="29" t="s">
        <v>326</v>
      </c>
      <c r="I8" s="29">
        <v>1</v>
      </c>
      <c r="J8" s="29">
        <v>0</v>
      </c>
      <c r="N8" s="29">
        <v>0</v>
      </c>
    </row>
    <row r="9" spans="1:15" x14ac:dyDescent="0.35">
      <c r="A9" s="5" t="s">
        <v>302</v>
      </c>
      <c r="C9" s="29">
        <v>1001</v>
      </c>
      <c r="D9" s="32" t="s">
        <v>305</v>
      </c>
      <c r="E9" s="32" t="s">
        <v>306</v>
      </c>
      <c r="F9" s="29" t="s">
        <v>323</v>
      </c>
      <c r="H9" s="29" t="s">
        <v>532</v>
      </c>
      <c r="I9" s="29">
        <v>1</v>
      </c>
      <c r="J9" s="29">
        <v>0</v>
      </c>
      <c r="N9" s="29">
        <v>0</v>
      </c>
    </row>
    <row r="10" spans="1:15" x14ac:dyDescent="0.35">
      <c r="A10" s="5" t="s">
        <v>302</v>
      </c>
      <c r="C10" s="29">
        <v>1002</v>
      </c>
      <c r="D10" s="32" t="s">
        <v>535</v>
      </c>
      <c r="E10" s="32" t="s">
        <v>307</v>
      </c>
      <c r="F10" s="29" t="s">
        <v>325</v>
      </c>
      <c r="I10" s="29">
        <v>1</v>
      </c>
      <c r="J10" s="29">
        <v>0</v>
      </c>
      <c r="N10" s="29">
        <v>0</v>
      </c>
    </row>
    <row r="11" spans="1:15" x14ac:dyDescent="0.35">
      <c r="A11" s="5" t="s">
        <v>302</v>
      </c>
      <c r="C11" s="29">
        <v>1003</v>
      </c>
      <c r="D11" s="32" t="s">
        <v>308</v>
      </c>
      <c r="E11" s="32" t="s">
        <v>544</v>
      </c>
      <c r="F11" s="29" t="s">
        <v>323</v>
      </c>
      <c r="I11" s="29">
        <v>0</v>
      </c>
      <c r="J11" s="29">
        <v>0</v>
      </c>
      <c r="N11" s="29">
        <v>0</v>
      </c>
    </row>
    <row r="13" spans="1:15" x14ac:dyDescent="0.35">
      <c r="A13" s="5" t="s">
        <v>302</v>
      </c>
      <c r="C13" s="29">
        <v>1100</v>
      </c>
      <c r="D13" s="32" t="s">
        <v>327</v>
      </c>
      <c r="E13" s="32" t="s">
        <v>338</v>
      </c>
      <c r="F13" s="29" t="s">
        <v>329</v>
      </c>
      <c r="H13" s="29" t="s">
        <v>700</v>
      </c>
      <c r="I13" s="29">
        <v>2</v>
      </c>
      <c r="J13" s="29">
        <v>4</v>
      </c>
      <c r="L13" s="29">
        <v>500</v>
      </c>
      <c r="N13" s="29">
        <v>0</v>
      </c>
    </row>
    <row r="14" spans="1:15" x14ac:dyDescent="0.35">
      <c r="A14" s="5" t="s">
        <v>302</v>
      </c>
      <c r="C14" s="29">
        <v>1101</v>
      </c>
      <c r="D14" s="32" t="s">
        <v>328</v>
      </c>
      <c r="E14" s="32" t="s">
        <v>337</v>
      </c>
      <c r="F14" s="29" t="s">
        <v>330</v>
      </c>
      <c r="H14" s="29" t="s">
        <v>700</v>
      </c>
      <c r="I14" s="29">
        <v>2</v>
      </c>
      <c r="J14" s="29">
        <v>4</v>
      </c>
      <c r="L14" s="29">
        <v>501</v>
      </c>
      <c r="N14" s="29">
        <v>0</v>
      </c>
    </row>
    <row r="16" spans="1:15" x14ac:dyDescent="0.35">
      <c r="A16" s="5" t="s">
        <v>302</v>
      </c>
      <c r="C16" s="29">
        <v>1200</v>
      </c>
      <c r="D16" s="32" t="s">
        <v>336</v>
      </c>
      <c r="E16" s="32" t="s">
        <v>339</v>
      </c>
      <c r="F16" s="29" t="s">
        <v>331</v>
      </c>
      <c r="H16" s="29" t="s">
        <v>700</v>
      </c>
      <c r="I16" s="29">
        <v>2</v>
      </c>
      <c r="J16" s="29">
        <v>4</v>
      </c>
      <c r="L16" s="17">
        <v>900</v>
      </c>
      <c r="N16" s="29">
        <v>0</v>
      </c>
    </row>
    <row r="17" spans="1:19" x14ac:dyDescent="0.35">
      <c r="A17" s="5" t="s">
        <v>302</v>
      </c>
      <c r="C17" s="29">
        <v>1201</v>
      </c>
      <c r="D17" s="32" t="s">
        <v>334</v>
      </c>
      <c r="E17" s="32" t="s">
        <v>340</v>
      </c>
      <c r="F17" s="29" t="s">
        <v>332</v>
      </c>
      <c r="H17" s="29" t="s">
        <v>700</v>
      </c>
      <c r="I17" s="29">
        <v>2</v>
      </c>
      <c r="J17" s="29">
        <v>4</v>
      </c>
      <c r="L17" s="17">
        <v>901</v>
      </c>
      <c r="N17" s="29">
        <v>0</v>
      </c>
    </row>
    <row r="18" spans="1:19" x14ac:dyDescent="0.35">
      <c r="A18" s="5" t="s">
        <v>302</v>
      </c>
      <c r="C18" s="29">
        <v>1202</v>
      </c>
      <c r="D18" s="32" t="s">
        <v>335</v>
      </c>
      <c r="E18" s="32" t="s">
        <v>341</v>
      </c>
      <c r="F18" s="29" t="s">
        <v>333</v>
      </c>
      <c r="H18" s="29" t="s">
        <v>700</v>
      </c>
      <c r="I18" s="29">
        <v>2</v>
      </c>
      <c r="J18" s="29">
        <v>4</v>
      </c>
      <c r="L18" s="17">
        <v>902</v>
      </c>
      <c r="N18" s="29">
        <v>0</v>
      </c>
    </row>
    <row r="19" spans="1:19" x14ac:dyDescent="0.35">
      <c r="A19" s="5" t="s">
        <v>302</v>
      </c>
      <c r="C19" s="29">
        <v>1203</v>
      </c>
      <c r="D19" s="32" t="s">
        <v>639</v>
      </c>
      <c r="E19" s="32" t="s">
        <v>638</v>
      </c>
      <c r="F19" s="29" t="s">
        <v>637</v>
      </c>
      <c r="H19" s="29" t="s">
        <v>700</v>
      </c>
      <c r="I19" s="29">
        <v>2</v>
      </c>
      <c r="J19" s="29">
        <v>4</v>
      </c>
      <c r="L19" s="17">
        <v>903</v>
      </c>
      <c r="N19" s="29">
        <v>0</v>
      </c>
    </row>
    <row r="20" spans="1:19" x14ac:dyDescent="0.35">
      <c r="A20" s="5" t="s">
        <v>302</v>
      </c>
      <c r="C20" s="29">
        <v>1204</v>
      </c>
      <c r="D20" s="32" t="s">
        <v>754</v>
      </c>
      <c r="E20" s="32" t="s">
        <v>339</v>
      </c>
      <c r="F20" s="29" t="s">
        <v>753</v>
      </c>
      <c r="H20" s="29" t="s">
        <v>700</v>
      </c>
      <c r="I20" s="29">
        <v>2</v>
      </c>
      <c r="J20" s="29">
        <v>4</v>
      </c>
      <c r="L20" s="17"/>
      <c r="N20" s="29">
        <v>0</v>
      </c>
    </row>
    <row r="21" spans="1:19" x14ac:dyDescent="0.35">
      <c r="F21" s="29" t="s">
        <v>663</v>
      </c>
    </row>
    <row r="22" spans="1:19" x14ac:dyDescent="0.35">
      <c r="A22" s="5" t="s">
        <v>302</v>
      </c>
      <c r="C22" s="29">
        <v>2000</v>
      </c>
      <c r="D22" s="32" t="s">
        <v>342</v>
      </c>
      <c r="E22" s="32" t="s">
        <v>348</v>
      </c>
      <c r="F22" s="29" t="s">
        <v>349</v>
      </c>
      <c r="H22" s="29" t="s">
        <v>77</v>
      </c>
      <c r="I22" s="29">
        <v>2</v>
      </c>
      <c r="J22" s="29">
        <v>3</v>
      </c>
      <c r="N22" s="29">
        <v>0</v>
      </c>
      <c r="O22" s="18"/>
      <c r="S22" s="44"/>
    </row>
    <row r="23" spans="1:19" x14ac:dyDescent="0.35">
      <c r="A23" s="5" t="s">
        <v>302</v>
      </c>
      <c r="C23" s="29">
        <f>C22+1</f>
        <v>2001</v>
      </c>
      <c r="D23" s="32" t="s">
        <v>664</v>
      </c>
      <c r="E23" s="32" t="s">
        <v>348</v>
      </c>
      <c r="F23" s="29" t="s">
        <v>350</v>
      </c>
      <c r="I23" s="29">
        <v>2</v>
      </c>
      <c r="J23" s="29">
        <v>3</v>
      </c>
      <c r="N23" s="29">
        <v>0</v>
      </c>
      <c r="O23" s="18">
        <v>301</v>
      </c>
      <c r="S23" s="44"/>
    </row>
    <row r="24" spans="1:19" x14ac:dyDescent="0.35">
      <c r="A24" s="5" t="s">
        <v>302</v>
      </c>
      <c r="C24" s="29">
        <f>C23+1</f>
        <v>2002</v>
      </c>
      <c r="D24" s="32" t="s">
        <v>665</v>
      </c>
      <c r="E24" s="32" t="s">
        <v>348</v>
      </c>
      <c r="F24" s="29" t="s">
        <v>351</v>
      </c>
      <c r="I24" s="29">
        <v>2</v>
      </c>
      <c r="J24" s="29">
        <v>3</v>
      </c>
      <c r="N24" s="29">
        <v>0</v>
      </c>
      <c r="O24" s="18">
        <v>302</v>
      </c>
      <c r="S24" s="44"/>
    </row>
    <row r="25" spans="1:19" x14ac:dyDescent="0.35">
      <c r="A25" s="5" t="s">
        <v>302</v>
      </c>
      <c r="C25" s="29">
        <f>C24+1</f>
        <v>2003</v>
      </c>
      <c r="D25" s="32" t="s">
        <v>366</v>
      </c>
      <c r="E25" s="32" t="s">
        <v>367</v>
      </c>
      <c r="F25" s="29" t="s">
        <v>368</v>
      </c>
      <c r="I25" s="29">
        <v>2</v>
      </c>
      <c r="J25" s="29">
        <v>3</v>
      </c>
      <c r="N25" s="29">
        <v>0</v>
      </c>
      <c r="O25" s="17">
        <v>206</v>
      </c>
      <c r="S25" s="44"/>
    </row>
    <row r="26" spans="1:19" x14ac:dyDescent="0.35">
      <c r="O26" s="18"/>
      <c r="S26" s="44"/>
    </row>
    <row r="27" spans="1:19" x14ac:dyDescent="0.35">
      <c r="A27" s="5" t="s">
        <v>302</v>
      </c>
      <c r="C27" s="29">
        <v>2100</v>
      </c>
      <c r="D27" s="32" t="s">
        <v>343</v>
      </c>
      <c r="E27" s="32" t="s">
        <v>348</v>
      </c>
      <c r="F27" s="29" t="s">
        <v>352</v>
      </c>
      <c r="I27" s="29">
        <v>2</v>
      </c>
      <c r="J27" s="29">
        <v>3</v>
      </c>
      <c r="N27" s="29">
        <v>0</v>
      </c>
      <c r="O27" s="17">
        <v>201</v>
      </c>
      <c r="S27" s="44"/>
    </row>
    <row r="28" spans="1:19" x14ac:dyDescent="0.35">
      <c r="A28" s="5" t="s">
        <v>302</v>
      </c>
      <c r="C28" s="29">
        <f>C27+1</f>
        <v>2101</v>
      </c>
      <c r="D28" s="32" t="s">
        <v>664</v>
      </c>
      <c r="E28" s="32" t="s">
        <v>348</v>
      </c>
      <c r="F28" s="29" t="s">
        <v>353</v>
      </c>
      <c r="I28" s="29">
        <v>2</v>
      </c>
      <c r="J28" s="29">
        <v>3</v>
      </c>
      <c r="N28" s="29">
        <v>0</v>
      </c>
      <c r="O28" s="18">
        <v>303</v>
      </c>
      <c r="S28" s="44"/>
    </row>
    <row r="29" spans="1:19" x14ac:dyDescent="0.35">
      <c r="A29" s="5" t="s">
        <v>302</v>
      </c>
      <c r="C29" s="29">
        <f>C28+1</f>
        <v>2102</v>
      </c>
      <c r="D29" s="32" t="s">
        <v>665</v>
      </c>
      <c r="E29" s="32" t="s">
        <v>348</v>
      </c>
      <c r="F29" s="29" t="s">
        <v>354</v>
      </c>
      <c r="I29" s="29">
        <v>2</v>
      </c>
      <c r="J29" s="29">
        <v>3</v>
      </c>
      <c r="N29" s="29">
        <v>0</v>
      </c>
      <c r="O29" s="18">
        <v>304</v>
      </c>
      <c r="S29" s="44"/>
    </row>
    <row r="30" spans="1:19" x14ac:dyDescent="0.35">
      <c r="A30" s="5" t="s">
        <v>302</v>
      </c>
      <c r="C30" s="29">
        <f>C29+1</f>
        <v>2103</v>
      </c>
      <c r="D30" s="32" t="s">
        <v>375</v>
      </c>
      <c r="E30" s="32" t="s">
        <v>367</v>
      </c>
      <c r="F30" s="29" t="s">
        <v>373</v>
      </c>
      <c r="I30" s="29">
        <v>2</v>
      </c>
      <c r="J30" s="29">
        <v>3</v>
      </c>
      <c r="N30" s="29">
        <v>0</v>
      </c>
      <c r="O30" s="17">
        <v>207</v>
      </c>
      <c r="S30" s="44"/>
    </row>
    <row r="31" spans="1:19" x14ac:dyDescent="0.35">
      <c r="O31" s="18"/>
      <c r="S31" s="44"/>
    </row>
    <row r="32" spans="1:19" x14ac:dyDescent="0.35">
      <c r="A32" s="5" t="s">
        <v>302</v>
      </c>
      <c r="C32" s="29">
        <v>2200</v>
      </c>
      <c r="D32" s="32" t="s">
        <v>344</v>
      </c>
      <c r="E32" s="32" t="s">
        <v>348</v>
      </c>
      <c r="F32" s="29" t="s">
        <v>355</v>
      </c>
      <c r="I32" s="29">
        <v>2</v>
      </c>
      <c r="J32" s="29">
        <v>3</v>
      </c>
      <c r="N32" s="29">
        <v>0</v>
      </c>
      <c r="O32" s="17">
        <v>202</v>
      </c>
      <c r="S32" s="44"/>
    </row>
    <row r="33" spans="1:19" x14ac:dyDescent="0.35">
      <c r="A33" s="5" t="s">
        <v>302</v>
      </c>
      <c r="C33" s="29">
        <f>C32+1</f>
        <v>2201</v>
      </c>
      <c r="D33" s="32" t="s">
        <v>464</v>
      </c>
      <c r="E33" s="32" t="s">
        <v>348</v>
      </c>
      <c r="F33" s="29" t="s">
        <v>356</v>
      </c>
      <c r="I33" s="29">
        <v>2</v>
      </c>
      <c r="J33" s="29">
        <v>3</v>
      </c>
      <c r="N33" s="29">
        <v>0</v>
      </c>
      <c r="O33" s="18">
        <v>305</v>
      </c>
      <c r="S33" s="44"/>
    </row>
    <row r="34" spans="1:19" x14ac:dyDescent="0.35">
      <c r="A34" s="5" t="s">
        <v>302</v>
      </c>
      <c r="C34" s="29">
        <f>C33+1</f>
        <v>2202</v>
      </c>
      <c r="D34" s="32" t="s">
        <v>665</v>
      </c>
      <c r="E34" s="32" t="s">
        <v>348</v>
      </c>
      <c r="F34" s="29" t="s">
        <v>357</v>
      </c>
      <c r="I34" s="29">
        <v>2</v>
      </c>
      <c r="J34" s="29">
        <v>3</v>
      </c>
      <c r="N34" s="29">
        <v>0</v>
      </c>
      <c r="O34" s="18">
        <v>306</v>
      </c>
    </row>
    <row r="35" spans="1:19" x14ac:dyDescent="0.35">
      <c r="A35" s="5" t="s">
        <v>302</v>
      </c>
      <c r="C35" s="29">
        <f>C34+1</f>
        <v>2203</v>
      </c>
      <c r="D35" s="32" t="s">
        <v>666</v>
      </c>
      <c r="E35" s="32" t="s">
        <v>367</v>
      </c>
      <c r="F35" s="29" t="s">
        <v>372</v>
      </c>
      <c r="I35" s="29">
        <v>2</v>
      </c>
      <c r="J35" s="29">
        <v>3</v>
      </c>
      <c r="N35" s="29">
        <v>0</v>
      </c>
      <c r="O35" s="17">
        <v>208</v>
      </c>
    </row>
    <row r="36" spans="1:19" x14ac:dyDescent="0.35">
      <c r="O36" s="18"/>
    </row>
    <row r="37" spans="1:19" x14ac:dyDescent="0.35">
      <c r="A37" s="5" t="s">
        <v>302</v>
      </c>
      <c r="C37" s="29">
        <v>2300</v>
      </c>
      <c r="D37" s="32" t="s">
        <v>667</v>
      </c>
      <c r="E37" s="32" t="s">
        <v>348</v>
      </c>
      <c r="F37" s="29" t="s">
        <v>358</v>
      </c>
      <c r="I37" s="29">
        <v>2</v>
      </c>
      <c r="J37" s="29">
        <v>3</v>
      </c>
      <c r="N37" s="29">
        <v>0</v>
      </c>
      <c r="O37" s="17">
        <v>203</v>
      </c>
    </row>
    <row r="38" spans="1:19" x14ac:dyDescent="0.35">
      <c r="A38" s="5" t="s">
        <v>302</v>
      </c>
      <c r="C38" s="29">
        <f>C37+1</f>
        <v>2301</v>
      </c>
      <c r="D38" s="32" t="s">
        <v>668</v>
      </c>
      <c r="E38" s="32" t="s">
        <v>348</v>
      </c>
      <c r="F38" s="29" t="s">
        <v>359</v>
      </c>
      <c r="I38" s="29">
        <v>2</v>
      </c>
      <c r="J38" s="29">
        <v>3</v>
      </c>
      <c r="N38" s="29">
        <v>0</v>
      </c>
      <c r="O38" s="18">
        <v>307</v>
      </c>
    </row>
    <row r="39" spans="1:19" x14ac:dyDescent="0.35">
      <c r="A39" s="5" t="s">
        <v>302</v>
      </c>
      <c r="C39" s="29">
        <f>C38+1</f>
        <v>2302</v>
      </c>
      <c r="D39" s="32" t="s">
        <v>669</v>
      </c>
      <c r="E39" s="32" t="s">
        <v>348</v>
      </c>
      <c r="F39" s="29" t="s">
        <v>360</v>
      </c>
      <c r="I39" s="29">
        <v>2</v>
      </c>
      <c r="J39" s="29">
        <v>3</v>
      </c>
      <c r="N39" s="29">
        <v>0</v>
      </c>
      <c r="O39" s="18">
        <v>308</v>
      </c>
    </row>
    <row r="40" spans="1:19" x14ac:dyDescent="0.35">
      <c r="A40" s="5" t="s">
        <v>302</v>
      </c>
      <c r="C40" s="29">
        <f>C39+1</f>
        <v>2303</v>
      </c>
      <c r="D40" s="32" t="s">
        <v>379</v>
      </c>
      <c r="E40" s="32" t="s">
        <v>367</v>
      </c>
      <c r="F40" s="29" t="s">
        <v>371</v>
      </c>
      <c r="I40" s="29">
        <v>2</v>
      </c>
      <c r="J40" s="29">
        <v>3</v>
      </c>
      <c r="N40" s="29">
        <v>0</v>
      </c>
      <c r="O40" s="17">
        <v>209</v>
      </c>
    </row>
    <row r="41" spans="1:19" x14ac:dyDescent="0.35">
      <c r="O41" s="18"/>
    </row>
    <row r="42" spans="1:19" x14ac:dyDescent="0.35">
      <c r="A42" s="5" t="s">
        <v>302</v>
      </c>
      <c r="C42" s="29">
        <v>2400</v>
      </c>
      <c r="D42" s="32" t="s">
        <v>670</v>
      </c>
      <c r="E42" s="32" t="s">
        <v>348</v>
      </c>
      <c r="F42" s="29" t="s">
        <v>389</v>
      </c>
      <c r="I42" s="29">
        <v>2</v>
      </c>
      <c r="J42" s="29">
        <v>3</v>
      </c>
      <c r="N42" s="29">
        <v>0</v>
      </c>
      <c r="O42" s="17">
        <v>204</v>
      </c>
    </row>
    <row r="43" spans="1:19" x14ac:dyDescent="0.35">
      <c r="A43" s="5" t="s">
        <v>302</v>
      </c>
      <c r="C43" s="29">
        <f>C42+1</f>
        <v>2401</v>
      </c>
      <c r="D43" s="32" t="s">
        <v>668</v>
      </c>
      <c r="E43" s="32" t="s">
        <v>348</v>
      </c>
      <c r="F43" s="29" t="s">
        <v>361</v>
      </c>
      <c r="I43" s="29">
        <v>2</v>
      </c>
      <c r="J43" s="29">
        <v>3</v>
      </c>
      <c r="N43" s="29">
        <v>0</v>
      </c>
      <c r="O43" s="18">
        <v>309</v>
      </c>
    </row>
    <row r="44" spans="1:19" x14ac:dyDescent="0.35">
      <c r="A44" s="5" t="s">
        <v>302</v>
      </c>
      <c r="C44" s="29">
        <f>C43+1</f>
        <v>2402</v>
      </c>
      <c r="D44" s="32" t="s">
        <v>669</v>
      </c>
      <c r="E44" s="32" t="s">
        <v>348</v>
      </c>
      <c r="F44" s="29" t="s">
        <v>362</v>
      </c>
      <c r="I44" s="29">
        <v>2</v>
      </c>
      <c r="J44" s="29">
        <v>3</v>
      </c>
      <c r="N44" s="29">
        <v>0</v>
      </c>
      <c r="O44" s="18">
        <v>310</v>
      </c>
    </row>
    <row r="45" spans="1:19" x14ac:dyDescent="0.35">
      <c r="A45" s="5" t="s">
        <v>302</v>
      </c>
      <c r="C45" s="29">
        <f>C44+1</f>
        <v>2403</v>
      </c>
      <c r="D45" s="32" t="s">
        <v>671</v>
      </c>
      <c r="E45" s="32" t="s">
        <v>367</v>
      </c>
      <c r="F45" s="29" t="s">
        <v>370</v>
      </c>
      <c r="I45" s="29">
        <v>2</v>
      </c>
      <c r="J45" s="29">
        <v>3</v>
      </c>
      <c r="N45" s="29">
        <v>0</v>
      </c>
      <c r="O45" s="17">
        <v>210</v>
      </c>
    </row>
    <row r="46" spans="1:19" x14ac:dyDescent="0.35">
      <c r="O46" s="18"/>
    </row>
    <row r="47" spans="1:19" x14ac:dyDescent="0.35">
      <c r="A47" s="5" t="s">
        <v>302</v>
      </c>
      <c r="C47" s="29">
        <v>2500</v>
      </c>
      <c r="D47" s="32" t="s">
        <v>672</v>
      </c>
      <c r="E47" s="32" t="s">
        <v>348</v>
      </c>
      <c r="F47" s="29" t="s">
        <v>363</v>
      </c>
      <c r="I47" s="29">
        <v>2</v>
      </c>
      <c r="J47" s="29">
        <v>3</v>
      </c>
      <c r="N47" s="29">
        <v>0</v>
      </c>
      <c r="O47" s="17">
        <v>205</v>
      </c>
    </row>
    <row r="48" spans="1:19" x14ac:dyDescent="0.35">
      <c r="A48" s="5" t="s">
        <v>302</v>
      </c>
      <c r="C48" s="29">
        <f>C47+1</f>
        <v>2501</v>
      </c>
      <c r="D48" s="32" t="s">
        <v>467</v>
      </c>
      <c r="E48" s="32" t="s">
        <v>348</v>
      </c>
      <c r="F48" s="29" t="s">
        <v>364</v>
      </c>
      <c r="I48" s="29">
        <v>2</v>
      </c>
      <c r="J48" s="29">
        <v>3</v>
      </c>
      <c r="N48" s="29">
        <v>0</v>
      </c>
      <c r="O48" s="18">
        <v>311</v>
      </c>
    </row>
    <row r="49" spans="1:15" x14ac:dyDescent="0.35">
      <c r="A49" s="5" t="s">
        <v>302</v>
      </c>
      <c r="C49" s="29">
        <f>C48+1</f>
        <v>2502</v>
      </c>
      <c r="D49" s="32" t="s">
        <v>669</v>
      </c>
      <c r="E49" s="32" t="s">
        <v>348</v>
      </c>
      <c r="F49" s="29" t="s">
        <v>365</v>
      </c>
      <c r="I49" s="29">
        <v>2</v>
      </c>
      <c r="J49" s="29">
        <v>3</v>
      </c>
      <c r="N49" s="29">
        <v>0</v>
      </c>
      <c r="O49" s="18">
        <v>312</v>
      </c>
    </row>
    <row r="50" spans="1:15" x14ac:dyDescent="0.35">
      <c r="A50" s="5" t="s">
        <v>302</v>
      </c>
      <c r="C50" s="29">
        <f>C49+1</f>
        <v>2503</v>
      </c>
      <c r="D50" s="32" t="s">
        <v>382</v>
      </c>
      <c r="E50" s="32" t="s">
        <v>367</v>
      </c>
      <c r="F50" s="29" t="s">
        <v>369</v>
      </c>
      <c r="I50" s="29">
        <v>2</v>
      </c>
      <c r="J50" s="29">
        <v>3</v>
      </c>
      <c r="N50" s="29">
        <v>0</v>
      </c>
      <c r="O50" s="17">
        <v>211</v>
      </c>
    </row>
    <row r="52" spans="1:15" x14ac:dyDescent="0.35">
      <c r="A52" s="5" t="s">
        <v>302</v>
      </c>
      <c r="C52" s="29">
        <v>3000</v>
      </c>
      <c r="D52" s="32" t="s">
        <v>405</v>
      </c>
      <c r="E52" s="32" t="s">
        <v>415</v>
      </c>
      <c r="F52" s="29" t="s">
        <v>501</v>
      </c>
      <c r="I52" s="29">
        <v>2</v>
      </c>
      <c r="J52" s="29">
        <v>3</v>
      </c>
      <c r="N52" s="29">
        <v>0</v>
      </c>
      <c r="O52" s="17">
        <v>401</v>
      </c>
    </row>
    <row r="53" spans="1:15" x14ac:dyDescent="0.35">
      <c r="A53" s="5" t="s">
        <v>302</v>
      </c>
      <c r="C53" s="29">
        <v>3001</v>
      </c>
      <c r="D53" s="32" t="s">
        <v>406</v>
      </c>
      <c r="E53" s="32" t="s">
        <v>415</v>
      </c>
      <c r="F53" s="29" t="s">
        <v>502</v>
      </c>
      <c r="I53" s="29">
        <v>2</v>
      </c>
      <c r="J53" s="29">
        <v>3</v>
      </c>
      <c r="N53" s="29">
        <v>0</v>
      </c>
      <c r="O53" s="17">
        <v>402</v>
      </c>
    </row>
    <row r="54" spans="1:15" x14ac:dyDescent="0.35">
      <c r="A54" s="5" t="s">
        <v>302</v>
      </c>
      <c r="C54" s="29">
        <v>3002</v>
      </c>
      <c r="D54" s="32" t="s">
        <v>407</v>
      </c>
      <c r="E54" s="32" t="s">
        <v>415</v>
      </c>
      <c r="F54" s="29" t="s">
        <v>503</v>
      </c>
      <c r="I54" s="29">
        <v>2</v>
      </c>
      <c r="J54" s="29">
        <v>3</v>
      </c>
      <c r="N54" s="29">
        <v>0</v>
      </c>
      <c r="O54" s="17">
        <v>403</v>
      </c>
    </row>
    <row r="55" spans="1:15" x14ac:dyDescent="0.35">
      <c r="A55" s="5" t="s">
        <v>302</v>
      </c>
      <c r="C55" s="29">
        <v>3003</v>
      </c>
      <c r="D55" s="32" t="s">
        <v>408</v>
      </c>
      <c r="E55" s="32" t="s">
        <v>415</v>
      </c>
      <c r="F55" s="29" t="s">
        <v>504</v>
      </c>
      <c r="I55" s="29">
        <v>2</v>
      </c>
      <c r="J55" s="29">
        <v>3</v>
      </c>
      <c r="N55" s="29">
        <v>0</v>
      </c>
      <c r="O55" s="17">
        <v>404</v>
      </c>
    </row>
    <row r="56" spans="1:15" x14ac:dyDescent="0.35">
      <c r="A56" s="5" t="s">
        <v>302</v>
      </c>
      <c r="C56" s="29">
        <v>3004</v>
      </c>
      <c r="D56" s="32" t="s">
        <v>409</v>
      </c>
      <c r="E56" s="32" t="s">
        <v>415</v>
      </c>
      <c r="F56" s="29" t="s">
        <v>505</v>
      </c>
      <c r="I56" s="29">
        <v>2</v>
      </c>
      <c r="J56" s="29">
        <v>3</v>
      </c>
      <c r="N56" s="29">
        <v>0</v>
      </c>
      <c r="O56" s="17">
        <v>405</v>
      </c>
    </row>
    <row r="57" spans="1:15" x14ac:dyDescent="0.35">
      <c r="A57" s="5" t="s">
        <v>302</v>
      </c>
      <c r="C57" s="29">
        <v>3005</v>
      </c>
      <c r="D57" s="32" t="s">
        <v>410</v>
      </c>
      <c r="E57" s="32" t="s">
        <v>415</v>
      </c>
      <c r="F57" s="29" t="s">
        <v>506</v>
      </c>
      <c r="I57" s="29">
        <v>2</v>
      </c>
      <c r="J57" s="29">
        <v>3</v>
      </c>
      <c r="N57" s="29">
        <v>0</v>
      </c>
      <c r="O57" s="17">
        <v>406</v>
      </c>
    </row>
    <row r="58" spans="1:15" x14ac:dyDescent="0.35">
      <c r="A58" s="5" t="s">
        <v>302</v>
      </c>
      <c r="C58" s="29">
        <v>3006</v>
      </c>
      <c r="D58" s="32" t="s">
        <v>414</v>
      </c>
      <c r="E58" s="32" t="s">
        <v>415</v>
      </c>
      <c r="F58" s="29" t="s">
        <v>507</v>
      </c>
      <c r="I58" s="29">
        <v>2</v>
      </c>
      <c r="J58" s="29">
        <v>3</v>
      </c>
      <c r="N58" s="29">
        <v>0</v>
      </c>
      <c r="O58" s="17">
        <v>407</v>
      </c>
    </row>
    <row r="59" spans="1:15" x14ac:dyDescent="0.35">
      <c r="A59" s="5" t="s">
        <v>302</v>
      </c>
      <c r="C59" s="29">
        <v>3007</v>
      </c>
      <c r="D59" s="32" t="s">
        <v>411</v>
      </c>
      <c r="E59" s="32" t="s">
        <v>415</v>
      </c>
      <c r="F59" s="29" t="s">
        <v>508</v>
      </c>
      <c r="I59" s="29">
        <v>2</v>
      </c>
      <c r="J59" s="29">
        <v>3</v>
      </c>
      <c r="N59" s="29">
        <v>0</v>
      </c>
      <c r="O59" s="17">
        <v>408</v>
      </c>
    </row>
    <row r="60" spans="1:15" x14ac:dyDescent="0.35">
      <c r="A60" s="5" t="s">
        <v>302</v>
      </c>
      <c r="C60" s="29">
        <v>3008</v>
      </c>
      <c r="D60" s="32" t="s">
        <v>412</v>
      </c>
      <c r="E60" s="32" t="s">
        <v>415</v>
      </c>
      <c r="F60" s="29" t="s">
        <v>509</v>
      </c>
      <c r="I60" s="29">
        <v>2</v>
      </c>
      <c r="J60" s="29">
        <v>3</v>
      </c>
      <c r="N60" s="29">
        <v>0</v>
      </c>
      <c r="O60" s="17">
        <v>409</v>
      </c>
    </row>
    <row r="61" spans="1:15" x14ac:dyDescent="0.35">
      <c r="A61" s="5" t="s">
        <v>302</v>
      </c>
      <c r="C61" s="29">
        <v>3009</v>
      </c>
      <c r="D61" s="32" t="s">
        <v>413</v>
      </c>
      <c r="E61" s="32" t="s">
        <v>415</v>
      </c>
      <c r="F61" s="29" t="s">
        <v>510</v>
      </c>
      <c r="I61" s="29">
        <v>2</v>
      </c>
      <c r="J61" s="29">
        <v>3</v>
      </c>
      <c r="N61" s="29">
        <v>0</v>
      </c>
      <c r="O61" s="17">
        <v>410</v>
      </c>
    </row>
    <row r="63" spans="1:15" x14ac:dyDescent="0.35">
      <c r="A63" s="5" t="s">
        <v>302</v>
      </c>
      <c r="C63" s="29">
        <v>4000</v>
      </c>
      <c r="D63" s="32" t="s">
        <v>488</v>
      </c>
      <c r="E63" s="32" t="s">
        <v>493</v>
      </c>
      <c r="I63" s="29">
        <v>3</v>
      </c>
      <c r="J63" s="29">
        <v>0</v>
      </c>
      <c r="K63" s="29">
        <v>30400</v>
      </c>
      <c r="N63" s="29">
        <v>0</v>
      </c>
      <c r="O63" s="17">
        <v>201</v>
      </c>
    </row>
    <row r="64" spans="1:15" x14ac:dyDescent="0.35">
      <c r="A64" s="5" t="s">
        <v>302</v>
      </c>
      <c r="C64" s="29">
        <v>4001</v>
      </c>
      <c r="D64" s="32" t="s">
        <v>489</v>
      </c>
      <c r="E64" s="32" t="s">
        <v>524</v>
      </c>
      <c r="I64" s="29">
        <v>3</v>
      </c>
      <c r="J64" s="29">
        <v>0</v>
      </c>
      <c r="K64" s="29">
        <v>30401</v>
      </c>
      <c r="N64" s="29">
        <v>0</v>
      </c>
      <c r="O64" s="49">
        <v>202</v>
      </c>
    </row>
    <row r="65" spans="1:15" x14ac:dyDescent="0.35">
      <c r="A65" s="5" t="s">
        <v>302</v>
      </c>
      <c r="C65" s="29">
        <v>4002</v>
      </c>
      <c r="D65" s="32" t="s">
        <v>490</v>
      </c>
      <c r="E65" s="32" t="s">
        <v>494</v>
      </c>
      <c r="I65" s="29">
        <v>3</v>
      </c>
      <c r="J65" s="29">
        <v>0</v>
      </c>
      <c r="K65" s="29">
        <v>30402</v>
      </c>
      <c r="N65" s="29">
        <v>0</v>
      </c>
      <c r="O65" s="17">
        <v>203</v>
      </c>
    </row>
    <row r="66" spans="1:15" x14ac:dyDescent="0.35">
      <c r="A66" s="5" t="s">
        <v>302</v>
      </c>
      <c r="C66" s="29">
        <v>4003</v>
      </c>
      <c r="D66" s="32" t="s">
        <v>491</v>
      </c>
      <c r="E66" s="32" t="s">
        <v>495</v>
      </c>
      <c r="I66" s="29">
        <v>3</v>
      </c>
      <c r="J66" s="29">
        <v>0</v>
      </c>
      <c r="K66" s="29">
        <v>30403</v>
      </c>
      <c r="N66" s="29">
        <v>0</v>
      </c>
      <c r="O66" s="17">
        <v>204</v>
      </c>
    </row>
    <row r="67" spans="1:15" x14ac:dyDescent="0.35">
      <c r="A67" s="5" t="s">
        <v>302</v>
      </c>
      <c r="C67" s="29">
        <v>4004</v>
      </c>
      <c r="D67" s="32" t="s">
        <v>492</v>
      </c>
      <c r="E67" s="32" t="s">
        <v>496</v>
      </c>
      <c r="I67" s="29">
        <v>3</v>
      </c>
      <c r="J67" s="29">
        <v>0</v>
      </c>
      <c r="K67" s="29">
        <v>30404</v>
      </c>
      <c r="N67" s="29">
        <v>0</v>
      </c>
      <c r="O67" s="17">
        <v>205</v>
      </c>
    </row>
    <row r="68" spans="1:15" x14ac:dyDescent="0.35">
      <c r="A68" s="5" t="s">
        <v>302</v>
      </c>
      <c r="C68" s="29">
        <v>4005</v>
      </c>
      <c r="D68" s="44" t="s">
        <v>558</v>
      </c>
      <c r="E68" s="44" t="s">
        <v>558</v>
      </c>
      <c r="I68" s="29">
        <v>3</v>
      </c>
      <c r="J68" s="29">
        <v>0</v>
      </c>
      <c r="K68" s="18">
        <v>30100</v>
      </c>
      <c r="N68" s="29">
        <v>0</v>
      </c>
      <c r="O68" s="18"/>
    </row>
    <row r="69" spans="1:15" x14ac:dyDescent="0.35">
      <c r="A69" s="5" t="s">
        <v>302</v>
      </c>
      <c r="C69" s="29">
        <v>4006</v>
      </c>
      <c r="D69" s="44" t="s">
        <v>559</v>
      </c>
      <c r="E69" s="44" t="s">
        <v>559</v>
      </c>
      <c r="I69" s="29">
        <v>3</v>
      </c>
      <c r="J69" s="29">
        <v>0</v>
      </c>
      <c r="K69" s="18">
        <v>30101</v>
      </c>
      <c r="N69" s="29">
        <v>0</v>
      </c>
      <c r="O69" s="18">
        <v>501</v>
      </c>
    </row>
    <row r="70" spans="1:15" x14ac:dyDescent="0.35">
      <c r="A70" s="5" t="s">
        <v>302</v>
      </c>
      <c r="C70" s="29">
        <v>4007</v>
      </c>
      <c r="D70" s="44" t="s">
        <v>560</v>
      </c>
      <c r="E70" s="44" t="s">
        <v>560</v>
      </c>
      <c r="I70" s="29">
        <v>3</v>
      </c>
      <c r="J70" s="29">
        <v>0</v>
      </c>
      <c r="K70" s="18">
        <v>30102</v>
      </c>
      <c r="N70" s="29">
        <v>0</v>
      </c>
      <c r="O70" s="18"/>
    </row>
    <row r="71" spans="1:15" x14ac:dyDescent="0.35">
      <c r="A71" s="5" t="s">
        <v>302</v>
      </c>
      <c r="C71" s="29">
        <v>4008</v>
      </c>
      <c r="D71" s="44" t="s">
        <v>562</v>
      </c>
      <c r="E71" s="44" t="s">
        <v>562</v>
      </c>
      <c r="I71" s="29">
        <v>3</v>
      </c>
      <c r="J71" s="29">
        <v>0</v>
      </c>
      <c r="K71" s="18">
        <v>30200</v>
      </c>
      <c r="N71" s="29">
        <v>0</v>
      </c>
      <c r="O71" s="18">
        <v>502</v>
      </c>
    </row>
    <row r="72" spans="1:15" x14ac:dyDescent="0.35">
      <c r="A72" s="5" t="s">
        <v>302</v>
      </c>
      <c r="C72" s="29">
        <v>4009</v>
      </c>
      <c r="D72" s="44" t="s">
        <v>552</v>
      </c>
      <c r="E72" s="44" t="s">
        <v>552</v>
      </c>
      <c r="I72" s="29">
        <v>3</v>
      </c>
      <c r="J72" s="29">
        <v>0</v>
      </c>
      <c r="K72" s="18">
        <v>30300</v>
      </c>
      <c r="N72" s="29">
        <v>0</v>
      </c>
      <c r="O72" s="17">
        <v>410</v>
      </c>
    </row>
    <row r="73" spans="1:15" x14ac:dyDescent="0.35">
      <c r="A73" s="5" t="s">
        <v>302</v>
      </c>
      <c r="C73" s="29">
        <v>4010</v>
      </c>
      <c r="D73" s="44" t="s">
        <v>553</v>
      </c>
      <c r="E73" s="44" t="s">
        <v>553</v>
      </c>
      <c r="I73" s="29">
        <v>3</v>
      </c>
      <c r="J73" s="29">
        <v>0</v>
      </c>
      <c r="K73" s="18">
        <v>30301</v>
      </c>
      <c r="N73" s="29">
        <v>0</v>
      </c>
      <c r="O73" s="17">
        <v>403</v>
      </c>
    </row>
    <row r="74" spans="1:15" x14ac:dyDescent="0.35">
      <c r="A74" s="5" t="s">
        <v>302</v>
      </c>
      <c r="C74" s="29">
        <v>4011</v>
      </c>
      <c r="D74" s="44" t="s">
        <v>561</v>
      </c>
      <c r="E74" s="44" t="s">
        <v>561</v>
      </c>
      <c r="I74" s="29">
        <v>3</v>
      </c>
      <c r="J74" s="29">
        <v>0</v>
      </c>
      <c r="K74" s="18">
        <v>30302</v>
      </c>
      <c r="N74" s="29">
        <v>0</v>
      </c>
      <c r="O74" s="17">
        <v>405</v>
      </c>
    </row>
    <row r="75" spans="1:15" x14ac:dyDescent="0.35">
      <c r="K75" s="18"/>
    </row>
    <row r="76" spans="1:15" x14ac:dyDescent="0.35">
      <c r="A76" s="5" t="s">
        <v>302</v>
      </c>
      <c r="C76" s="29">
        <v>5001</v>
      </c>
      <c r="D76" s="44" t="s">
        <v>560</v>
      </c>
      <c r="E76" s="44" t="s">
        <v>560</v>
      </c>
      <c r="I76" s="29">
        <v>3</v>
      </c>
      <c r="J76" s="29">
        <v>0</v>
      </c>
      <c r="K76" s="18">
        <v>30500</v>
      </c>
      <c r="N76" s="29">
        <v>0</v>
      </c>
      <c r="O76" s="18"/>
    </row>
    <row r="77" spans="1:15" x14ac:dyDescent="0.35">
      <c r="D77" s="44"/>
      <c r="E77" s="44"/>
      <c r="K77" s="18"/>
      <c r="O77" s="18"/>
    </row>
    <row r="78" spans="1:15" x14ac:dyDescent="0.35">
      <c r="A78" s="5" t="s">
        <v>302</v>
      </c>
      <c r="C78" s="29">
        <v>5002</v>
      </c>
      <c r="D78" s="44" t="s">
        <v>698</v>
      </c>
      <c r="E78" s="44" t="s">
        <v>560</v>
      </c>
      <c r="I78" s="29">
        <v>3</v>
      </c>
      <c r="J78" s="29">
        <v>0</v>
      </c>
      <c r="K78" s="18">
        <v>30501</v>
      </c>
      <c r="N78" s="29">
        <v>0</v>
      </c>
      <c r="O78" s="18"/>
    </row>
    <row r="80" spans="1:15" x14ac:dyDescent="0.35">
      <c r="A80" s="5" t="s">
        <v>302</v>
      </c>
      <c r="C80" s="29">
        <v>6001</v>
      </c>
      <c r="D80" s="44" t="s">
        <v>735</v>
      </c>
      <c r="E80" s="44" t="s">
        <v>736</v>
      </c>
      <c r="I80" s="29">
        <v>3</v>
      </c>
      <c r="J80" s="29">
        <v>0</v>
      </c>
      <c r="K80" s="18">
        <v>30601</v>
      </c>
      <c r="N80" s="29">
        <v>0</v>
      </c>
      <c r="O80" s="18"/>
    </row>
    <row r="81" spans="1:15" x14ac:dyDescent="0.35">
      <c r="A81" s="5" t="s">
        <v>302</v>
      </c>
      <c r="C81" s="29">
        <v>6002</v>
      </c>
      <c r="D81" s="44" t="s">
        <v>737</v>
      </c>
      <c r="E81" s="44" t="s">
        <v>738</v>
      </c>
      <c r="I81" s="29">
        <v>3</v>
      </c>
      <c r="J81" s="29">
        <v>0</v>
      </c>
      <c r="K81" s="18">
        <v>30602</v>
      </c>
      <c r="N81" s="29">
        <v>0</v>
      </c>
      <c r="O81" s="18"/>
    </row>
    <row r="82" spans="1:15" x14ac:dyDescent="0.35">
      <c r="A82" s="5" t="s">
        <v>302</v>
      </c>
      <c r="C82" s="29">
        <v>6003</v>
      </c>
      <c r="D82" s="44" t="s">
        <v>739</v>
      </c>
      <c r="E82" s="44" t="s">
        <v>740</v>
      </c>
      <c r="I82" s="29">
        <v>3</v>
      </c>
      <c r="J82" s="29">
        <v>0</v>
      </c>
      <c r="K82" s="18">
        <v>30603</v>
      </c>
      <c r="N82" s="29">
        <v>0</v>
      </c>
      <c r="O82" s="18"/>
    </row>
    <row r="83" spans="1:15" x14ac:dyDescent="0.35">
      <c r="A83" s="5" t="s">
        <v>302</v>
      </c>
      <c r="C83" s="29">
        <v>6004</v>
      </c>
      <c r="D83" s="44" t="s">
        <v>750</v>
      </c>
      <c r="E83" s="44" t="s">
        <v>751</v>
      </c>
      <c r="I83" s="29">
        <v>3</v>
      </c>
      <c r="J83" s="29">
        <v>0</v>
      </c>
      <c r="K83" s="18">
        <v>30604</v>
      </c>
      <c r="N83" s="29">
        <v>0</v>
      </c>
      <c r="O83" s="18"/>
    </row>
    <row r="84" spans="1:15" x14ac:dyDescent="0.35">
      <c r="A84" s="5" t="s">
        <v>302</v>
      </c>
      <c r="C84" s="29">
        <v>6005</v>
      </c>
      <c r="D84" s="44" t="s">
        <v>741</v>
      </c>
      <c r="E84" s="44" t="s">
        <v>752</v>
      </c>
      <c r="I84" s="29">
        <v>3</v>
      </c>
      <c r="J84" s="29">
        <v>0</v>
      </c>
      <c r="K84" s="18">
        <v>30605</v>
      </c>
      <c r="N84" s="29">
        <v>0</v>
      </c>
      <c r="O84" s="18"/>
    </row>
    <row r="85" spans="1:15" x14ac:dyDescent="0.35">
      <c r="A85" s="5" t="s">
        <v>302</v>
      </c>
      <c r="C85" s="29">
        <v>6006</v>
      </c>
      <c r="D85" s="44" t="s">
        <v>742</v>
      </c>
      <c r="E85" s="44" t="s">
        <v>743</v>
      </c>
      <c r="I85" s="29">
        <v>3</v>
      </c>
      <c r="J85" s="29">
        <v>0</v>
      </c>
      <c r="K85" s="18">
        <v>30606</v>
      </c>
      <c r="N85" s="29">
        <v>0</v>
      </c>
      <c r="O85" s="18"/>
    </row>
    <row r="87" spans="1:15" x14ac:dyDescent="0.35">
      <c r="A87" s="3" t="s">
        <v>3</v>
      </c>
    </row>
    <row r="88" spans="1:15" x14ac:dyDescent="0.35">
      <c r="A88" s="3" t="s">
        <v>31</v>
      </c>
    </row>
  </sheetData>
  <autoFilter ref="M1:M55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53"/>
  <sheetViews>
    <sheetView zoomScale="85" zoomScaleNormal="85" workbookViewId="0">
      <pane ySplit="6" topLeftCell="A133" activePane="bottomLeft" state="frozen"/>
      <selection pane="bottomLeft" activeCell="G147" sqref="G147"/>
    </sheetView>
  </sheetViews>
  <sheetFormatPr defaultRowHeight="16.5" x14ac:dyDescent="0.15"/>
  <cols>
    <col min="1" max="1" width="9.625" style="35" customWidth="1"/>
    <col min="2" max="2" width="7.5" style="17" bestFit="1" customWidth="1"/>
    <col min="3" max="3" width="13.125" style="17" bestFit="1" customWidth="1"/>
    <col min="4" max="4" width="7.125" style="17" bestFit="1" customWidth="1"/>
    <col min="5" max="5" width="5.5" style="17" bestFit="1" customWidth="1"/>
    <col min="6" max="6" width="9.875" style="17" customWidth="1"/>
    <col min="7" max="7" width="9.125" style="17" bestFit="1" customWidth="1"/>
    <col min="8" max="8" width="15.25" style="17" bestFit="1" customWidth="1"/>
    <col min="9" max="9" width="13.125" style="17" bestFit="1" customWidth="1"/>
    <col min="10" max="10" width="13.375" style="17" bestFit="1" customWidth="1"/>
    <col min="11" max="11" width="11.875" style="17" bestFit="1" customWidth="1"/>
    <col min="12" max="12" width="11.875" style="17" customWidth="1"/>
    <col min="13" max="13" width="10.125" style="17" customWidth="1"/>
    <col min="14" max="14" width="11.625" style="17" bestFit="1" customWidth="1"/>
    <col min="15" max="15" width="11.625" style="17" customWidth="1"/>
    <col min="16" max="16" width="8.5" style="17" bestFit="1" customWidth="1"/>
    <col min="17" max="17" width="16.375" style="17" bestFit="1" customWidth="1"/>
    <col min="18" max="18" width="13.75" style="17" customWidth="1"/>
    <col min="19" max="19" width="12.375" style="17" bestFit="1" customWidth="1"/>
    <col min="20" max="20" width="9.75" style="17" customWidth="1"/>
    <col min="21" max="21" width="13.625" style="17" bestFit="1" customWidth="1"/>
    <col min="22" max="22" width="9.5" style="17" bestFit="1" customWidth="1"/>
    <col min="23" max="23" width="11.5" style="17" bestFit="1" customWidth="1"/>
    <col min="24" max="24" width="10.5" style="17" bestFit="1" customWidth="1"/>
    <col min="25" max="252" width="8.875" style="17"/>
    <col min="253" max="253" width="9.625" style="17" customWidth="1"/>
    <col min="254" max="254" width="11.5" style="17" customWidth="1"/>
    <col min="255" max="255" width="9" style="17" customWidth="1"/>
    <col min="256" max="256" width="13.375" style="17" customWidth="1"/>
    <col min="257" max="257" width="10.5" style="17" customWidth="1"/>
    <col min="258" max="258" width="12.5" style="17" customWidth="1"/>
    <col min="259" max="259" width="13.75" style="17" customWidth="1"/>
    <col min="260" max="260" width="8.875" style="17"/>
    <col min="261" max="261" width="12.375" style="17" customWidth="1"/>
    <col min="262" max="263" width="8.875" style="17"/>
    <col min="264" max="264" width="15.625" style="17" bestFit="1" customWidth="1"/>
    <col min="265" max="265" width="18.875" style="17" customWidth="1"/>
    <col min="266" max="508" width="8.875" style="17"/>
    <col min="509" max="509" width="9.625" style="17" customWidth="1"/>
    <col min="510" max="510" width="11.5" style="17" customWidth="1"/>
    <col min="511" max="511" width="9" style="17" customWidth="1"/>
    <col min="512" max="512" width="13.375" style="17" customWidth="1"/>
    <col min="513" max="513" width="10.5" style="17" customWidth="1"/>
    <col min="514" max="514" width="12.5" style="17" customWidth="1"/>
    <col min="515" max="515" width="13.75" style="17" customWidth="1"/>
    <col min="516" max="516" width="8.875" style="17"/>
    <col min="517" max="517" width="12.375" style="17" customWidth="1"/>
    <col min="518" max="519" width="8.875" style="17"/>
    <col min="520" max="520" width="15.625" style="17" bestFit="1" customWidth="1"/>
    <col min="521" max="521" width="18.875" style="17" customWidth="1"/>
    <col min="522" max="764" width="8.875" style="17"/>
    <col min="765" max="765" width="9.625" style="17" customWidth="1"/>
    <col min="766" max="766" width="11.5" style="17" customWidth="1"/>
    <col min="767" max="767" width="9" style="17" customWidth="1"/>
    <col min="768" max="768" width="13.375" style="17" customWidth="1"/>
    <col min="769" max="769" width="10.5" style="17" customWidth="1"/>
    <col min="770" max="770" width="12.5" style="17" customWidth="1"/>
    <col min="771" max="771" width="13.75" style="17" customWidth="1"/>
    <col min="772" max="772" width="8.875" style="17"/>
    <col min="773" max="773" width="12.375" style="17" customWidth="1"/>
    <col min="774" max="775" width="8.875" style="17"/>
    <col min="776" max="776" width="15.625" style="17" bestFit="1" customWidth="1"/>
    <col min="777" max="777" width="18.875" style="17" customWidth="1"/>
    <col min="778" max="1020" width="8.875" style="17"/>
    <col min="1021" max="1021" width="9.625" style="17" customWidth="1"/>
    <col min="1022" max="1022" width="11.5" style="17" customWidth="1"/>
    <col min="1023" max="1023" width="9" style="17" customWidth="1"/>
    <col min="1024" max="1024" width="13.375" style="17" customWidth="1"/>
    <col min="1025" max="1025" width="10.5" style="17" customWidth="1"/>
    <col min="1026" max="1026" width="12.5" style="17" customWidth="1"/>
    <col min="1027" max="1027" width="13.75" style="17" customWidth="1"/>
    <col min="1028" max="1028" width="8.875" style="17"/>
    <col min="1029" max="1029" width="12.375" style="17" customWidth="1"/>
    <col min="1030" max="1031" width="8.875" style="17"/>
    <col min="1032" max="1032" width="15.625" style="17" bestFit="1" customWidth="1"/>
    <col min="1033" max="1033" width="18.875" style="17" customWidth="1"/>
    <col min="1034" max="1276" width="8.875" style="17"/>
    <col min="1277" max="1277" width="9.625" style="17" customWidth="1"/>
    <col min="1278" max="1278" width="11.5" style="17" customWidth="1"/>
    <col min="1279" max="1279" width="9" style="17" customWidth="1"/>
    <col min="1280" max="1280" width="13.375" style="17" customWidth="1"/>
    <col min="1281" max="1281" width="10.5" style="17" customWidth="1"/>
    <col min="1282" max="1282" width="12.5" style="17" customWidth="1"/>
    <col min="1283" max="1283" width="13.75" style="17" customWidth="1"/>
    <col min="1284" max="1284" width="8.875" style="17"/>
    <col min="1285" max="1285" width="12.375" style="17" customWidth="1"/>
    <col min="1286" max="1287" width="8.875" style="17"/>
    <col min="1288" max="1288" width="15.625" style="17" bestFit="1" customWidth="1"/>
    <col min="1289" max="1289" width="18.875" style="17" customWidth="1"/>
    <col min="1290" max="1532" width="8.875" style="17"/>
    <col min="1533" max="1533" width="9.625" style="17" customWidth="1"/>
    <col min="1534" max="1534" width="11.5" style="17" customWidth="1"/>
    <col min="1535" max="1535" width="9" style="17" customWidth="1"/>
    <col min="1536" max="1536" width="13.375" style="17" customWidth="1"/>
    <col min="1537" max="1537" width="10.5" style="17" customWidth="1"/>
    <col min="1538" max="1538" width="12.5" style="17" customWidth="1"/>
    <col min="1539" max="1539" width="13.75" style="17" customWidth="1"/>
    <col min="1540" max="1540" width="8.875" style="17"/>
    <col min="1541" max="1541" width="12.375" style="17" customWidth="1"/>
    <col min="1542" max="1543" width="8.875" style="17"/>
    <col min="1544" max="1544" width="15.625" style="17" bestFit="1" customWidth="1"/>
    <col min="1545" max="1545" width="18.875" style="17" customWidth="1"/>
    <col min="1546" max="1788" width="8.875" style="17"/>
    <col min="1789" max="1789" width="9.625" style="17" customWidth="1"/>
    <col min="1790" max="1790" width="11.5" style="17" customWidth="1"/>
    <col min="1791" max="1791" width="9" style="17" customWidth="1"/>
    <col min="1792" max="1792" width="13.375" style="17" customWidth="1"/>
    <col min="1793" max="1793" width="10.5" style="17" customWidth="1"/>
    <col min="1794" max="1794" width="12.5" style="17" customWidth="1"/>
    <col min="1795" max="1795" width="13.75" style="17" customWidth="1"/>
    <col min="1796" max="1796" width="8.875" style="17"/>
    <col min="1797" max="1797" width="12.375" style="17" customWidth="1"/>
    <col min="1798" max="1799" width="8.875" style="17"/>
    <col min="1800" max="1800" width="15.625" style="17" bestFit="1" customWidth="1"/>
    <col min="1801" max="1801" width="18.875" style="17" customWidth="1"/>
    <col min="1802" max="2044" width="8.875" style="17"/>
    <col min="2045" max="2045" width="9.625" style="17" customWidth="1"/>
    <col min="2046" max="2046" width="11.5" style="17" customWidth="1"/>
    <col min="2047" max="2047" width="9" style="17" customWidth="1"/>
    <col min="2048" max="2048" width="13.375" style="17" customWidth="1"/>
    <col min="2049" max="2049" width="10.5" style="17" customWidth="1"/>
    <col min="2050" max="2050" width="12.5" style="17" customWidth="1"/>
    <col min="2051" max="2051" width="13.75" style="17" customWidth="1"/>
    <col min="2052" max="2052" width="8.875" style="17"/>
    <col min="2053" max="2053" width="12.375" style="17" customWidth="1"/>
    <col min="2054" max="2055" width="8.875" style="17"/>
    <col min="2056" max="2056" width="15.625" style="17" bestFit="1" customWidth="1"/>
    <col min="2057" max="2057" width="18.875" style="17" customWidth="1"/>
    <col min="2058" max="2300" width="8.875" style="17"/>
    <col min="2301" max="2301" width="9.625" style="17" customWidth="1"/>
    <col min="2302" max="2302" width="11.5" style="17" customWidth="1"/>
    <col min="2303" max="2303" width="9" style="17" customWidth="1"/>
    <col min="2304" max="2304" width="13.375" style="17" customWidth="1"/>
    <col min="2305" max="2305" width="10.5" style="17" customWidth="1"/>
    <col min="2306" max="2306" width="12.5" style="17" customWidth="1"/>
    <col min="2307" max="2307" width="13.75" style="17" customWidth="1"/>
    <col min="2308" max="2308" width="8.875" style="17"/>
    <col min="2309" max="2309" width="12.375" style="17" customWidth="1"/>
    <col min="2310" max="2311" width="8.875" style="17"/>
    <col min="2312" max="2312" width="15.625" style="17" bestFit="1" customWidth="1"/>
    <col min="2313" max="2313" width="18.875" style="17" customWidth="1"/>
    <col min="2314" max="2556" width="8.875" style="17"/>
    <col min="2557" max="2557" width="9.625" style="17" customWidth="1"/>
    <col min="2558" max="2558" width="11.5" style="17" customWidth="1"/>
    <col min="2559" max="2559" width="9" style="17" customWidth="1"/>
    <col min="2560" max="2560" width="13.375" style="17" customWidth="1"/>
    <col min="2561" max="2561" width="10.5" style="17" customWidth="1"/>
    <col min="2562" max="2562" width="12.5" style="17" customWidth="1"/>
    <col min="2563" max="2563" width="13.75" style="17" customWidth="1"/>
    <col min="2564" max="2564" width="8.875" style="17"/>
    <col min="2565" max="2565" width="12.375" style="17" customWidth="1"/>
    <col min="2566" max="2567" width="8.875" style="17"/>
    <col min="2568" max="2568" width="15.625" style="17" bestFit="1" customWidth="1"/>
    <col min="2569" max="2569" width="18.875" style="17" customWidth="1"/>
    <col min="2570" max="2812" width="8.875" style="17"/>
    <col min="2813" max="2813" width="9.625" style="17" customWidth="1"/>
    <col min="2814" max="2814" width="11.5" style="17" customWidth="1"/>
    <col min="2815" max="2815" width="9" style="17" customWidth="1"/>
    <col min="2816" max="2816" width="13.375" style="17" customWidth="1"/>
    <col min="2817" max="2817" width="10.5" style="17" customWidth="1"/>
    <col min="2818" max="2818" width="12.5" style="17" customWidth="1"/>
    <col min="2819" max="2819" width="13.75" style="17" customWidth="1"/>
    <col min="2820" max="2820" width="8.875" style="17"/>
    <col min="2821" max="2821" width="12.375" style="17" customWidth="1"/>
    <col min="2822" max="2823" width="8.875" style="17"/>
    <col min="2824" max="2824" width="15.625" style="17" bestFit="1" customWidth="1"/>
    <col min="2825" max="2825" width="18.875" style="17" customWidth="1"/>
    <col min="2826" max="3068" width="8.875" style="17"/>
    <col min="3069" max="3069" width="9.625" style="17" customWidth="1"/>
    <col min="3070" max="3070" width="11.5" style="17" customWidth="1"/>
    <col min="3071" max="3071" width="9" style="17" customWidth="1"/>
    <col min="3072" max="3072" width="13.375" style="17" customWidth="1"/>
    <col min="3073" max="3073" width="10.5" style="17" customWidth="1"/>
    <col min="3074" max="3074" width="12.5" style="17" customWidth="1"/>
    <col min="3075" max="3075" width="13.75" style="17" customWidth="1"/>
    <col min="3076" max="3076" width="8.875" style="17"/>
    <col min="3077" max="3077" width="12.375" style="17" customWidth="1"/>
    <col min="3078" max="3079" width="8.875" style="17"/>
    <col min="3080" max="3080" width="15.625" style="17" bestFit="1" customWidth="1"/>
    <col min="3081" max="3081" width="18.875" style="17" customWidth="1"/>
    <col min="3082" max="3324" width="8.875" style="17"/>
    <col min="3325" max="3325" width="9.625" style="17" customWidth="1"/>
    <col min="3326" max="3326" width="11.5" style="17" customWidth="1"/>
    <col min="3327" max="3327" width="9" style="17" customWidth="1"/>
    <col min="3328" max="3328" width="13.375" style="17" customWidth="1"/>
    <col min="3329" max="3329" width="10.5" style="17" customWidth="1"/>
    <col min="3330" max="3330" width="12.5" style="17" customWidth="1"/>
    <col min="3331" max="3331" width="13.75" style="17" customWidth="1"/>
    <col min="3332" max="3332" width="8.875" style="17"/>
    <col min="3333" max="3333" width="12.375" style="17" customWidth="1"/>
    <col min="3334" max="3335" width="8.875" style="17"/>
    <col min="3336" max="3336" width="15.625" style="17" bestFit="1" customWidth="1"/>
    <col min="3337" max="3337" width="18.875" style="17" customWidth="1"/>
    <col min="3338" max="3580" width="8.875" style="17"/>
    <col min="3581" max="3581" width="9.625" style="17" customWidth="1"/>
    <col min="3582" max="3582" width="11.5" style="17" customWidth="1"/>
    <col min="3583" max="3583" width="9" style="17" customWidth="1"/>
    <col min="3584" max="3584" width="13.375" style="17" customWidth="1"/>
    <col min="3585" max="3585" width="10.5" style="17" customWidth="1"/>
    <col min="3586" max="3586" width="12.5" style="17" customWidth="1"/>
    <col min="3587" max="3587" width="13.75" style="17" customWidth="1"/>
    <col min="3588" max="3588" width="8.875" style="17"/>
    <col min="3589" max="3589" width="12.375" style="17" customWidth="1"/>
    <col min="3590" max="3591" width="8.875" style="17"/>
    <col min="3592" max="3592" width="15.625" style="17" bestFit="1" customWidth="1"/>
    <col min="3593" max="3593" width="18.875" style="17" customWidth="1"/>
    <col min="3594" max="3836" width="8.875" style="17"/>
    <col min="3837" max="3837" width="9.625" style="17" customWidth="1"/>
    <col min="3838" max="3838" width="11.5" style="17" customWidth="1"/>
    <col min="3839" max="3839" width="9" style="17" customWidth="1"/>
    <col min="3840" max="3840" width="13.375" style="17" customWidth="1"/>
    <col min="3841" max="3841" width="10.5" style="17" customWidth="1"/>
    <col min="3842" max="3842" width="12.5" style="17" customWidth="1"/>
    <col min="3843" max="3843" width="13.75" style="17" customWidth="1"/>
    <col min="3844" max="3844" width="8.875" style="17"/>
    <col min="3845" max="3845" width="12.375" style="17" customWidth="1"/>
    <col min="3846" max="3847" width="8.875" style="17"/>
    <col min="3848" max="3848" width="15.625" style="17" bestFit="1" customWidth="1"/>
    <col min="3849" max="3849" width="18.875" style="17" customWidth="1"/>
    <col min="3850" max="4092" width="8.875" style="17"/>
    <col min="4093" max="4093" width="9.625" style="17" customWidth="1"/>
    <col min="4094" max="4094" width="11.5" style="17" customWidth="1"/>
    <col min="4095" max="4095" width="9" style="17" customWidth="1"/>
    <col min="4096" max="4096" width="13.375" style="17" customWidth="1"/>
    <col min="4097" max="4097" width="10.5" style="17" customWidth="1"/>
    <col min="4098" max="4098" width="12.5" style="17" customWidth="1"/>
    <col min="4099" max="4099" width="13.75" style="17" customWidth="1"/>
    <col min="4100" max="4100" width="8.875" style="17"/>
    <col min="4101" max="4101" width="12.375" style="17" customWidth="1"/>
    <col min="4102" max="4103" width="8.875" style="17"/>
    <col min="4104" max="4104" width="15.625" style="17" bestFit="1" customWidth="1"/>
    <col min="4105" max="4105" width="18.875" style="17" customWidth="1"/>
    <col min="4106" max="4348" width="8.875" style="17"/>
    <col min="4349" max="4349" width="9.625" style="17" customWidth="1"/>
    <col min="4350" max="4350" width="11.5" style="17" customWidth="1"/>
    <col min="4351" max="4351" width="9" style="17" customWidth="1"/>
    <col min="4352" max="4352" width="13.375" style="17" customWidth="1"/>
    <col min="4353" max="4353" width="10.5" style="17" customWidth="1"/>
    <col min="4354" max="4354" width="12.5" style="17" customWidth="1"/>
    <col min="4355" max="4355" width="13.75" style="17" customWidth="1"/>
    <col min="4356" max="4356" width="8.875" style="17"/>
    <col min="4357" max="4357" width="12.375" style="17" customWidth="1"/>
    <col min="4358" max="4359" width="8.875" style="17"/>
    <col min="4360" max="4360" width="15.625" style="17" bestFit="1" customWidth="1"/>
    <col min="4361" max="4361" width="18.875" style="17" customWidth="1"/>
    <col min="4362" max="4604" width="8.875" style="17"/>
    <col min="4605" max="4605" width="9.625" style="17" customWidth="1"/>
    <col min="4606" max="4606" width="11.5" style="17" customWidth="1"/>
    <col min="4607" max="4607" width="9" style="17" customWidth="1"/>
    <col min="4608" max="4608" width="13.375" style="17" customWidth="1"/>
    <col min="4609" max="4609" width="10.5" style="17" customWidth="1"/>
    <col min="4610" max="4610" width="12.5" style="17" customWidth="1"/>
    <col min="4611" max="4611" width="13.75" style="17" customWidth="1"/>
    <col min="4612" max="4612" width="8.875" style="17"/>
    <col min="4613" max="4613" width="12.375" style="17" customWidth="1"/>
    <col min="4614" max="4615" width="8.875" style="17"/>
    <col min="4616" max="4616" width="15.625" style="17" bestFit="1" customWidth="1"/>
    <col min="4617" max="4617" width="18.875" style="17" customWidth="1"/>
    <col min="4618" max="4860" width="8.875" style="17"/>
    <col min="4861" max="4861" width="9.625" style="17" customWidth="1"/>
    <col min="4862" max="4862" width="11.5" style="17" customWidth="1"/>
    <col min="4863" max="4863" width="9" style="17" customWidth="1"/>
    <col min="4864" max="4864" width="13.375" style="17" customWidth="1"/>
    <col min="4865" max="4865" width="10.5" style="17" customWidth="1"/>
    <col min="4866" max="4866" width="12.5" style="17" customWidth="1"/>
    <col min="4867" max="4867" width="13.75" style="17" customWidth="1"/>
    <col min="4868" max="4868" width="8.875" style="17"/>
    <col min="4869" max="4869" width="12.375" style="17" customWidth="1"/>
    <col min="4870" max="4871" width="8.875" style="17"/>
    <col min="4872" max="4872" width="15.625" style="17" bestFit="1" customWidth="1"/>
    <col min="4873" max="4873" width="18.875" style="17" customWidth="1"/>
    <col min="4874" max="5116" width="8.875" style="17"/>
    <col min="5117" max="5117" width="9.625" style="17" customWidth="1"/>
    <col min="5118" max="5118" width="11.5" style="17" customWidth="1"/>
    <col min="5119" max="5119" width="9" style="17" customWidth="1"/>
    <col min="5120" max="5120" width="13.375" style="17" customWidth="1"/>
    <col min="5121" max="5121" width="10.5" style="17" customWidth="1"/>
    <col min="5122" max="5122" width="12.5" style="17" customWidth="1"/>
    <col min="5123" max="5123" width="13.75" style="17" customWidth="1"/>
    <col min="5124" max="5124" width="8.875" style="17"/>
    <col min="5125" max="5125" width="12.375" style="17" customWidth="1"/>
    <col min="5126" max="5127" width="8.875" style="17"/>
    <col min="5128" max="5128" width="15.625" style="17" bestFit="1" customWidth="1"/>
    <col min="5129" max="5129" width="18.875" style="17" customWidth="1"/>
    <col min="5130" max="5372" width="8.875" style="17"/>
    <col min="5373" max="5373" width="9.625" style="17" customWidth="1"/>
    <col min="5374" max="5374" width="11.5" style="17" customWidth="1"/>
    <col min="5375" max="5375" width="9" style="17" customWidth="1"/>
    <col min="5376" max="5376" width="13.375" style="17" customWidth="1"/>
    <col min="5377" max="5377" width="10.5" style="17" customWidth="1"/>
    <col min="5378" max="5378" width="12.5" style="17" customWidth="1"/>
    <col min="5379" max="5379" width="13.75" style="17" customWidth="1"/>
    <col min="5380" max="5380" width="8.875" style="17"/>
    <col min="5381" max="5381" width="12.375" style="17" customWidth="1"/>
    <col min="5382" max="5383" width="8.875" style="17"/>
    <col min="5384" max="5384" width="15.625" style="17" bestFit="1" customWidth="1"/>
    <col min="5385" max="5385" width="18.875" style="17" customWidth="1"/>
    <col min="5386" max="5628" width="8.875" style="17"/>
    <col min="5629" max="5629" width="9.625" style="17" customWidth="1"/>
    <col min="5630" max="5630" width="11.5" style="17" customWidth="1"/>
    <col min="5631" max="5631" width="9" style="17" customWidth="1"/>
    <col min="5632" max="5632" width="13.375" style="17" customWidth="1"/>
    <col min="5633" max="5633" width="10.5" style="17" customWidth="1"/>
    <col min="5634" max="5634" width="12.5" style="17" customWidth="1"/>
    <col min="5635" max="5635" width="13.75" style="17" customWidth="1"/>
    <col min="5636" max="5636" width="8.875" style="17"/>
    <col min="5637" max="5637" width="12.375" style="17" customWidth="1"/>
    <col min="5638" max="5639" width="8.875" style="17"/>
    <col min="5640" max="5640" width="15.625" style="17" bestFit="1" customWidth="1"/>
    <col min="5641" max="5641" width="18.875" style="17" customWidth="1"/>
    <col min="5642" max="5884" width="8.875" style="17"/>
    <col min="5885" max="5885" width="9.625" style="17" customWidth="1"/>
    <col min="5886" max="5886" width="11.5" style="17" customWidth="1"/>
    <col min="5887" max="5887" width="9" style="17" customWidth="1"/>
    <col min="5888" max="5888" width="13.375" style="17" customWidth="1"/>
    <col min="5889" max="5889" width="10.5" style="17" customWidth="1"/>
    <col min="5890" max="5890" width="12.5" style="17" customWidth="1"/>
    <col min="5891" max="5891" width="13.75" style="17" customWidth="1"/>
    <col min="5892" max="5892" width="8.875" style="17"/>
    <col min="5893" max="5893" width="12.375" style="17" customWidth="1"/>
    <col min="5894" max="5895" width="8.875" style="17"/>
    <col min="5896" max="5896" width="15.625" style="17" bestFit="1" customWidth="1"/>
    <col min="5897" max="5897" width="18.875" style="17" customWidth="1"/>
    <col min="5898" max="6140" width="8.875" style="17"/>
    <col min="6141" max="6141" width="9.625" style="17" customWidth="1"/>
    <col min="6142" max="6142" width="11.5" style="17" customWidth="1"/>
    <col min="6143" max="6143" width="9" style="17" customWidth="1"/>
    <col min="6144" max="6144" width="13.375" style="17" customWidth="1"/>
    <col min="6145" max="6145" width="10.5" style="17" customWidth="1"/>
    <col min="6146" max="6146" width="12.5" style="17" customWidth="1"/>
    <col min="6147" max="6147" width="13.75" style="17" customWidth="1"/>
    <col min="6148" max="6148" width="8.875" style="17"/>
    <col min="6149" max="6149" width="12.375" style="17" customWidth="1"/>
    <col min="6150" max="6151" width="8.875" style="17"/>
    <col min="6152" max="6152" width="15.625" style="17" bestFit="1" customWidth="1"/>
    <col min="6153" max="6153" width="18.875" style="17" customWidth="1"/>
    <col min="6154" max="6396" width="8.875" style="17"/>
    <col min="6397" max="6397" width="9.625" style="17" customWidth="1"/>
    <col min="6398" max="6398" width="11.5" style="17" customWidth="1"/>
    <col min="6399" max="6399" width="9" style="17" customWidth="1"/>
    <col min="6400" max="6400" width="13.375" style="17" customWidth="1"/>
    <col min="6401" max="6401" width="10.5" style="17" customWidth="1"/>
    <col min="6402" max="6402" width="12.5" style="17" customWidth="1"/>
    <col min="6403" max="6403" width="13.75" style="17" customWidth="1"/>
    <col min="6404" max="6404" width="8.875" style="17"/>
    <col min="6405" max="6405" width="12.375" style="17" customWidth="1"/>
    <col min="6406" max="6407" width="8.875" style="17"/>
    <col min="6408" max="6408" width="15.625" style="17" bestFit="1" customWidth="1"/>
    <col min="6409" max="6409" width="18.875" style="17" customWidth="1"/>
    <col min="6410" max="6652" width="8.875" style="17"/>
    <col min="6653" max="6653" width="9.625" style="17" customWidth="1"/>
    <col min="6654" max="6654" width="11.5" style="17" customWidth="1"/>
    <col min="6655" max="6655" width="9" style="17" customWidth="1"/>
    <col min="6656" max="6656" width="13.375" style="17" customWidth="1"/>
    <col min="6657" max="6657" width="10.5" style="17" customWidth="1"/>
    <col min="6658" max="6658" width="12.5" style="17" customWidth="1"/>
    <col min="6659" max="6659" width="13.75" style="17" customWidth="1"/>
    <col min="6660" max="6660" width="8.875" style="17"/>
    <col min="6661" max="6661" width="12.375" style="17" customWidth="1"/>
    <col min="6662" max="6663" width="8.875" style="17"/>
    <col min="6664" max="6664" width="15.625" style="17" bestFit="1" customWidth="1"/>
    <col min="6665" max="6665" width="18.875" style="17" customWidth="1"/>
    <col min="6666" max="6908" width="8.875" style="17"/>
    <col min="6909" max="6909" width="9.625" style="17" customWidth="1"/>
    <col min="6910" max="6910" width="11.5" style="17" customWidth="1"/>
    <col min="6911" max="6911" width="9" style="17" customWidth="1"/>
    <col min="6912" max="6912" width="13.375" style="17" customWidth="1"/>
    <col min="6913" max="6913" width="10.5" style="17" customWidth="1"/>
    <col min="6914" max="6914" width="12.5" style="17" customWidth="1"/>
    <col min="6915" max="6915" width="13.75" style="17" customWidth="1"/>
    <col min="6916" max="6916" width="8.875" style="17"/>
    <col min="6917" max="6917" width="12.375" style="17" customWidth="1"/>
    <col min="6918" max="6919" width="8.875" style="17"/>
    <col min="6920" max="6920" width="15.625" style="17" bestFit="1" customWidth="1"/>
    <col min="6921" max="6921" width="18.875" style="17" customWidth="1"/>
    <col min="6922" max="7164" width="8.875" style="17"/>
    <col min="7165" max="7165" width="9.625" style="17" customWidth="1"/>
    <col min="7166" max="7166" width="11.5" style="17" customWidth="1"/>
    <col min="7167" max="7167" width="9" style="17" customWidth="1"/>
    <col min="7168" max="7168" width="13.375" style="17" customWidth="1"/>
    <col min="7169" max="7169" width="10.5" style="17" customWidth="1"/>
    <col min="7170" max="7170" width="12.5" style="17" customWidth="1"/>
    <col min="7171" max="7171" width="13.75" style="17" customWidth="1"/>
    <col min="7172" max="7172" width="8.875" style="17"/>
    <col min="7173" max="7173" width="12.375" style="17" customWidth="1"/>
    <col min="7174" max="7175" width="8.875" style="17"/>
    <col min="7176" max="7176" width="15.625" style="17" bestFit="1" customWidth="1"/>
    <col min="7177" max="7177" width="18.875" style="17" customWidth="1"/>
    <col min="7178" max="7420" width="8.875" style="17"/>
    <col min="7421" max="7421" width="9.625" style="17" customWidth="1"/>
    <col min="7422" max="7422" width="11.5" style="17" customWidth="1"/>
    <col min="7423" max="7423" width="9" style="17" customWidth="1"/>
    <col min="7424" max="7424" width="13.375" style="17" customWidth="1"/>
    <col min="7425" max="7425" width="10.5" style="17" customWidth="1"/>
    <col min="7426" max="7426" width="12.5" style="17" customWidth="1"/>
    <col min="7427" max="7427" width="13.75" style="17" customWidth="1"/>
    <col min="7428" max="7428" width="8.875" style="17"/>
    <col min="7429" max="7429" width="12.375" style="17" customWidth="1"/>
    <col min="7430" max="7431" width="8.875" style="17"/>
    <col min="7432" max="7432" width="15.625" style="17" bestFit="1" customWidth="1"/>
    <col min="7433" max="7433" width="18.875" style="17" customWidth="1"/>
    <col min="7434" max="7676" width="8.875" style="17"/>
    <col min="7677" max="7677" width="9.625" style="17" customWidth="1"/>
    <col min="7678" max="7678" width="11.5" style="17" customWidth="1"/>
    <col min="7679" max="7679" width="9" style="17" customWidth="1"/>
    <col min="7680" max="7680" width="13.375" style="17" customWidth="1"/>
    <col min="7681" max="7681" width="10.5" style="17" customWidth="1"/>
    <col min="7682" max="7682" width="12.5" style="17" customWidth="1"/>
    <col min="7683" max="7683" width="13.75" style="17" customWidth="1"/>
    <col min="7684" max="7684" width="8.875" style="17"/>
    <col min="7685" max="7685" width="12.375" style="17" customWidth="1"/>
    <col min="7686" max="7687" width="8.875" style="17"/>
    <col min="7688" max="7688" width="15.625" style="17" bestFit="1" customWidth="1"/>
    <col min="7689" max="7689" width="18.875" style="17" customWidth="1"/>
    <col min="7690" max="7932" width="8.875" style="17"/>
    <col min="7933" max="7933" width="9.625" style="17" customWidth="1"/>
    <col min="7934" max="7934" width="11.5" style="17" customWidth="1"/>
    <col min="7935" max="7935" width="9" style="17" customWidth="1"/>
    <col min="7936" max="7936" width="13.375" style="17" customWidth="1"/>
    <col min="7937" max="7937" width="10.5" style="17" customWidth="1"/>
    <col min="7938" max="7938" width="12.5" style="17" customWidth="1"/>
    <col min="7939" max="7939" width="13.75" style="17" customWidth="1"/>
    <col min="7940" max="7940" width="8.875" style="17"/>
    <col min="7941" max="7941" width="12.375" style="17" customWidth="1"/>
    <col min="7942" max="7943" width="8.875" style="17"/>
    <col min="7944" max="7944" width="15.625" style="17" bestFit="1" customWidth="1"/>
    <col min="7945" max="7945" width="18.875" style="17" customWidth="1"/>
    <col min="7946" max="8188" width="8.875" style="17"/>
    <col min="8189" max="8189" width="9.625" style="17" customWidth="1"/>
    <col min="8190" max="8190" width="11.5" style="17" customWidth="1"/>
    <col min="8191" max="8191" width="9" style="17" customWidth="1"/>
    <col min="8192" max="8192" width="13.375" style="17" customWidth="1"/>
    <col min="8193" max="8193" width="10.5" style="17" customWidth="1"/>
    <col min="8194" max="8194" width="12.5" style="17" customWidth="1"/>
    <col min="8195" max="8195" width="13.75" style="17" customWidth="1"/>
    <col min="8196" max="8196" width="8.875" style="17"/>
    <col min="8197" max="8197" width="12.375" style="17" customWidth="1"/>
    <col min="8198" max="8199" width="8.875" style="17"/>
    <col min="8200" max="8200" width="15.625" style="17" bestFit="1" customWidth="1"/>
    <col min="8201" max="8201" width="18.875" style="17" customWidth="1"/>
    <col min="8202" max="8444" width="8.875" style="17"/>
    <col min="8445" max="8445" width="9.625" style="17" customWidth="1"/>
    <col min="8446" max="8446" width="11.5" style="17" customWidth="1"/>
    <col min="8447" max="8447" width="9" style="17" customWidth="1"/>
    <col min="8448" max="8448" width="13.375" style="17" customWidth="1"/>
    <col min="8449" max="8449" width="10.5" style="17" customWidth="1"/>
    <col min="8450" max="8450" width="12.5" style="17" customWidth="1"/>
    <col min="8451" max="8451" width="13.75" style="17" customWidth="1"/>
    <col min="8452" max="8452" width="8.875" style="17"/>
    <col min="8453" max="8453" width="12.375" style="17" customWidth="1"/>
    <col min="8454" max="8455" width="8.875" style="17"/>
    <col min="8456" max="8456" width="15.625" style="17" bestFit="1" customWidth="1"/>
    <col min="8457" max="8457" width="18.875" style="17" customWidth="1"/>
    <col min="8458" max="8700" width="8.875" style="17"/>
    <col min="8701" max="8701" width="9.625" style="17" customWidth="1"/>
    <col min="8702" max="8702" width="11.5" style="17" customWidth="1"/>
    <col min="8703" max="8703" width="9" style="17" customWidth="1"/>
    <col min="8704" max="8704" width="13.375" style="17" customWidth="1"/>
    <col min="8705" max="8705" width="10.5" style="17" customWidth="1"/>
    <col min="8706" max="8706" width="12.5" style="17" customWidth="1"/>
    <col min="8707" max="8707" width="13.75" style="17" customWidth="1"/>
    <col min="8708" max="8708" width="8.875" style="17"/>
    <col min="8709" max="8709" width="12.375" style="17" customWidth="1"/>
    <col min="8710" max="8711" width="8.875" style="17"/>
    <col min="8712" max="8712" width="15.625" style="17" bestFit="1" customWidth="1"/>
    <col min="8713" max="8713" width="18.875" style="17" customWidth="1"/>
    <col min="8714" max="8956" width="8.875" style="17"/>
    <col min="8957" max="8957" width="9.625" style="17" customWidth="1"/>
    <col min="8958" max="8958" width="11.5" style="17" customWidth="1"/>
    <col min="8959" max="8959" width="9" style="17" customWidth="1"/>
    <col min="8960" max="8960" width="13.375" style="17" customWidth="1"/>
    <col min="8961" max="8961" width="10.5" style="17" customWidth="1"/>
    <col min="8962" max="8962" width="12.5" style="17" customWidth="1"/>
    <col min="8963" max="8963" width="13.75" style="17" customWidth="1"/>
    <col min="8964" max="8964" width="8.875" style="17"/>
    <col min="8965" max="8965" width="12.375" style="17" customWidth="1"/>
    <col min="8966" max="8967" width="8.875" style="17"/>
    <col min="8968" max="8968" width="15.625" style="17" bestFit="1" customWidth="1"/>
    <col min="8969" max="8969" width="18.875" style="17" customWidth="1"/>
    <col min="8970" max="9212" width="8.875" style="17"/>
    <col min="9213" max="9213" width="9.625" style="17" customWidth="1"/>
    <col min="9214" max="9214" width="11.5" style="17" customWidth="1"/>
    <col min="9215" max="9215" width="9" style="17" customWidth="1"/>
    <col min="9216" max="9216" width="13.375" style="17" customWidth="1"/>
    <col min="9217" max="9217" width="10.5" style="17" customWidth="1"/>
    <col min="9218" max="9218" width="12.5" style="17" customWidth="1"/>
    <col min="9219" max="9219" width="13.75" style="17" customWidth="1"/>
    <col min="9220" max="9220" width="8.875" style="17"/>
    <col min="9221" max="9221" width="12.375" style="17" customWidth="1"/>
    <col min="9222" max="9223" width="8.875" style="17"/>
    <col min="9224" max="9224" width="15.625" style="17" bestFit="1" customWidth="1"/>
    <col min="9225" max="9225" width="18.875" style="17" customWidth="1"/>
    <col min="9226" max="9468" width="8.875" style="17"/>
    <col min="9469" max="9469" width="9.625" style="17" customWidth="1"/>
    <col min="9470" max="9470" width="11.5" style="17" customWidth="1"/>
    <col min="9471" max="9471" width="9" style="17" customWidth="1"/>
    <col min="9472" max="9472" width="13.375" style="17" customWidth="1"/>
    <col min="9473" max="9473" width="10.5" style="17" customWidth="1"/>
    <col min="9474" max="9474" width="12.5" style="17" customWidth="1"/>
    <col min="9475" max="9475" width="13.75" style="17" customWidth="1"/>
    <col min="9476" max="9476" width="8.875" style="17"/>
    <col min="9477" max="9477" width="12.375" style="17" customWidth="1"/>
    <col min="9478" max="9479" width="8.875" style="17"/>
    <col min="9480" max="9480" width="15.625" style="17" bestFit="1" customWidth="1"/>
    <col min="9481" max="9481" width="18.875" style="17" customWidth="1"/>
    <col min="9482" max="9724" width="8.875" style="17"/>
    <col min="9725" max="9725" width="9.625" style="17" customWidth="1"/>
    <col min="9726" max="9726" width="11.5" style="17" customWidth="1"/>
    <col min="9727" max="9727" width="9" style="17" customWidth="1"/>
    <col min="9728" max="9728" width="13.375" style="17" customWidth="1"/>
    <col min="9729" max="9729" width="10.5" style="17" customWidth="1"/>
    <col min="9730" max="9730" width="12.5" style="17" customWidth="1"/>
    <col min="9731" max="9731" width="13.75" style="17" customWidth="1"/>
    <col min="9732" max="9732" width="8.875" style="17"/>
    <col min="9733" max="9733" width="12.375" style="17" customWidth="1"/>
    <col min="9734" max="9735" width="8.875" style="17"/>
    <col min="9736" max="9736" width="15.625" style="17" bestFit="1" customWidth="1"/>
    <col min="9737" max="9737" width="18.875" style="17" customWidth="1"/>
    <col min="9738" max="9980" width="8.875" style="17"/>
    <col min="9981" max="9981" width="9.625" style="17" customWidth="1"/>
    <col min="9982" max="9982" width="11.5" style="17" customWidth="1"/>
    <col min="9983" max="9983" width="9" style="17" customWidth="1"/>
    <col min="9984" max="9984" width="13.375" style="17" customWidth="1"/>
    <col min="9985" max="9985" width="10.5" style="17" customWidth="1"/>
    <col min="9986" max="9986" width="12.5" style="17" customWidth="1"/>
    <col min="9987" max="9987" width="13.75" style="17" customWidth="1"/>
    <col min="9988" max="9988" width="8.875" style="17"/>
    <col min="9989" max="9989" width="12.375" style="17" customWidth="1"/>
    <col min="9990" max="9991" width="8.875" style="17"/>
    <col min="9992" max="9992" width="15.625" style="17" bestFit="1" customWidth="1"/>
    <col min="9993" max="9993" width="18.875" style="17" customWidth="1"/>
    <col min="9994" max="10236" width="8.875" style="17"/>
    <col min="10237" max="10237" width="9.625" style="17" customWidth="1"/>
    <col min="10238" max="10238" width="11.5" style="17" customWidth="1"/>
    <col min="10239" max="10239" width="9" style="17" customWidth="1"/>
    <col min="10240" max="10240" width="13.375" style="17" customWidth="1"/>
    <col min="10241" max="10241" width="10.5" style="17" customWidth="1"/>
    <col min="10242" max="10242" width="12.5" style="17" customWidth="1"/>
    <col min="10243" max="10243" width="13.75" style="17" customWidth="1"/>
    <col min="10244" max="10244" width="8.875" style="17"/>
    <col min="10245" max="10245" width="12.375" style="17" customWidth="1"/>
    <col min="10246" max="10247" width="8.875" style="17"/>
    <col min="10248" max="10248" width="15.625" style="17" bestFit="1" customWidth="1"/>
    <col min="10249" max="10249" width="18.875" style="17" customWidth="1"/>
    <col min="10250" max="10492" width="8.875" style="17"/>
    <col min="10493" max="10493" width="9.625" style="17" customWidth="1"/>
    <col min="10494" max="10494" width="11.5" style="17" customWidth="1"/>
    <col min="10495" max="10495" width="9" style="17" customWidth="1"/>
    <col min="10496" max="10496" width="13.375" style="17" customWidth="1"/>
    <col min="10497" max="10497" width="10.5" style="17" customWidth="1"/>
    <col min="10498" max="10498" width="12.5" style="17" customWidth="1"/>
    <col min="10499" max="10499" width="13.75" style="17" customWidth="1"/>
    <col min="10500" max="10500" width="8.875" style="17"/>
    <col min="10501" max="10501" width="12.375" style="17" customWidth="1"/>
    <col min="10502" max="10503" width="8.875" style="17"/>
    <col min="10504" max="10504" width="15.625" style="17" bestFit="1" customWidth="1"/>
    <col min="10505" max="10505" width="18.875" style="17" customWidth="1"/>
    <col min="10506" max="10748" width="8.875" style="17"/>
    <col min="10749" max="10749" width="9.625" style="17" customWidth="1"/>
    <col min="10750" max="10750" width="11.5" style="17" customWidth="1"/>
    <col min="10751" max="10751" width="9" style="17" customWidth="1"/>
    <col min="10752" max="10752" width="13.375" style="17" customWidth="1"/>
    <col min="10753" max="10753" width="10.5" style="17" customWidth="1"/>
    <col min="10754" max="10754" width="12.5" style="17" customWidth="1"/>
    <col min="10755" max="10755" width="13.75" style="17" customWidth="1"/>
    <col min="10756" max="10756" width="8.875" style="17"/>
    <col min="10757" max="10757" width="12.375" style="17" customWidth="1"/>
    <col min="10758" max="10759" width="8.875" style="17"/>
    <col min="10760" max="10760" width="15.625" style="17" bestFit="1" customWidth="1"/>
    <col min="10761" max="10761" width="18.875" style="17" customWidth="1"/>
    <col min="10762" max="11004" width="8.875" style="17"/>
    <col min="11005" max="11005" width="9.625" style="17" customWidth="1"/>
    <col min="11006" max="11006" width="11.5" style="17" customWidth="1"/>
    <col min="11007" max="11007" width="9" style="17" customWidth="1"/>
    <col min="11008" max="11008" width="13.375" style="17" customWidth="1"/>
    <col min="11009" max="11009" width="10.5" style="17" customWidth="1"/>
    <col min="11010" max="11010" width="12.5" style="17" customWidth="1"/>
    <col min="11011" max="11011" width="13.75" style="17" customWidth="1"/>
    <col min="11012" max="11012" width="8.875" style="17"/>
    <col min="11013" max="11013" width="12.375" style="17" customWidth="1"/>
    <col min="11014" max="11015" width="8.875" style="17"/>
    <col min="11016" max="11016" width="15.625" style="17" bestFit="1" customWidth="1"/>
    <col min="11017" max="11017" width="18.875" style="17" customWidth="1"/>
    <col min="11018" max="11260" width="8.875" style="17"/>
    <col min="11261" max="11261" width="9.625" style="17" customWidth="1"/>
    <col min="11262" max="11262" width="11.5" style="17" customWidth="1"/>
    <col min="11263" max="11263" width="9" style="17" customWidth="1"/>
    <col min="11264" max="11264" width="13.375" style="17" customWidth="1"/>
    <col min="11265" max="11265" width="10.5" style="17" customWidth="1"/>
    <col min="11266" max="11266" width="12.5" style="17" customWidth="1"/>
    <col min="11267" max="11267" width="13.75" style="17" customWidth="1"/>
    <col min="11268" max="11268" width="8.875" style="17"/>
    <col min="11269" max="11269" width="12.375" style="17" customWidth="1"/>
    <col min="11270" max="11271" width="8.875" style="17"/>
    <col min="11272" max="11272" width="15.625" style="17" bestFit="1" customWidth="1"/>
    <col min="11273" max="11273" width="18.875" style="17" customWidth="1"/>
    <col min="11274" max="11516" width="8.875" style="17"/>
    <col min="11517" max="11517" width="9.625" style="17" customWidth="1"/>
    <col min="11518" max="11518" width="11.5" style="17" customWidth="1"/>
    <col min="11519" max="11519" width="9" style="17" customWidth="1"/>
    <col min="11520" max="11520" width="13.375" style="17" customWidth="1"/>
    <col min="11521" max="11521" width="10.5" style="17" customWidth="1"/>
    <col min="11522" max="11522" width="12.5" style="17" customWidth="1"/>
    <col min="11523" max="11523" width="13.75" style="17" customWidth="1"/>
    <col min="11524" max="11524" width="8.875" style="17"/>
    <col min="11525" max="11525" width="12.375" style="17" customWidth="1"/>
    <col min="11526" max="11527" width="8.875" style="17"/>
    <col min="11528" max="11528" width="15.625" style="17" bestFit="1" customWidth="1"/>
    <col min="11529" max="11529" width="18.875" style="17" customWidth="1"/>
    <col min="11530" max="11772" width="8.875" style="17"/>
    <col min="11773" max="11773" width="9.625" style="17" customWidth="1"/>
    <col min="11774" max="11774" width="11.5" style="17" customWidth="1"/>
    <col min="11775" max="11775" width="9" style="17" customWidth="1"/>
    <col min="11776" max="11776" width="13.375" style="17" customWidth="1"/>
    <col min="11777" max="11777" width="10.5" style="17" customWidth="1"/>
    <col min="11778" max="11778" width="12.5" style="17" customWidth="1"/>
    <col min="11779" max="11779" width="13.75" style="17" customWidth="1"/>
    <col min="11780" max="11780" width="8.875" style="17"/>
    <col min="11781" max="11781" width="12.375" style="17" customWidth="1"/>
    <col min="11782" max="11783" width="8.875" style="17"/>
    <col min="11784" max="11784" width="15.625" style="17" bestFit="1" customWidth="1"/>
    <col min="11785" max="11785" width="18.875" style="17" customWidth="1"/>
    <col min="11786" max="12028" width="8.875" style="17"/>
    <col min="12029" max="12029" width="9.625" style="17" customWidth="1"/>
    <col min="12030" max="12030" width="11.5" style="17" customWidth="1"/>
    <col min="12031" max="12031" width="9" style="17" customWidth="1"/>
    <col min="12032" max="12032" width="13.375" style="17" customWidth="1"/>
    <col min="12033" max="12033" width="10.5" style="17" customWidth="1"/>
    <col min="12034" max="12034" width="12.5" style="17" customWidth="1"/>
    <col min="12035" max="12035" width="13.75" style="17" customWidth="1"/>
    <col min="12036" max="12036" width="8.875" style="17"/>
    <col min="12037" max="12037" width="12.375" style="17" customWidth="1"/>
    <col min="12038" max="12039" width="8.875" style="17"/>
    <col min="12040" max="12040" width="15.625" style="17" bestFit="1" customWidth="1"/>
    <col min="12041" max="12041" width="18.875" style="17" customWidth="1"/>
    <col min="12042" max="12284" width="8.875" style="17"/>
    <col min="12285" max="12285" width="9.625" style="17" customWidth="1"/>
    <col min="12286" max="12286" width="11.5" style="17" customWidth="1"/>
    <col min="12287" max="12287" width="9" style="17" customWidth="1"/>
    <col min="12288" max="12288" width="13.375" style="17" customWidth="1"/>
    <col min="12289" max="12289" width="10.5" style="17" customWidth="1"/>
    <col min="12290" max="12290" width="12.5" style="17" customWidth="1"/>
    <col min="12291" max="12291" width="13.75" style="17" customWidth="1"/>
    <col min="12292" max="12292" width="8.875" style="17"/>
    <col min="12293" max="12293" width="12.375" style="17" customWidth="1"/>
    <col min="12294" max="12295" width="8.875" style="17"/>
    <col min="12296" max="12296" width="15.625" style="17" bestFit="1" customWidth="1"/>
    <col min="12297" max="12297" width="18.875" style="17" customWidth="1"/>
    <col min="12298" max="12540" width="8.875" style="17"/>
    <col min="12541" max="12541" width="9.625" style="17" customWidth="1"/>
    <col min="12542" max="12542" width="11.5" style="17" customWidth="1"/>
    <col min="12543" max="12543" width="9" style="17" customWidth="1"/>
    <col min="12544" max="12544" width="13.375" style="17" customWidth="1"/>
    <col min="12545" max="12545" width="10.5" style="17" customWidth="1"/>
    <col min="12546" max="12546" width="12.5" style="17" customWidth="1"/>
    <col min="12547" max="12547" width="13.75" style="17" customWidth="1"/>
    <col min="12548" max="12548" width="8.875" style="17"/>
    <col min="12549" max="12549" width="12.375" style="17" customWidth="1"/>
    <col min="12550" max="12551" width="8.875" style="17"/>
    <col min="12552" max="12552" width="15.625" style="17" bestFit="1" customWidth="1"/>
    <col min="12553" max="12553" width="18.875" style="17" customWidth="1"/>
    <col min="12554" max="12796" width="8.875" style="17"/>
    <col min="12797" max="12797" width="9.625" style="17" customWidth="1"/>
    <col min="12798" max="12798" width="11.5" style="17" customWidth="1"/>
    <col min="12799" max="12799" width="9" style="17" customWidth="1"/>
    <col min="12800" max="12800" width="13.375" style="17" customWidth="1"/>
    <col min="12801" max="12801" width="10.5" style="17" customWidth="1"/>
    <col min="12802" max="12802" width="12.5" style="17" customWidth="1"/>
    <col min="12803" max="12803" width="13.75" style="17" customWidth="1"/>
    <col min="12804" max="12804" width="8.875" style="17"/>
    <col min="12805" max="12805" width="12.375" style="17" customWidth="1"/>
    <col min="12806" max="12807" width="8.875" style="17"/>
    <col min="12808" max="12808" width="15.625" style="17" bestFit="1" customWidth="1"/>
    <col min="12809" max="12809" width="18.875" style="17" customWidth="1"/>
    <col min="12810" max="13052" width="8.875" style="17"/>
    <col min="13053" max="13053" width="9.625" style="17" customWidth="1"/>
    <col min="13054" max="13054" width="11.5" style="17" customWidth="1"/>
    <col min="13055" max="13055" width="9" style="17" customWidth="1"/>
    <col min="13056" max="13056" width="13.375" style="17" customWidth="1"/>
    <col min="13057" max="13057" width="10.5" style="17" customWidth="1"/>
    <col min="13058" max="13058" width="12.5" style="17" customWidth="1"/>
    <col min="13059" max="13059" width="13.75" style="17" customWidth="1"/>
    <col min="13060" max="13060" width="8.875" style="17"/>
    <col min="13061" max="13061" width="12.375" style="17" customWidth="1"/>
    <col min="13062" max="13063" width="8.875" style="17"/>
    <col min="13064" max="13064" width="15.625" style="17" bestFit="1" customWidth="1"/>
    <col min="13065" max="13065" width="18.875" style="17" customWidth="1"/>
    <col min="13066" max="13308" width="8.875" style="17"/>
    <col min="13309" max="13309" width="9.625" style="17" customWidth="1"/>
    <col min="13310" max="13310" width="11.5" style="17" customWidth="1"/>
    <col min="13311" max="13311" width="9" style="17" customWidth="1"/>
    <col min="13312" max="13312" width="13.375" style="17" customWidth="1"/>
    <col min="13313" max="13313" width="10.5" style="17" customWidth="1"/>
    <col min="13314" max="13314" width="12.5" style="17" customWidth="1"/>
    <col min="13315" max="13315" width="13.75" style="17" customWidth="1"/>
    <col min="13316" max="13316" width="8.875" style="17"/>
    <col min="13317" max="13317" width="12.375" style="17" customWidth="1"/>
    <col min="13318" max="13319" width="8.875" style="17"/>
    <col min="13320" max="13320" width="15.625" style="17" bestFit="1" customWidth="1"/>
    <col min="13321" max="13321" width="18.875" style="17" customWidth="1"/>
    <col min="13322" max="13564" width="8.875" style="17"/>
    <col min="13565" max="13565" width="9.625" style="17" customWidth="1"/>
    <col min="13566" max="13566" width="11.5" style="17" customWidth="1"/>
    <col min="13567" max="13567" width="9" style="17" customWidth="1"/>
    <col min="13568" max="13568" width="13.375" style="17" customWidth="1"/>
    <col min="13569" max="13569" width="10.5" style="17" customWidth="1"/>
    <col min="13570" max="13570" width="12.5" style="17" customWidth="1"/>
    <col min="13571" max="13571" width="13.75" style="17" customWidth="1"/>
    <col min="13572" max="13572" width="8.875" style="17"/>
    <col min="13573" max="13573" width="12.375" style="17" customWidth="1"/>
    <col min="13574" max="13575" width="8.875" style="17"/>
    <col min="13576" max="13576" width="15.625" style="17" bestFit="1" customWidth="1"/>
    <col min="13577" max="13577" width="18.875" style="17" customWidth="1"/>
    <col min="13578" max="13820" width="8.875" style="17"/>
    <col min="13821" max="13821" width="9.625" style="17" customWidth="1"/>
    <col min="13822" max="13822" width="11.5" style="17" customWidth="1"/>
    <col min="13823" max="13823" width="9" style="17" customWidth="1"/>
    <col min="13824" max="13824" width="13.375" style="17" customWidth="1"/>
    <col min="13825" max="13825" width="10.5" style="17" customWidth="1"/>
    <col min="13826" max="13826" width="12.5" style="17" customWidth="1"/>
    <col min="13827" max="13827" width="13.75" style="17" customWidth="1"/>
    <col min="13828" max="13828" width="8.875" style="17"/>
    <col min="13829" max="13829" width="12.375" style="17" customWidth="1"/>
    <col min="13830" max="13831" width="8.875" style="17"/>
    <col min="13832" max="13832" width="15.625" style="17" bestFit="1" customWidth="1"/>
    <col min="13833" max="13833" width="18.875" style="17" customWidth="1"/>
    <col min="13834" max="14076" width="8.875" style="17"/>
    <col min="14077" max="14077" width="9.625" style="17" customWidth="1"/>
    <col min="14078" max="14078" width="11.5" style="17" customWidth="1"/>
    <col min="14079" max="14079" width="9" style="17" customWidth="1"/>
    <col min="14080" max="14080" width="13.375" style="17" customWidth="1"/>
    <col min="14081" max="14081" width="10.5" style="17" customWidth="1"/>
    <col min="14082" max="14082" width="12.5" style="17" customWidth="1"/>
    <col min="14083" max="14083" width="13.75" style="17" customWidth="1"/>
    <col min="14084" max="14084" width="8.875" style="17"/>
    <col min="14085" max="14085" width="12.375" style="17" customWidth="1"/>
    <col min="14086" max="14087" width="8.875" style="17"/>
    <col min="14088" max="14088" width="15.625" style="17" bestFit="1" customWidth="1"/>
    <col min="14089" max="14089" width="18.875" style="17" customWidth="1"/>
    <col min="14090" max="14332" width="8.875" style="17"/>
    <col min="14333" max="14333" width="9.625" style="17" customWidth="1"/>
    <col min="14334" max="14334" width="11.5" style="17" customWidth="1"/>
    <col min="14335" max="14335" width="9" style="17" customWidth="1"/>
    <col min="14336" max="14336" width="13.375" style="17" customWidth="1"/>
    <col min="14337" max="14337" width="10.5" style="17" customWidth="1"/>
    <col min="14338" max="14338" width="12.5" style="17" customWidth="1"/>
    <col min="14339" max="14339" width="13.75" style="17" customWidth="1"/>
    <col min="14340" max="14340" width="8.875" style="17"/>
    <col min="14341" max="14341" width="12.375" style="17" customWidth="1"/>
    <col min="14342" max="14343" width="8.875" style="17"/>
    <col min="14344" max="14344" width="15.625" style="17" bestFit="1" customWidth="1"/>
    <col min="14345" max="14345" width="18.875" style="17" customWidth="1"/>
    <col min="14346" max="14588" width="8.875" style="17"/>
    <col min="14589" max="14589" width="9.625" style="17" customWidth="1"/>
    <col min="14590" max="14590" width="11.5" style="17" customWidth="1"/>
    <col min="14591" max="14591" width="9" style="17" customWidth="1"/>
    <col min="14592" max="14592" width="13.375" style="17" customWidth="1"/>
    <col min="14593" max="14593" width="10.5" style="17" customWidth="1"/>
    <col min="14594" max="14594" width="12.5" style="17" customWidth="1"/>
    <col min="14595" max="14595" width="13.75" style="17" customWidth="1"/>
    <col min="14596" max="14596" width="8.875" style="17"/>
    <col min="14597" max="14597" width="12.375" style="17" customWidth="1"/>
    <col min="14598" max="14599" width="8.875" style="17"/>
    <col min="14600" max="14600" width="15.625" style="17" bestFit="1" customWidth="1"/>
    <col min="14601" max="14601" width="18.875" style="17" customWidth="1"/>
    <col min="14602" max="14844" width="8.875" style="17"/>
    <col min="14845" max="14845" width="9.625" style="17" customWidth="1"/>
    <col min="14846" max="14846" width="11.5" style="17" customWidth="1"/>
    <col min="14847" max="14847" width="9" style="17" customWidth="1"/>
    <col min="14848" max="14848" width="13.375" style="17" customWidth="1"/>
    <col min="14849" max="14849" width="10.5" style="17" customWidth="1"/>
    <col min="14850" max="14850" width="12.5" style="17" customWidth="1"/>
    <col min="14851" max="14851" width="13.75" style="17" customWidth="1"/>
    <col min="14852" max="14852" width="8.875" style="17"/>
    <col min="14853" max="14853" width="12.375" style="17" customWidth="1"/>
    <col min="14854" max="14855" width="8.875" style="17"/>
    <col min="14856" max="14856" width="15.625" style="17" bestFit="1" customWidth="1"/>
    <col min="14857" max="14857" width="18.875" style="17" customWidth="1"/>
    <col min="14858" max="15100" width="8.875" style="17"/>
    <col min="15101" max="15101" width="9.625" style="17" customWidth="1"/>
    <col min="15102" max="15102" width="11.5" style="17" customWidth="1"/>
    <col min="15103" max="15103" width="9" style="17" customWidth="1"/>
    <col min="15104" max="15104" width="13.375" style="17" customWidth="1"/>
    <col min="15105" max="15105" width="10.5" style="17" customWidth="1"/>
    <col min="15106" max="15106" width="12.5" style="17" customWidth="1"/>
    <col min="15107" max="15107" width="13.75" style="17" customWidth="1"/>
    <col min="15108" max="15108" width="8.875" style="17"/>
    <col min="15109" max="15109" width="12.375" style="17" customWidth="1"/>
    <col min="15110" max="15111" width="8.875" style="17"/>
    <col min="15112" max="15112" width="15.625" style="17" bestFit="1" customWidth="1"/>
    <col min="15113" max="15113" width="18.875" style="17" customWidth="1"/>
    <col min="15114" max="15356" width="8.875" style="17"/>
    <col min="15357" max="15357" width="9.625" style="17" customWidth="1"/>
    <col min="15358" max="15358" width="11.5" style="17" customWidth="1"/>
    <col min="15359" max="15359" width="9" style="17" customWidth="1"/>
    <col min="15360" max="15360" width="13.375" style="17" customWidth="1"/>
    <col min="15361" max="15361" width="10.5" style="17" customWidth="1"/>
    <col min="15362" max="15362" width="12.5" style="17" customWidth="1"/>
    <col min="15363" max="15363" width="13.75" style="17" customWidth="1"/>
    <col min="15364" max="15364" width="8.875" style="17"/>
    <col min="15365" max="15365" width="12.375" style="17" customWidth="1"/>
    <col min="15366" max="15367" width="8.875" style="17"/>
    <col min="15368" max="15368" width="15.625" style="17" bestFit="1" customWidth="1"/>
    <col min="15369" max="15369" width="18.875" style="17" customWidth="1"/>
    <col min="15370" max="15612" width="8.875" style="17"/>
    <col min="15613" max="15613" width="9.625" style="17" customWidth="1"/>
    <col min="15614" max="15614" width="11.5" style="17" customWidth="1"/>
    <col min="15615" max="15615" width="9" style="17" customWidth="1"/>
    <col min="15616" max="15616" width="13.375" style="17" customWidth="1"/>
    <col min="15617" max="15617" width="10.5" style="17" customWidth="1"/>
    <col min="15618" max="15618" width="12.5" style="17" customWidth="1"/>
    <col min="15619" max="15619" width="13.75" style="17" customWidth="1"/>
    <col min="15620" max="15620" width="8.875" style="17"/>
    <col min="15621" max="15621" width="12.375" style="17" customWidth="1"/>
    <col min="15622" max="15623" width="8.875" style="17"/>
    <col min="15624" max="15624" width="15.625" style="17" bestFit="1" customWidth="1"/>
    <col min="15625" max="15625" width="18.875" style="17" customWidth="1"/>
    <col min="15626" max="15868" width="8.875" style="17"/>
    <col min="15869" max="15869" width="9.625" style="17" customWidth="1"/>
    <col min="15870" max="15870" width="11.5" style="17" customWidth="1"/>
    <col min="15871" max="15871" width="9" style="17" customWidth="1"/>
    <col min="15872" max="15872" width="13.375" style="17" customWidth="1"/>
    <col min="15873" max="15873" width="10.5" style="17" customWidth="1"/>
    <col min="15874" max="15874" width="12.5" style="17" customWidth="1"/>
    <col min="15875" max="15875" width="13.75" style="17" customWidth="1"/>
    <col min="15876" max="15876" width="8.875" style="17"/>
    <col min="15877" max="15877" width="12.375" style="17" customWidth="1"/>
    <col min="15878" max="15879" width="8.875" style="17"/>
    <col min="15880" max="15880" width="15.625" style="17" bestFit="1" customWidth="1"/>
    <col min="15881" max="15881" width="18.875" style="17" customWidth="1"/>
    <col min="15882" max="16124" width="8.875" style="17"/>
    <col min="16125" max="16125" width="9.625" style="17" customWidth="1"/>
    <col min="16126" max="16126" width="11.5" style="17" customWidth="1"/>
    <col min="16127" max="16127" width="9" style="17" customWidth="1"/>
    <col min="16128" max="16128" width="13.375" style="17" customWidth="1"/>
    <col min="16129" max="16129" width="10.5" style="17" customWidth="1"/>
    <col min="16130" max="16130" width="12.5" style="17" customWidth="1"/>
    <col min="16131" max="16131" width="13.75" style="17" customWidth="1"/>
    <col min="16132" max="16132" width="8.875" style="17"/>
    <col min="16133" max="16133" width="12.375" style="17" customWidth="1"/>
    <col min="16134" max="16135" width="8.875" style="17"/>
    <col min="16136" max="16136" width="15.625" style="17" bestFit="1" customWidth="1"/>
    <col min="16137" max="16137" width="18.875" style="17" customWidth="1"/>
    <col min="16138" max="16384" width="8.875" style="17"/>
  </cols>
  <sheetData>
    <row r="1" spans="1:30" s="35" customFormat="1" x14ac:dyDescent="0.15"/>
    <row r="2" spans="1:30" s="35" customFormat="1" x14ac:dyDescent="0.15">
      <c r="A2" s="35" t="s">
        <v>1</v>
      </c>
      <c r="B2" s="35" t="s">
        <v>101</v>
      </c>
    </row>
    <row r="3" spans="1:30" s="35" customFormat="1" x14ac:dyDescent="0.15">
      <c r="A3" s="35" t="s">
        <v>24</v>
      </c>
      <c r="D3" s="35" t="s">
        <v>47</v>
      </c>
      <c r="E3" s="35" t="s">
        <v>21</v>
      </c>
      <c r="F3" s="35" t="s">
        <v>231</v>
      </c>
      <c r="G3" s="35" t="s">
        <v>278</v>
      </c>
      <c r="H3" s="35" t="s">
        <v>252</v>
      </c>
      <c r="I3" s="35" t="s">
        <v>21</v>
      </c>
      <c r="J3" s="35" t="s">
        <v>150</v>
      </c>
      <c r="K3" s="35" t="s">
        <v>147</v>
      </c>
      <c r="L3" s="35" t="s">
        <v>7</v>
      </c>
      <c r="M3" s="35" t="s">
        <v>219</v>
      </c>
      <c r="N3" s="35" t="s">
        <v>89</v>
      </c>
      <c r="O3" s="35" t="s">
        <v>298</v>
      </c>
      <c r="P3" s="35" t="s">
        <v>313</v>
      </c>
      <c r="Q3" s="35" t="s">
        <v>313</v>
      </c>
      <c r="R3" s="35" t="s">
        <v>258</v>
      </c>
      <c r="S3" s="35" t="s">
        <v>49</v>
      </c>
      <c r="T3" s="35" t="s">
        <v>255</v>
      </c>
      <c r="U3" s="35" t="s">
        <v>91</v>
      </c>
      <c r="V3" s="35" t="s">
        <v>47</v>
      </c>
      <c r="W3" s="35" t="s">
        <v>100</v>
      </c>
    </row>
    <row r="4" spans="1:30" s="35" customFormat="1" x14ac:dyDescent="0.15">
      <c r="A4" s="35" t="s">
        <v>26</v>
      </c>
      <c r="D4" s="35" t="s">
        <v>15</v>
      </c>
      <c r="E4" s="35" t="s">
        <v>48</v>
      </c>
      <c r="F4" s="35" t="s">
        <v>220</v>
      </c>
      <c r="G4" s="35" t="s">
        <v>279</v>
      </c>
      <c r="H4" s="35" t="s">
        <v>530</v>
      </c>
      <c r="I4" s="35" t="s">
        <v>51</v>
      </c>
      <c r="J4" s="35" t="s">
        <v>151</v>
      </c>
      <c r="K4" s="35" t="s">
        <v>148</v>
      </c>
      <c r="L4" s="35" t="s">
        <v>533</v>
      </c>
      <c r="M4" s="35" t="s">
        <v>222</v>
      </c>
      <c r="N4" s="35" t="s">
        <v>537</v>
      </c>
      <c r="O4" s="35" t="s">
        <v>299</v>
      </c>
      <c r="P4" s="35" t="s">
        <v>315</v>
      </c>
      <c r="Q4" s="35" t="s">
        <v>321</v>
      </c>
      <c r="R4" s="35" t="s">
        <v>259</v>
      </c>
      <c r="S4" s="35" t="s">
        <v>50</v>
      </c>
      <c r="T4" s="35" t="s">
        <v>254</v>
      </c>
      <c r="U4" s="35" t="s">
        <v>153</v>
      </c>
      <c r="V4" s="35" t="s">
        <v>69</v>
      </c>
      <c r="W4" s="35" t="s">
        <v>154</v>
      </c>
    </row>
    <row r="5" spans="1:30" x14ac:dyDescent="0.15">
      <c r="A5" s="17"/>
      <c r="F5" s="20" t="s">
        <v>232</v>
      </c>
      <c r="H5" s="17" t="s">
        <v>253</v>
      </c>
      <c r="L5" s="17" t="s">
        <v>534</v>
      </c>
      <c r="M5" s="17" t="s">
        <v>314</v>
      </c>
      <c r="N5" s="17" t="s">
        <v>93</v>
      </c>
      <c r="O5" s="17" t="s">
        <v>300</v>
      </c>
      <c r="P5" s="17" t="s">
        <v>316</v>
      </c>
      <c r="Q5" s="35" t="s">
        <v>317</v>
      </c>
      <c r="R5" s="17" t="s">
        <v>260</v>
      </c>
      <c r="S5" s="17" t="s">
        <v>256</v>
      </c>
      <c r="T5" s="17" t="s">
        <v>257</v>
      </c>
      <c r="U5" s="17" t="s">
        <v>92</v>
      </c>
      <c r="V5" s="17" t="s">
        <v>90</v>
      </c>
      <c r="W5" s="17" t="s">
        <v>99</v>
      </c>
    </row>
    <row r="6" spans="1:30" ht="165" x14ac:dyDescent="0.15">
      <c r="F6" s="17" t="s">
        <v>280</v>
      </c>
      <c r="G6" s="17" t="s">
        <v>309</v>
      </c>
      <c r="J6" s="17" t="s">
        <v>152</v>
      </c>
      <c r="K6" s="43" t="s">
        <v>757</v>
      </c>
      <c r="L6" s="43"/>
      <c r="M6" s="43"/>
      <c r="R6" s="43" t="s">
        <v>543</v>
      </c>
    </row>
    <row r="7" spans="1:30" ht="17.25" thickBot="1" x14ac:dyDescent="0.2">
      <c r="K7" s="43"/>
      <c r="L7" s="43"/>
      <c r="M7" s="43"/>
      <c r="R7" s="43"/>
    </row>
    <row r="8" spans="1:30" ht="17.25" thickBot="1" x14ac:dyDescent="0.2">
      <c r="B8" s="47" t="s">
        <v>547</v>
      </c>
    </row>
    <row r="9" spans="1:30" x14ac:dyDescent="0.35">
      <c r="A9" s="35" t="s">
        <v>2</v>
      </c>
      <c r="D9" s="17">
        <v>101</v>
      </c>
      <c r="H9" s="17" t="s">
        <v>613</v>
      </c>
      <c r="I9" s="44" t="s">
        <v>488</v>
      </c>
      <c r="J9" s="17">
        <v>8</v>
      </c>
      <c r="K9" s="17">
        <v>1</v>
      </c>
      <c r="L9" s="46">
        <v>23</v>
      </c>
      <c r="N9" s="18" t="s">
        <v>525</v>
      </c>
      <c r="P9" s="17" t="s">
        <v>324</v>
      </c>
      <c r="U9" s="20" t="s">
        <v>434</v>
      </c>
      <c r="V9" s="17">
        <v>201</v>
      </c>
      <c r="W9" s="44" t="s">
        <v>497</v>
      </c>
      <c r="AA9" s="18"/>
      <c r="AB9" s="18"/>
      <c r="AC9" s="18"/>
      <c r="AD9" s="18"/>
    </row>
    <row r="10" spans="1:30" x14ac:dyDescent="0.35">
      <c r="D10" s="17">
        <v>102</v>
      </c>
      <c r="H10" s="17" t="s">
        <v>614</v>
      </c>
      <c r="I10" s="44" t="s">
        <v>605</v>
      </c>
      <c r="J10" s="17">
        <v>9</v>
      </c>
      <c r="K10" s="17">
        <v>1</v>
      </c>
      <c r="L10" s="46">
        <v>43</v>
      </c>
      <c r="N10" s="18" t="s">
        <v>606</v>
      </c>
      <c r="P10" s="17" t="s">
        <v>324</v>
      </c>
      <c r="U10" s="20" t="s">
        <v>434</v>
      </c>
      <c r="V10" s="17">
        <v>202</v>
      </c>
      <c r="W10" s="44" t="s">
        <v>498</v>
      </c>
      <c r="AA10" s="18"/>
      <c r="AB10" s="18"/>
      <c r="AC10" s="18"/>
      <c r="AD10" s="18"/>
    </row>
    <row r="11" spans="1:30" x14ac:dyDescent="0.35">
      <c r="A11" s="35" t="s">
        <v>2</v>
      </c>
      <c r="D11" s="17">
        <v>103</v>
      </c>
      <c r="H11" s="17" t="s">
        <v>615</v>
      </c>
      <c r="I11" s="44" t="s">
        <v>490</v>
      </c>
      <c r="J11" s="17">
        <v>10</v>
      </c>
      <c r="K11" s="17">
        <v>1</v>
      </c>
      <c r="L11" s="46">
        <v>53</v>
      </c>
      <c r="N11" s="18" t="s">
        <v>526</v>
      </c>
      <c r="P11" s="17" t="s">
        <v>384</v>
      </c>
      <c r="U11" s="20" t="s">
        <v>434</v>
      </c>
      <c r="V11" s="17">
        <v>203</v>
      </c>
      <c r="W11" s="44" t="s">
        <v>499</v>
      </c>
      <c r="AA11" s="18"/>
      <c r="AB11" s="18"/>
      <c r="AC11" s="18"/>
      <c r="AD11" s="18"/>
    </row>
    <row r="12" spans="1:30" x14ac:dyDescent="0.35">
      <c r="A12" s="35" t="s">
        <v>2</v>
      </c>
      <c r="D12" s="17">
        <v>104</v>
      </c>
      <c r="H12" s="17" t="s">
        <v>616</v>
      </c>
      <c r="I12" s="44" t="s">
        <v>491</v>
      </c>
      <c r="J12" s="17">
        <v>11</v>
      </c>
      <c r="K12" s="17">
        <v>1</v>
      </c>
      <c r="L12" s="46">
        <v>13</v>
      </c>
      <c r="N12" s="18" t="s">
        <v>527</v>
      </c>
      <c r="P12" s="17" t="s">
        <v>384</v>
      </c>
      <c r="U12" s="20" t="s">
        <v>434</v>
      </c>
      <c r="V12" s="17">
        <v>204</v>
      </c>
      <c r="W12" s="44" t="s">
        <v>500</v>
      </c>
      <c r="AA12" s="18"/>
      <c r="AB12" s="18"/>
      <c r="AC12" s="18"/>
      <c r="AD12" s="18"/>
    </row>
    <row r="13" spans="1:30" x14ac:dyDescent="0.35">
      <c r="A13" s="35" t="s">
        <v>2</v>
      </c>
      <c r="D13" s="17">
        <v>105</v>
      </c>
      <c r="H13" s="17" t="s">
        <v>617</v>
      </c>
      <c r="I13" s="44" t="s">
        <v>492</v>
      </c>
      <c r="J13" s="17">
        <v>12</v>
      </c>
      <c r="K13" s="17">
        <v>1</v>
      </c>
      <c r="L13" s="46">
        <v>3</v>
      </c>
      <c r="N13" s="18" t="s">
        <v>566</v>
      </c>
      <c r="P13" s="17" t="s">
        <v>383</v>
      </c>
      <c r="U13" s="20" t="s">
        <v>434</v>
      </c>
      <c r="V13" s="17">
        <v>205</v>
      </c>
      <c r="W13" s="44" t="s">
        <v>575</v>
      </c>
      <c r="AA13" s="18"/>
      <c r="AB13" s="18"/>
      <c r="AC13" s="18"/>
      <c r="AD13" s="18"/>
    </row>
    <row r="14" spans="1:30" x14ac:dyDescent="0.35">
      <c r="A14" s="35" t="s">
        <v>2</v>
      </c>
      <c r="D14" s="17">
        <v>106</v>
      </c>
      <c r="G14" s="17" t="s">
        <v>609</v>
      </c>
      <c r="H14" s="17" t="s">
        <v>618</v>
      </c>
      <c r="I14" s="44" t="s">
        <v>558</v>
      </c>
      <c r="J14" s="17">
        <v>7</v>
      </c>
      <c r="K14" s="17">
        <v>1</v>
      </c>
      <c r="L14" s="46"/>
      <c r="N14" s="18" t="s">
        <v>567</v>
      </c>
      <c r="P14" s="17" t="s">
        <v>383</v>
      </c>
      <c r="U14" s="20" t="s">
        <v>434</v>
      </c>
      <c r="W14" s="44" t="s">
        <v>576</v>
      </c>
      <c r="AA14" s="18"/>
      <c r="AB14" s="18"/>
      <c r="AC14" s="18"/>
      <c r="AD14" s="18"/>
    </row>
    <row r="15" spans="1:30" x14ac:dyDescent="0.35">
      <c r="A15" s="35" t="s">
        <v>2</v>
      </c>
      <c r="D15" s="17">
        <v>107</v>
      </c>
      <c r="G15" s="17" t="s">
        <v>610</v>
      </c>
      <c r="H15" s="17" t="s">
        <v>619</v>
      </c>
      <c r="I15" s="44" t="s">
        <v>559</v>
      </c>
      <c r="J15" s="17">
        <v>6</v>
      </c>
      <c r="K15" s="17">
        <v>1</v>
      </c>
      <c r="L15" s="46"/>
      <c r="N15" s="18" t="s">
        <v>568</v>
      </c>
      <c r="P15" s="17" t="s">
        <v>383</v>
      </c>
      <c r="U15" s="20" t="s">
        <v>434</v>
      </c>
      <c r="V15" s="17">
        <v>501</v>
      </c>
      <c r="W15" s="44" t="s">
        <v>577</v>
      </c>
      <c r="AA15" s="18"/>
      <c r="AB15" s="18"/>
      <c r="AC15" s="18"/>
      <c r="AD15" s="18"/>
    </row>
    <row r="16" spans="1:30" x14ac:dyDescent="0.35">
      <c r="A16" s="35" t="s">
        <v>2</v>
      </c>
      <c r="D16" s="17">
        <v>108</v>
      </c>
      <c r="G16" s="17" t="s">
        <v>611</v>
      </c>
      <c r="H16" s="17" t="s">
        <v>620</v>
      </c>
      <c r="I16" s="44" t="s">
        <v>560</v>
      </c>
      <c r="J16" s="17">
        <v>5</v>
      </c>
      <c r="K16" s="17">
        <v>1</v>
      </c>
      <c r="L16" s="46"/>
      <c r="N16" s="18" t="s">
        <v>569</v>
      </c>
      <c r="P16" s="17" t="s">
        <v>383</v>
      </c>
      <c r="U16" s="20" t="s">
        <v>434</v>
      </c>
      <c r="W16" s="44" t="s">
        <v>578</v>
      </c>
      <c r="AA16" s="18"/>
      <c r="AB16" s="18"/>
      <c r="AC16" s="18"/>
      <c r="AD16" s="18"/>
    </row>
    <row r="17" spans="1:30" x14ac:dyDescent="0.35">
      <c r="A17" s="35" t="s">
        <v>2</v>
      </c>
      <c r="D17" s="17">
        <v>109</v>
      </c>
      <c r="G17" s="17" t="s">
        <v>612</v>
      </c>
      <c r="H17" s="17" t="s">
        <v>621</v>
      </c>
      <c r="I17" s="44" t="s">
        <v>562</v>
      </c>
      <c r="J17" s="17">
        <v>4</v>
      </c>
      <c r="K17" s="17">
        <v>1</v>
      </c>
      <c r="L17" s="46"/>
      <c r="N17" s="18" t="s">
        <v>570</v>
      </c>
      <c r="P17" s="17" t="s">
        <v>383</v>
      </c>
      <c r="U17" s="20" t="s">
        <v>434</v>
      </c>
      <c r="V17" s="17">
        <v>502</v>
      </c>
      <c r="W17" s="44" t="s">
        <v>579</v>
      </c>
      <c r="AA17" s="18"/>
      <c r="AB17" s="18"/>
      <c r="AC17" s="18"/>
      <c r="AD17" s="18"/>
    </row>
    <row r="18" spans="1:30" x14ac:dyDescent="0.35">
      <c r="A18" s="35" t="s">
        <v>2</v>
      </c>
      <c r="D18" s="17">
        <v>110</v>
      </c>
      <c r="H18" s="17" t="s">
        <v>622</v>
      </c>
      <c r="I18" s="44" t="s">
        <v>552</v>
      </c>
      <c r="J18" s="17">
        <v>3</v>
      </c>
      <c r="K18" s="17">
        <v>1</v>
      </c>
      <c r="L18" s="46">
        <v>210</v>
      </c>
      <c r="N18" s="18" t="s">
        <v>571</v>
      </c>
      <c r="P18" s="17" t="s">
        <v>383</v>
      </c>
      <c r="U18" s="20" t="s">
        <v>434</v>
      </c>
      <c r="V18" s="17">
        <v>410</v>
      </c>
      <c r="W18" s="44" t="s">
        <v>580</v>
      </c>
      <c r="AA18" s="18"/>
      <c r="AB18" s="18"/>
      <c r="AC18" s="18"/>
      <c r="AD18" s="18"/>
    </row>
    <row r="19" spans="1:30" x14ac:dyDescent="0.35">
      <c r="A19" s="35" t="s">
        <v>2</v>
      </c>
      <c r="D19" s="17">
        <v>111</v>
      </c>
      <c r="H19" s="17" t="s">
        <v>623</v>
      </c>
      <c r="I19" s="44" t="s">
        <v>553</v>
      </c>
      <c r="J19" s="17">
        <v>2</v>
      </c>
      <c r="K19" s="17">
        <v>1</v>
      </c>
      <c r="L19" s="46">
        <v>203</v>
      </c>
      <c r="N19" s="18" t="s">
        <v>572</v>
      </c>
      <c r="P19" s="17" t="s">
        <v>383</v>
      </c>
      <c r="U19" s="20" t="s">
        <v>434</v>
      </c>
      <c r="V19" s="17">
        <v>403</v>
      </c>
      <c r="W19" s="44" t="s">
        <v>581</v>
      </c>
      <c r="AA19" s="18"/>
      <c r="AB19" s="18"/>
      <c r="AC19" s="18"/>
      <c r="AD19" s="18"/>
    </row>
    <row r="20" spans="1:30" x14ac:dyDescent="0.35">
      <c r="A20" s="35" t="s">
        <v>2</v>
      </c>
      <c r="D20" s="17">
        <v>112</v>
      </c>
      <c r="H20" s="17" t="s">
        <v>624</v>
      </c>
      <c r="I20" s="44" t="s">
        <v>561</v>
      </c>
      <c r="J20" s="17">
        <v>1</v>
      </c>
      <c r="K20" s="17">
        <v>1</v>
      </c>
      <c r="L20" s="46">
        <v>205</v>
      </c>
      <c r="N20" s="18" t="s">
        <v>573</v>
      </c>
      <c r="P20" s="17" t="s">
        <v>383</v>
      </c>
      <c r="U20" s="20" t="s">
        <v>434</v>
      </c>
      <c r="V20" s="17">
        <v>405</v>
      </c>
      <c r="W20" s="44" t="s">
        <v>582</v>
      </c>
      <c r="AA20" s="18"/>
      <c r="AB20" s="18"/>
      <c r="AC20" s="18"/>
      <c r="AD20" s="18"/>
    </row>
    <row r="21" spans="1:30" x14ac:dyDescent="0.35">
      <c r="I21" s="20"/>
      <c r="N21" s="18"/>
      <c r="U21" s="20"/>
      <c r="W21" s="59"/>
    </row>
    <row r="22" spans="1:30" x14ac:dyDescent="0.35">
      <c r="A22" s="35" t="s">
        <v>2</v>
      </c>
      <c r="D22" s="17">
        <v>201</v>
      </c>
      <c r="F22" s="18"/>
      <c r="G22" s="18"/>
      <c r="I22" s="44" t="s">
        <v>343</v>
      </c>
      <c r="J22" s="17">
        <v>1</v>
      </c>
      <c r="K22" s="17">
        <v>2</v>
      </c>
      <c r="L22" s="46">
        <v>21</v>
      </c>
      <c r="M22" s="18"/>
      <c r="N22" s="18"/>
      <c r="O22" s="18"/>
      <c r="P22" s="17" t="s">
        <v>324</v>
      </c>
      <c r="Q22" s="18"/>
      <c r="R22" s="18"/>
      <c r="U22" s="20" t="s">
        <v>430</v>
      </c>
      <c r="V22" s="17">
        <v>201</v>
      </c>
      <c r="W22" s="59" t="s">
        <v>390</v>
      </c>
      <c r="Y22" s="18"/>
      <c r="Z22" s="18"/>
      <c r="AD22" s="18"/>
    </row>
    <row r="23" spans="1:30" s="53" customFormat="1" x14ac:dyDescent="0.35">
      <c r="A23" s="35" t="s">
        <v>2</v>
      </c>
      <c r="D23" s="53">
        <v>202</v>
      </c>
      <c r="F23" s="54"/>
      <c r="G23" s="54"/>
      <c r="I23" s="55" t="s">
        <v>344</v>
      </c>
      <c r="J23" s="53">
        <v>2</v>
      </c>
      <c r="K23" s="53">
        <v>2</v>
      </c>
      <c r="L23" s="56">
        <v>41</v>
      </c>
      <c r="M23" s="54"/>
      <c r="N23" s="54"/>
      <c r="O23" s="54"/>
      <c r="P23" s="53" t="s">
        <v>324</v>
      </c>
      <c r="Q23" s="54"/>
      <c r="R23" s="54"/>
      <c r="U23" s="57" t="s">
        <v>431</v>
      </c>
      <c r="V23" s="53">
        <v>202</v>
      </c>
      <c r="W23" s="60" t="s">
        <v>386</v>
      </c>
      <c r="Y23" s="54"/>
      <c r="Z23" s="54"/>
      <c r="AD23" s="54"/>
    </row>
    <row r="24" spans="1:30" x14ac:dyDescent="0.35">
      <c r="A24" s="35" t="s">
        <v>2</v>
      </c>
      <c r="D24" s="17">
        <v>203</v>
      </c>
      <c r="F24" s="18"/>
      <c r="G24" s="18"/>
      <c r="I24" s="44" t="s">
        <v>345</v>
      </c>
      <c r="J24" s="17">
        <v>3</v>
      </c>
      <c r="K24" s="17">
        <v>2</v>
      </c>
      <c r="L24" s="46">
        <v>51</v>
      </c>
      <c r="M24" s="18"/>
      <c r="N24" s="18"/>
      <c r="O24" s="18"/>
      <c r="P24" s="17" t="s">
        <v>384</v>
      </c>
      <c r="Q24" s="18"/>
      <c r="R24" s="18"/>
      <c r="U24" s="20" t="s">
        <v>432</v>
      </c>
      <c r="V24" s="17">
        <v>203</v>
      </c>
      <c r="W24" s="59" t="s">
        <v>387</v>
      </c>
      <c r="Y24" s="18"/>
      <c r="Z24" s="18"/>
      <c r="AD24" s="18"/>
    </row>
    <row r="25" spans="1:30" x14ac:dyDescent="0.35">
      <c r="A25" s="35" t="s">
        <v>2</v>
      </c>
      <c r="D25" s="17">
        <v>204</v>
      </c>
      <c r="F25" s="18"/>
      <c r="G25" s="18"/>
      <c r="I25" s="44" t="s">
        <v>346</v>
      </c>
      <c r="J25" s="17">
        <v>4</v>
      </c>
      <c r="K25" s="17">
        <v>2</v>
      </c>
      <c r="L25" s="46">
        <v>11</v>
      </c>
      <c r="M25" s="18"/>
      <c r="N25" s="18"/>
      <c r="O25" s="18"/>
      <c r="P25" s="17" t="s">
        <v>385</v>
      </c>
      <c r="Q25" s="18"/>
      <c r="R25" s="18"/>
      <c r="U25" s="20" t="s">
        <v>433</v>
      </c>
      <c r="V25" s="17">
        <v>204</v>
      </c>
      <c r="W25" s="59" t="s">
        <v>388</v>
      </c>
      <c r="Y25" s="18"/>
      <c r="Z25" s="18"/>
      <c r="AD25" s="18"/>
    </row>
    <row r="26" spans="1:30" x14ac:dyDescent="0.35">
      <c r="A26" s="35" t="s">
        <v>2</v>
      </c>
      <c r="D26" s="17">
        <v>205</v>
      </c>
      <c r="F26" s="18"/>
      <c r="G26" s="18"/>
      <c r="I26" s="44" t="s">
        <v>347</v>
      </c>
      <c r="J26" s="17">
        <v>5</v>
      </c>
      <c r="K26" s="17">
        <v>2</v>
      </c>
      <c r="L26" s="46">
        <v>1</v>
      </c>
      <c r="M26" s="18"/>
      <c r="N26" s="18"/>
      <c r="O26" s="18"/>
      <c r="P26" s="17" t="s">
        <v>383</v>
      </c>
      <c r="Q26" s="18"/>
      <c r="R26" s="18"/>
      <c r="U26" s="20" t="s">
        <v>434</v>
      </c>
      <c r="V26" s="17">
        <v>205</v>
      </c>
      <c r="W26" s="59" t="s">
        <v>402</v>
      </c>
      <c r="Y26" s="18"/>
      <c r="Z26" s="18"/>
      <c r="AD26" s="18"/>
    </row>
    <row r="27" spans="1:30" x14ac:dyDescent="0.35">
      <c r="F27" s="18"/>
      <c r="G27" s="18"/>
      <c r="H27" s="18"/>
      <c r="I27" s="44"/>
      <c r="M27" s="18"/>
      <c r="N27" s="18"/>
      <c r="O27" s="18"/>
      <c r="Q27" s="18"/>
      <c r="R27" s="18"/>
      <c r="U27" s="20"/>
      <c r="W27" s="59"/>
      <c r="Y27" s="18"/>
      <c r="Z27" s="18"/>
      <c r="AD27" s="18"/>
    </row>
    <row r="28" spans="1:30" x14ac:dyDescent="0.35">
      <c r="A28" s="35" t="s">
        <v>2</v>
      </c>
      <c r="D28" s="17">
        <v>206</v>
      </c>
      <c r="F28" s="18"/>
      <c r="G28" s="18"/>
      <c r="I28" s="44" t="s">
        <v>366</v>
      </c>
      <c r="J28" s="17">
        <v>6</v>
      </c>
      <c r="K28" s="17">
        <v>2</v>
      </c>
      <c r="L28" s="46">
        <v>34</v>
      </c>
      <c r="M28" s="18"/>
      <c r="N28" s="18"/>
      <c r="O28" s="18"/>
      <c r="P28" s="29" t="s">
        <v>404</v>
      </c>
      <c r="Q28" s="18"/>
      <c r="R28" s="18">
        <v>3</v>
      </c>
      <c r="U28" s="20" t="s">
        <v>434</v>
      </c>
      <c r="V28" s="17">
        <v>206</v>
      </c>
      <c r="W28" s="32" t="s">
        <v>538</v>
      </c>
      <c r="Y28" s="18"/>
      <c r="Z28" s="18"/>
      <c r="AD28" s="18"/>
    </row>
    <row r="29" spans="1:30" x14ac:dyDescent="0.35">
      <c r="A29" s="35" t="s">
        <v>2</v>
      </c>
      <c r="D29" s="17">
        <v>207</v>
      </c>
      <c r="F29" s="18"/>
      <c r="G29" s="18"/>
      <c r="I29" s="44" t="s">
        <v>375</v>
      </c>
      <c r="J29" s="17">
        <v>7</v>
      </c>
      <c r="K29" s="17">
        <v>2</v>
      </c>
      <c r="L29" s="46">
        <v>24</v>
      </c>
      <c r="M29" s="18"/>
      <c r="N29" s="18"/>
      <c r="O29" s="18"/>
      <c r="P29" s="29" t="s">
        <v>404</v>
      </c>
      <c r="Q29" s="18"/>
      <c r="R29" s="18">
        <v>3</v>
      </c>
      <c r="U29" s="20" t="s">
        <v>434</v>
      </c>
      <c r="V29" s="17">
        <v>207</v>
      </c>
      <c r="W29" s="32" t="s">
        <v>539</v>
      </c>
      <c r="Y29" s="18"/>
      <c r="Z29" s="18"/>
      <c r="AD29" s="18"/>
    </row>
    <row r="30" spans="1:30" s="53" customFormat="1" x14ac:dyDescent="0.35">
      <c r="A30" s="35" t="s">
        <v>2</v>
      </c>
      <c r="D30" s="53">
        <v>208</v>
      </c>
      <c r="F30" s="54"/>
      <c r="G30" s="54"/>
      <c r="I30" s="55" t="s">
        <v>377</v>
      </c>
      <c r="J30" s="53">
        <v>8</v>
      </c>
      <c r="K30" s="53">
        <v>2</v>
      </c>
      <c r="L30" s="56">
        <v>44</v>
      </c>
      <c r="M30" s="54"/>
      <c r="N30" s="54"/>
      <c r="O30" s="54"/>
      <c r="P30" s="58" t="s">
        <v>404</v>
      </c>
      <c r="Q30" s="54"/>
      <c r="R30" s="54">
        <v>3</v>
      </c>
      <c r="U30" s="57" t="s">
        <v>434</v>
      </c>
      <c r="V30" s="53">
        <v>208</v>
      </c>
      <c r="W30" s="61" t="s">
        <v>540</v>
      </c>
      <c r="Y30" s="54"/>
      <c r="Z30" s="54"/>
      <c r="AD30" s="54"/>
    </row>
    <row r="31" spans="1:30" x14ac:dyDescent="0.35">
      <c r="A31" s="35" t="s">
        <v>2</v>
      </c>
      <c r="D31" s="17">
        <v>209</v>
      </c>
      <c r="F31" s="18"/>
      <c r="G31" s="18"/>
      <c r="I31" s="44" t="s">
        <v>379</v>
      </c>
      <c r="J31" s="17">
        <v>9</v>
      </c>
      <c r="K31" s="17">
        <v>2</v>
      </c>
      <c r="L31" s="46">
        <v>54</v>
      </c>
      <c r="M31" s="18"/>
      <c r="N31" s="18"/>
      <c r="O31" s="18"/>
      <c r="P31" s="29" t="s">
        <v>404</v>
      </c>
      <c r="Q31" s="18"/>
      <c r="R31" s="18">
        <v>3</v>
      </c>
      <c r="U31" s="20" t="s">
        <v>434</v>
      </c>
      <c r="V31" s="17">
        <v>209</v>
      </c>
      <c r="W31" s="32" t="s">
        <v>541</v>
      </c>
      <c r="Y31" s="18"/>
      <c r="Z31" s="18"/>
      <c r="AD31" s="18"/>
    </row>
    <row r="32" spans="1:30" x14ac:dyDescent="0.35">
      <c r="A32" s="35" t="s">
        <v>2</v>
      </c>
      <c r="D32" s="17">
        <v>210</v>
      </c>
      <c r="F32" s="18"/>
      <c r="G32" s="18"/>
      <c r="I32" s="44" t="s">
        <v>381</v>
      </c>
      <c r="J32" s="17">
        <v>10</v>
      </c>
      <c r="K32" s="17">
        <v>2</v>
      </c>
      <c r="L32" s="46">
        <v>14</v>
      </c>
      <c r="M32" s="18"/>
      <c r="N32" s="18"/>
      <c r="O32" s="18"/>
      <c r="P32" s="29" t="s">
        <v>404</v>
      </c>
      <c r="Q32" s="18"/>
      <c r="R32" s="18">
        <v>3</v>
      </c>
      <c r="U32" s="20" t="s">
        <v>434</v>
      </c>
      <c r="V32" s="17">
        <v>210</v>
      </c>
      <c r="W32" s="32" t="s">
        <v>542</v>
      </c>
      <c r="Y32" s="18"/>
      <c r="Z32" s="18"/>
      <c r="AD32" s="18"/>
    </row>
    <row r="33" spans="1:30" x14ac:dyDescent="0.35">
      <c r="A33" s="35" t="s">
        <v>2</v>
      </c>
      <c r="D33" s="17">
        <v>211</v>
      </c>
      <c r="F33" s="18"/>
      <c r="G33" s="18"/>
      <c r="I33" s="44" t="s">
        <v>382</v>
      </c>
      <c r="J33" s="17">
        <v>11</v>
      </c>
      <c r="K33" s="17">
        <v>2</v>
      </c>
      <c r="L33" s="46">
        <v>4</v>
      </c>
      <c r="M33" s="18"/>
      <c r="N33" s="18"/>
      <c r="O33" s="18"/>
      <c r="P33" s="29" t="s">
        <v>404</v>
      </c>
      <c r="Q33" s="18"/>
      <c r="R33" s="18">
        <v>3</v>
      </c>
      <c r="U33" s="20" t="s">
        <v>434</v>
      </c>
      <c r="V33" s="17">
        <v>211</v>
      </c>
      <c r="W33" s="32" t="s">
        <v>403</v>
      </c>
      <c r="Y33" s="18"/>
      <c r="Z33" s="18"/>
      <c r="AD33" s="18"/>
    </row>
    <row r="34" spans="1:30" x14ac:dyDescent="0.35">
      <c r="I34" s="20"/>
      <c r="N34" s="18"/>
      <c r="U34" s="20"/>
      <c r="W34" s="59"/>
    </row>
    <row r="35" spans="1:30" x14ac:dyDescent="0.35">
      <c r="A35" s="35" t="s">
        <v>2</v>
      </c>
      <c r="D35" s="17">
        <v>301</v>
      </c>
      <c r="I35" s="44" t="s">
        <v>342</v>
      </c>
      <c r="J35" s="17">
        <v>1</v>
      </c>
      <c r="K35" s="17">
        <v>3</v>
      </c>
      <c r="L35" s="46">
        <v>32</v>
      </c>
      <c r="N35" s="18" t="s">
        <v>520</v>
      </c>
      <c r="P35" s="17" t="s">
        <v>324</v>
      </c>
      <c r="U35" s="20" t="s">
        <v>430</v>
      </c>
      <c r="V35" s="17">
        <v>301</v>
      </c>
      <c r="W35" s="32" t="s">
        <v>391</v>
      </c>
      <c r="X35" s="17" t="s">
        <v>464</v>
      </c>
      <c r="Y35" s="44" t="s">
        <v>342</v>
      </c>
    </row>
    <row r="36" spans="1:30" x14ac:dyDescent="0.35">
      <c r="A36" s="35" t="s">
        <v>2</v>
      </c>
      <c r="D36" s="17">
        <v>302</v>
      </c>
      <c r="I36" s="44" t="s">
        <v>342</v>
      </c>
      <c r="J36" s="17">
        <v>7</v>
      </c>
      <c r="K36" s="17">
        <v>3</v>
      </c>
      <c r="L36" s="46">
        <v>33</v>
      </c>
      <c r="M36" s="18"/>
      <c r="N36" s="18" t="s">
        <v>522</v>
      </c>
      <c r="P36" s="17" t="s">
        <v>383</v>
      </c>
      <c r="U36" s="20" t="s">
        <v>431</v>
      </c>
      <c r="V36" s="17">
        <v>302</v>
      </c>
      <c r="W36" s="32" t="s">
        <v>392</v>
      </c>
      <c r="X36" s="17" t="s">
        <v>465</v>
      </c>
      <c r="Y36" s="44" t="s">
        <v>342</v>
      </c>
    </row>
    <row r="37" spans="1:30" x14ac:dyDescent="0.35">
      <c r="A37" s="35" t="s">
        <v>2</v>
      </c>
      <c r="D37" s="17">
        <v>303</v>
      </c>
      <c r="I37" s="44" t="s">
        <v>343</v>
      </c>
      <c r="J37" s="17">
        <v>2</v>
      </c>
      <c r="K37" s="17">
        <v>3</v>
      </c>
      <c r="L37" s="46">
        <v>22</v>
      </c>
      <c r="M37" s="18"/>
      <c r="N37" s="18" t="s">
        <v>520</v>
      </c>
      <c r="P37" s="17" t="s">
        <v>324</v>
      </c>
      <c r="U37" s="20" t="s">
        <v>431</v>
      </c>
      <c r="V37" s="17">
        <v>303</v>
      </c>
      <c r="W37" s="32" t="s">
        <v>393</v>
      </c>
      <c r="X37" s="17" t="s">
        <v>464</v>
      </c>
      <c r="Y37" s="44" t="s">
        <v>343</v>
      </c>
    </row>
    <row r="38" spans="1:30" x14ac:dyDescent="0.35">
      <c r="A38" s="35" t="s">
        <v>2</v>
      </c>
      <c r="D38" s="17">
        <v>304</v>
      </c>
      <c r="I38" s="44" t="s">
        <v>374</v>
      </c>
      <c r="J38" s="17">
        <v>8</v>
      </c>
      <c r="K38" s="17">
        <v>3</v>
      </c>
      <c r="L38" s="46">
        <v>23</v>
      </c>
      <c r="N38" s="18" t="s">
        <v>522</v>
      </c>
      <c r="P38" s="17" t="s">
        <v>383</v>
      </c>
      <c r="U38" s="20" t="s">
        <v>432</v>
      </c>
      <c r="V38" s="17">
        <v>304</v>
      </c>
      <c r="W38" s="32" t="s">
        <v>394</v>
      </c>
      <c r="X38" s="17" t="s">
        <v>465</v>
      </c>
      <c r="Y38" s="44" t="s">
        <v>343</v>
      </c>
    </row>
    <row r="39" spans="1:30" x14ac:dyDescent="0.35">
      <c r="A39" s="35" t="s">
        <v>2</v>
      </c>
      <c r="D39" s="17">
        <v>305</v>
      </c>
      <c r="I39" s="44" t="s">
        <v>376</v>
      </c>
      <c r="J39" s="17">
        <v>3</v>
      </c>
      <c r="K39" s="17">
        <v>3</v>
      </c>
      <c r="L39" s="46">
        <v>42</v>
      </c>
      <c r="N39" s="18" t="s">
        <v>520</v>
      </c>
      <c r="P39" s="17" t="s">
        <v>324</v>
      </c>
      <c r="U39" s="20" t="s">
        <v>432</v>
      </c>
      <c r="V39" s="17">
        <v>305</v>
      </c>
      <c r="W39" s="32" t="s">
        <v>395</v>
      </c>
      <c r="X39" s="17" t="s">
        <v>464</v>
      </c>
      <c r="Y39" s="44" t="s">
        <v>344</v>
      </c>
    </row>
    <row r="40" spans="1:30" x14ac:dyDescent="0.35">
      <c r="A40" s="35" t="s">
        <v>607</v>
      </c>
      <c r="D40" s="17">
        <v>306</v>
      </c>
      <c r="I40" s="44" t="s">
        <v>376</v>
      </c>
      <c r="J40" s="17">
        <v>9</v>
      </c>
      <c r="K40" s="17">
        <v>3</v>
      </c>
      <c r="L40" s="46">
        <v>43</v>
      </c>
      <c r="N40" s="18" t="s">
        <v>522</v>
      </c>
      <c r="P40" s="17" t="s">
        <v>383</v>
      </c>
      <c r="U40" s="20" t="s">
        <v>433</v>
      </c>
      <c r="V40" s="17">
        <v>306</v>
      </c>
      <c r="W40" s="32" t="s">
        <v>608</v>
      </c>
      <c r="X40" s="17" t="s">
        <v>465</v>
      </c>
      <c r="Y40" s="44" t="s">
        <v>344</v>
      </c>
    </row>
    <row r="41" spans="1:30" x14ac:dyDescent="0.35">
      <c r="A41" s="35" t="s">
        <v>2</v>
      </c>
      <c r="D41" s="17">
        <v>307</v>
      </c>
      <c r="I41" s="44" t="s">
        <v>345</v>
      </c>
      <c r="J41" s="17">
        <v>4</v>
      </c>
      <c r="K41" s="17">
        <v>3</v>
      </c>
      <c r="L41" s="46">
        <v>52</v>
      </c>
      <c r="N41" s="18" t="s">
        <v>521</v>
      </c>
      <c r="P41" s="17" t="s">
        <v>385</v>
      </c>
      <c r="U41" s="20" t="s">
        <v>433</v>
      </c>
      <c r="V41" s="17">
        <v>307</v>
      </c>
      <c r="W41" s="32" t="s">
        <v>396</v>
      </c>
      <c r="X41" s="17" t="s">
        <v>467</v>
      </c>
      <c r="Y41" s="44" t="s">
        <v>345</v>
      </c>
    </row>
    <row r="42" spans="1:30" x14ac:dyDescent="0.35">
      <c r="A42" s="35" t="s">
        <v>2</v>
      </c>
      <c r="D42" s="17">
        <v>308</v>
      </c>
      <c r="I42" s="44" t="s">
        <v>378</v>
      </c>
      <c r="J42" s="17">
        <v>10</v>
      </c>
      <c r="K42" s="17">
        <v>3</v>
      </c>
      <c r="L42" s="46">
        <v>53</v>
      </c>
      <c r="N42" s="18" t="s">
        <v>523</v>
      </c>
      <c r="P42" s="17" t="s">
        <v>383</v>
      </c>
      <c r="U42" s="20" t="s">
        <v>434</v>
      </c>
      <c r="V42" s="17">
        <v>308</v>
      </c>
      <c r="W42" s="32" t="s">
        <v>397</v>
      </c>
      <c r="X42" s="17" t="s">
        <v>466</v>
      </c>
      <c r="Y42" s="44" t="s">
        <v>345</v>
      </c>
    </row>
    <row r="43" spans="1:30" x14ac:dyDescent="0.35">
      <c r="A43" s="35" t="s">
        <v>2</v>
      </c>
      <c r="D43" s="17">
        <v>309</v>
      </c>
      <c r="I43" s="44" t="s">
        <v>346</v>
      </c>
      <c r="J43" s="17">
        <v>5</v>
      </c>
      <c r="K43" s="17">
        <v>3</v>
      </c>
      <c r="L43" s="46">
        <v>12</v>
      </c>
      <c r="N43" s="18" t="s">
        <v>521</v>
      </c>
      <c r="P43" s="17" t="s">
        <v>385</v>
      </c>
      <c r="U43" s="20" t="s">
        <v>434</v>
      </c>
      <c r="V43" s="17">
        <v>309</v>
      </c>
      <c r="W43" s="32" t="s">
        <v>398</v>
      </c>
      <c r="X43" s="17" t="s">
        <v>467</v>
      </c>
      <c r="Y43" s="44" t="s">
        <v>346</v>
      </c>
    </row>
    <row r="44" spans="1:30" x14ac:dyDescent="0.35">
      <c r="A44" s="35" t="s">
        <v>2</v>
      </c>
      <c r="D44" s="17">
        <v>310</v>
      </c>
      <c r="I44" s="44" t="s">
        <v>380</v>
      </c>
      <c r="J44" s="17">
        <v>11</v>
      </c>
      <c r="K44" s="17">
        <v>3</v>
      </c>
      <c r="L44" s="46">
        <v>13</v>
      </c>
      <c r="N44" s="18" t="s">
        <v>523</v>
      </c>
      <c r="P44" s="17" t="s">
        <v>383</v>
      </c>
      <c r="U44" s="20" t="s">
        <v>435</v>
      </c>
      <c r="V44" s="17">
        <v>310</v>
      </c>
      <c r="W44" s="32" t="s">
        <v>399</v>
      </c>
      <c r="X44" s="17" t="s">
        <v>466</v>
      </c>
      <c r="Y44" s="44" t="s">
        <v>346</v>
      </c>
    </row>
    <row r="45" spans="1:30" x14ac:dyDescent="0.35">
      <c r="A45" s="35" t="s">
        <v>2</v>
      </c>
      <c r="D45" s="17">
        <v>311</v>
      </c>
      <c r="I45" s="44" t="s">
        <v>347</v>
      </c>
      <c r="J45" s="17">
        <v>6</v>
      </c>
      <c r="K45" s="17">
        <v>3</v>
      </c>
      <c r="L45" s="46">
        <v>2</v>
      </c>
      <c r="N45" s="18" t="s">
        <v>521</v>
      </c>
      <c r="P45" s="17" t="s">
        <v>385</v>
      </c>
      <c r="U45" s="20" t="s">
        <v>435</v>
      </c>
      <c r="V45" s="17">
        <v>311</v>
      </c>
      <c r="W45" s="32" t="s">
        <v>400</v>
      </c>
      <c r="X45" s="17" t="s">
        <v>467</v>
      </c>
      <c r="Y45" s="44" t="s">
        <v>347</v>
      </c>
    </row>
    <row r="46" spans="1:30" x14ac:dyDescent="0.35">
      <c r="A46" s="35" t="s">
        <v>2</v>
      </c>
      <c r="D46" s="17">
        <v>312</v>
      </c>
      <c r="I46" s="44" t="s">
        <v>347</v>
      </c>
      <c r="J46" s="17">
        <v>12</v>
      </c>
      <c r="K46" s="17">
        <v>3</v>
      </c>
      <c r="L46" s="46">
        <v>3</v>
      </c>
      <c r="N46" s="18" t="s">
        <v>523</v>
      </c>
      <c r="P46" s="17" t="s">
        <v>383</v>
      </c>
      <c r="U46" s="20" t="s">
        <v>436</v>
      </c>
      <c r="V46" s="17">
        <v>312</v>
      </c>
      <c r="W46" s="32" t="s">
        <v>401</v>
      </c>
      <c r="X46" s="17" t="s">
        <v>466</v>
      </c>
      <c r="Y46" s="44" t="s">
        <v>347</v>
      </c>
    </row>
    <row r="47" spans="1:30" x14ac:dyDescent="0.15">
      <c r="W47" s="59"/>
    </row>
    <row r="48" spans="1:30" x14ac:dyDescent="0.35">
      <c r="D48" s="17">
        <v>401</v>
      </c>
      <c r="F48" s="18"/>
      <c r="G48" s="18"/>
      <c r="H48" s="18"/>
      <c r="I48" s="32" t="s">
        <v>405</v>
      </c>
      <c r="J48" s="17">
        <v>2</v>
      </c>
      <c r="K48" s="17">
        <v>4</v>
      </c>
      <c r="L48" s="46">
        <v>201</v>
      </c>
      <c r="M48" s="18"/>
      <c r="N48" s="18"/>
      <c r="O48" s="18"/>
      <c r="P48" s="46" t="s">
        <v>706</v>
      </c>
      <c r="Q48" s="18" t="s">
        <v>319</v>
      </c>
      <c r="S48" s="32" t="s">
        <v>468</v>
      </c>
      <c r="U48" s="20" t="s">
        <v>484</v>
      </c>
      <c r="V48" s="17">
        <v>401</v>
      </c>
      <c r="W48" s="32" t="s">
        <v>421</v>
      </c>
      <c r="Y48" s="18"/>
      <c r="Z48" s="18"/>
      <c r="AD48" s="18"/>
    </row>
    <row r="49" spans="1:30" x14ac:dyDescent="0.35">
      <c r="A49" s="35" t="s">
        <v>2</v>
      </c>
      <c r="D49" s="17">
        <v>402</v>
      </c>
      <c r="F49" s="18"/>
      <c r="G49" s="18"/>
      <c r="H49" s="18"/>
      <c r="I49" s="32" t="s">
        <v>406</v>
      </c>
      <c r="J49" s="17">
        <v>3</v>
      </c>
      <c r="K49" s="17">
        <v>4</v>
      </c>
      <c r="L49" s="46">
        <v>202</v>
      </c>
      <c r="M49" s="18"/>
      <c r="N49" s="18"/>
      <c r="O49" s="18"/>
      <c r="P49" s="46" t="s">
        <v>708</v>
      </c>
      <c r="Q49" s="18" t="s">
        <v>420</v>
      </c>
      <c r="S49" s="32" t="s">
        <v>469</v>
      </c>
      <c r="U49" s="20" t="s">
        <v>710</v>
      </c>
      <c r="V49" s="17">
        <v>402</v>
      </c>
      <c r="W49" s="32" t="s">
        <v>422</v>
      </c>
      <c r="Y49" s="18"/>
      <c r="Z49" s="18"/>
      <c r="AD49" s="18"/>
    </row>
    <row r="50" spans="1:30" x14ac:dyDescent="0.35">
      <c r="A50" s="35" t="s">
        <v>2</v>
      </c>
      <c r="D50" s="17">
        <v>403</v>
      </c>
      <c r="F50" s="18"/>
      <c r="G50" s="18"/>
      <c r="H50" s="18"/>
      <c r="I50" s="32" t="s">
        <v>407</v>
      </c>
      <c r="J50" s="17">
        <v>4</v>
      </c>
      <c r="K50" s="17">
        <v>4</v>
      </c>
      <c r="L50" s="46">
        <v>203</v>
      </c>
      <c r="M50" s="18"/>
      <c r="N50" s="18"/>
      <c r="O50" s="18"/>
      <c r="P50" s="46" t="s">
        <v>708</v>
      </c>
      <c r="Q50" s="18" t="s">
        <v>420</v>
      </c>
      <c r="S50" s="32" t="s">
        <v>470</v>
      </c>
      <c r="U50" s="20" t="s">
        <v>710</v>
      </c>
      <c r="V50" s="17">
        <v>403</v>
      </c>
      <c r="W50" s="32" t="s">
        <v>423</v>
      </c>
      <c r="Y50" s="18"/>
      <c r="Z50" s="18"/>
      <c r="AD50" s="18"/>
    </row>
    <row r="51" spans="1:30" x14ac:dyDescent="0.35">
      <c r="A51" s="35" t="s">
        <v>2</v>
      </c>
      <c r="D51" s="17">
        <v>404</v>
      </c>
      <c r="F51" s="18"/>
      <c r="G51" s="18"/>
      <c r="H51" s="18"/>
      <c r="I51" s="32" t="s">
        <v>408</v>
      </c>
      <c r="J51" s="17">
        <v>6</v>
      </c>
      <c r="K51" s="17">
        <v>4</v>
      </c>
      <c r="L51" s="46">
        <v>204</v>
      </c>
      <c r="M51" s="18"/>
      <c r="N51" s="18"/>
      <c r="O51" s="18"/>
      <c r="P51" s="46" t="s">
        <v>707</v>
      </c>
      <c r="Q51" s="18" t="s">
        <v>418</v>
      </c>
      <c r="S51" s="32" t="s">
        <v>471</v>
      </c>
      <c r="U51" s="20" t="s">
        <v>485</v>
      </c>
      <c r="V51" s="17">
        <v>404</v>
      </c>
      <c r="W51" s="32" t="s">
        <v>424</v>
      </c>
      <c r="Y51" s="18"/>
      <c r="Z51" s="18"/>
      <c r="AD51" s="18"/>
    </row>
    <row r="52" spans="1:30" x14ac:dyDescent="0.35">
      <c r="A52" s="35" t="s">
        <v>2</v>
      </c>
      <c r="D52" s="17">
        <v>405</v>
      </c>
      <c r="F52" s="18"/>
      <c r="G52" s="18"/>
      <c r="H52" s="18"/>
      <c r="I52" s="32" t="s">
        <v>409</v>
      </c>
      <c r="J52" s="17">
        <v>7</v>
      </c>
      <c r="K52" s="17">
        <v>4</v>
      </c>
      <c r="L52" s="46">
        <v>205</v>
      </c>
      <c r="M52" s="18"/>
      <c r="N52" s="18"/>
      <c r="O52" s="18"/>
      <c r="P52" s="46" t="s">
        <v>707</v>
      </c>
      <c r="Q52" s="18" t="s">
        <v>320</v>
      </c>
      <c r="S52" s="32" t="s">
        <v>472</v>
      </c>
      <c r="U52" s="20" t="s">
        <v>485</v>
      </c>
      <c r="V52" s="17">
        <v>405</v>
      </c>
      <c r="W52" s="32" t="s">
        <v>425</v>
      </c>
      <c r="Y52" s="18"/>
      <c r="Z52" s="18"/>
      <c r="AD52" s="18"/>
    </row>
    <row r="53" spans="1:30" x14ac:dyDescent="0.35">
      <c r="A53" s="35" t="s">
        <v>2</v>
      </c>
      <c r="D53" s="17">
        <v>406</v>
      </c>
      <c r="F53" s="18"/>
      <c r="G53" s="18"/>
      <c r="H53" s="18"/>
      <c r="I53" s="32" t="s">
        <v>410</v>
      </c>
      <c r="J53" s="17">
        <v>5</v>
      </c>
      <c r="K53" s="17">
        <v>4</v>
      </c>
      <c r="L53" s="46">
        <v>206</v>
      </c>
      <c r="M53" s="18"/>
      <c r="N53" s="18"/>
      <c r="O53" s="18"/>
      <c r="P53" s="46" t="s">
        <v>708</v>
      </c>
      <c r="Q53" s="18" t="s">
        <v>419</v>
      </c>
      <c r="S53" s="32" t="s">
        <v>473</v>
      </c>
      <c r="U53" s="20" t="s">
        <v>710</v>
      </c>
      <c r="V53" s="17">
        <v>406</v>
      </c>
      <c r="W53" s="32" t="s">
        <v>426</v>
      </c>
      <c r="Y53" s="18"/>
      <c r="Z53" s="18"/>
      <c r="AD53" s="18"/>
    </row>
    <row r="54" spans="1:30" x14ac:dyDescent="0.35">
      <c r="A54" s="35" t="s">
        <v>2</v>
      </c>
      <c r="D54" s="17">
        <v>407</v>
      </c>
      <c r="F54" s="18"/>
      <c r="G54" s="18"/>
      <c r="H54" s="18"/>
      <c r="I54" s="32" t="s">
        <v>414</v>
      </c>
      <c r="J54" s="17">
        <v>8</v>
      </c>
      <c r="K54" s="17">
        <v>4</v>
      </c>
      <c r="L54" s="46">
        <v>207</v>
      </c>
      <c r="M54" s="18"/>
      <c r="N54" s="18"/>
      <c r="O54" s="18"/>
      <c r="P54" s="46" t="s">
        <v>707</v>
      </c>
      <c r="Q54" s="18" t="s">
        <v>319</v>
      </c>
      <c r="S54" s="32" t="s">
        <v>474</v>
      </c>
      <c r="U54" s="20" t="s">
        <v>485</v>
      </c>
      <c r="V54" s="17">
        <v>407</v>
      </c>
      <c r="W54" s="32" t="s">
        <v>427</v>
      </c>
      <c r="Y54" s="18"/>
      <c r="Z54" s="18"/>
      <c r="AD54" s="18"/>
    </row>
    <row r="55" spans="1:30" x14ac:dyDescent="0.35">
      <c r="A55" s="35" t="s">
        <v>2</v>
      </c>
      <c r="D55" s="17">
        <v>408</v>
      </c>
      <c r="F55" s="18"/>
      <c r="G55" s="18"/>
      <c r="H55" s="18"/>
      <c r="I55" s="32" t="s">
        <v>411</v>
      </c>
      <c r="J55" s="17">
        <v>1</v>
      </c>
      <c r="K55" s="17">
        <v>4</v>
      </c>
      <c r="L55" s="46">
        <v>208</v>
      </c>
      <c r="M55" s="18"/>
      <c r="N55" s="18"/>
      <c r="O55" s="18"/>
      <c r="P55" s="46" t="s">
        <v>706</v>
      </c>
      <c r="Q55" s="18" t="s">
        <v>419</v>
      </c>
      <c r="S55" s="32" t="s">
        <v>475</v>
      </c>
      <c r="U55" s="20" t="s">
        <v>709</v>
      </c>
      <c r="V55" s="17">
        <v>408</v>
      </c>
      <c r="W55" s="32" t="s">
        <v>428</v>
      </c>
      <c r="Y55" s="18"/>
      <c r="Z55" s="18"/>
      <c r="AD55" s="18"/>
    </row>
    <row r="56" spans="1:30" x14ac:dyDescent="0.35">
      <c r="A56" s="35" t="s">
        <v>2</v>
      </c>
      <c r="D56" s="17">
        <v>409</v>
      </c>
      <c r="F56" s="18"/>
      <c r="G56" s="18"/>
      <c r="H56" s="18"/>
      <c r="I56" s="32" t="s">
        <v>412</v>
      </c>
      <c r="J56" s="17">
        <v>9</v>
      </c>
      <c r="K56" s="17">
        <v>4</v>
      </c>
      <c r="L56" s="46">
        <v>209</v>
      </c>
      <c r="M56" s="18"/>
      <c r="N56" s="18"/>
      <c r="O56" s="18"/>
      <c r="P56" s="46" t="s">
        <v>707</v>
      </c>
      <c r="Q56" s="18" t="s">
        <v>420</v>
      </c>
      <c r="S56" s="32" t="s">
        <v>476</v>
      </c>
      <c r="U56" s="20" t="s">
        <v>486</v>
      </c>
      <c r="V56" s="17">
        <v>409</v>
      </c>
      <c r="W56" s="32" t="s">
        <v>429</v>
      </c>
      <c r="Y56" s="18"/>
      <c r="Z56" s="18"/>
      <c r="AD56" s="18"/>
    </row>
    <row r="57" spans="1:30" x14ac:dyDescent="0.35">
      <c r="A57" s="35" t="s">
        <v>2</v>
      </c>
      <c r="D57" s="17">
        <v>410</v>
      </c>
      <c r="F57" s="18"/>
      <c r="G57" s="18"/>
      <c r="H57" s="18"/>
      <c r="I57" s="32" t="s">
        <v>413</v>
      </c>
      <c r="J57" s="17">
        <v>10</v>
      </c>
      <c r="K57" s="17">
        <v>4</v>
      </c>
      <c r="L57" s="46">
        <v>210</v>
      </c>
      <c r="M57" s="18"/>
      <c r="N57" s="18"/>
      <c r="O57" s="18"/>
      <c r="P57" s="46" t="s">
        <v>707</v>
      </c>
      <c r="Q57" s="18" t="s">
        <v>418</v>
      </c>
      <c r="S57" s="32" t="s">
        <v>477</v>
      </c>
      <c r="U57" s="20" t="s">
        <v>711</v>
      </c>
      <c r="V57" s="17">
        <v>410</v>
      </c>
      <c r="W57" s="32" t="s">
        <v>440</v>
      </c>
      <c r="Y57" s="18"/>
      <c r="Z57" s="18"/>
      <c r="AD57" s="18"/>
    </row>
    <row r="58" spans="1:30" x14ac:dyDescent="0.35">
      <c r="F58" s="18"/>
      <c r="G58" s="18"/>
      <c r="H58" s="18"/>
      <c r="I58" s="20"/>
      <c r="M58" s="18"/>
      <c r="N58" s="18"/>
      <c r="O58" s="18"/>
      <c r="Q58" s="18"/>
      <c r="R58" s="18"/>
      <c r="U58" s="20"/>
      <c r="W58" s="59"/>
      <c r="Y58" s="18"/>
      <c r="Z58" s="18"/>
      <c r="AD58" s="18"/>
    </row>
    <row r="59" spans="1:30" x14ac:dyDescent="0.35">
      <c r="A59" s="35" t="s">
        <v>2</v>
      </c>
      <c r="D59" s="17">
        <v>500</v>
      </c>
      <c r="E59" s="17" t="s">
        <v>439</v>
      </c>
      <c r="F59" s="18"/>
      <c r="G59" s="18"/>
      <c r="H59" s="18"/>
      <c r="I59" s="32" t="s">
        <v>327</v>
      </c>
      <c r="J59" s="17">
        <v>1</v>
      </c>
      <c r="K59" s="17">
        <v>5</v>
      </c>
      <c r="N59" s="18" t="s">
        <v>511</v>
      </c>
      <c r="S59" s="32" t="s">
        <v>327</v>
      </c>
      <c r="U59" s="20" t="s">
        <v>487</v>
      </c>
      <c r="W59" s="32" t="s">
        <v>441</v>
      </c>
      <c r="Y59" s="18"/>
      <c r="Z59" s="18"/>
      <c r="AD59" s="18"/>
    </row>
    <row r="60" spans="1:30" x14ac:dyDescent="0.35">
      <c r="A60" s="35" t="s">
        <v>2</v>
      </c>
      <c r="D60" s="17">
        <v>501</v>
      </c>
      <c r="E60" s="17" t="s">
        <v>437</v>
      </c>
      <c r="F60" s="18"/>
      <c r="G60" s="18"/>
      <c r="H60" s="18"/>
      <c r="I60" s="32" t="s">
        <v>328</v>
      </c>
      <c r="J60" s="17">
        <v>2</v>
      </c>
      <c r="K60" s="17">
        <v>5</v>
      </c>
      <c r="N60" s="18" t="s">
        <v>512</v>
      </c>
      <c r="S60" s="32" t="s">
        <v>328</v>
      </c>
      <c r="U60" s="20" t="s">
        <v>261</v>
      </c>
      <c r="W60" s="32" t="s">
        <v>442</v>
      </c>
      <c r="Y60" s="18"/>
      <c r="Z60" s="18"/>
      <c r="AD60" s="18"/>
    </row>
    <row r="61" spans="1:30" x14ac:dyDescent="0.35">
      <c r="F61" s="18"/>
      <c r="G61" s="18"/>
      <c r="H61" s="18"/>
      <c r="I61" s="32"/>
      <c r="S61" s="32"/>
      <c r="U61" s="20"/>
      <c r="W61" s="32"/>
      <c r="Y61" s="18"/>
      <c r="Z61" s="18"/>
      <c r="AD61" s="18"/>
    </row>
    <row r="62" spans="1:30" x14ac:dyDescent="0.35">
      <c r="A62" s="35" t="s">
        <v>2</v>
      </c>
      <c r="D62" s="17">
        <v>510</v>
      </c>
      <c r="E62" s="17" t="s">
        <v>322</v>
      </c>
      <c r="F62" s="18"/>
      <c r="G62" s="18"/>
      <c r="H62" s="18"/>
      <c r="I62" s="32" t="s">
        <v>548</v>
      </c>
      <c r="J62" s="17">
        <v>6</v>
      </c>
      <c r="K62" s="17">
        <v>5</v>
      </c>
      <c r="N62" s="18" t="s">
        <v>574</v>
      </c>
      <c r="S62" s="32" t="s">
        <v>549</v>
      </c>
      <c r="U62" s="20" t="s">
        <v>479</v>
      </c>
      <c r="W62" s="32" t="s">
        <v>550</v>
      </c>
      <c r="Y62" s="18"/>
      <c r="Z62" s="18"/>
      <c r="AD62" s="18"/>
    </row>
    <row r="63" spans="1:30" s="49" customFormat="1" ht="16.5" customHeight="1" x14ac:dyDescent="0.35">
      <c r="A63" s="48"/>
      <c r="D63" s="49">
        <v>511</v>
      </c>
      <c r="E63" s="49" t="s">
        <v>322</v>
      </c>
      <c r="F63" s="50"/>
      <c r="G63" s="50"/>
      <c r="H63" s="50"/>
      <c r="I63" s="51" t="s">
        <v>463</v>
      </c>
      <c r="J63" s="49">
        <v>7</v>
      </c>
      <c r="K63" s="49">
        <v>5</v>
      </c>
      <c r="N63" s="50" t="s">
        <v>513</v>
      </c>
      <c r="S63" s="51" t="s">
        <v>443</v>
      </c>
      <c r="U63" s="52" t="s">
        <v>478</v>
      </c>
      <c r="W63" s="51" t="s">
        <v>452</v>
      </c>
      <c r="Y63" s="50"/>
      <c r="Z63" s="50"/>
      <c r="AD63" s="50"/>
    </row>
    <row r="64" spans="1:30" ht="16.5" customHeight="1" x14ac:dyDescent="0.35">
      <c r="F64" s="18"/>
      <c r="G64" s="18"/>
      <c r="H64" s="18"/>
      <c r="I64" s="20"/>
      <c r="M64" s="18"/>
      <c r="O64" s="18"/>
      <c r="Q64" s="18"/>
      <c r="R64" s="18"/>
      <c r="S64" s="20"/>
      <c r="U64" s="20"/>
      <c r="W64" s="59"/>
      <c r="Y64" s="18"/>
      <c r="Z64" s="18"/>
      <c r="AD64" s="18"/>
    </row>
    <row r="65" spans="1:30" s="49" customFormat="1" ht="16.5" customHeight="1" x14ac:dyDescent="0.35">
      <c r="A65" s="48"/>
      <c r="D65" s="49">
        <v>520</v>
      </c>
      <c r="E65" s="49" t="s">
        <v>453</v>
      </c>
      <c r="F65" s="50"/>
      <c r="G65" s="50"/>
      <c r="H65" s="50"/>
      <c r="I65" s="51" t="s">
        <v>460</v>
      </c>
      <c r="J65" s="49">
        <v>8</v>
      </c>
      <c r="K65" s="49">
        <v>5</v>
      </c>
      <c r="N65" s="50" t="s">
        <v>514</v>
      </c>
      <c r="S65" s="51" t="s">
        <v>444</v>
      </c>
      <c r="U65" s="52" t="s">
        <v>480</v>
      </c>
      <c r="W65" s="51" t="s">
        <v>459</v>
      </c>
      <c r="Y65" s="50"/>
      <c r="Z65" s="50"/>
      <c r="AD65" s="50"/>
    </row>
    <row r="66" spans="1:30" s="49" customFormat="1" ht="16.5" customHeight="1" x14ac:dyDescent="0.35">
      <c r="A66" s="48"/>
      <c r="D66" s="49">
        <v>521</v>
      </c>
      <c r="E66" s="49" t="s">
        <v>453</v>
      </c>
      <c r="F66" s="50"/>
      <c r="G66" s="50"/>
      <c r="H66" s="50"/>
      <c r="I66" s="51" t="s">
        <v>461</v>
      </c>
      <c r="J66" s="49">
        <v>9</v>
      </c>
      <c r="K66" s="49">
        <v>5</v>
      </c>
      <c r="N66" s="50" t="s">
        <v>515</v>
      </c>
      <c r="S66" s="51" t="s">
        <v>445</v>
      </c>
      <c r="U66" s="52" t="s">
        <v>458</v>
      </c>
      <c r="W66" s="51" t="s">
        <v>458</v>
      </c>
      <c r="Y66" s="50"/>
      <c r="Z66" s="50"/>
      <c r="AD66" s="50"/>
    </row>
    <row r="67" spans="1:30" x14ac:dyDescent="0.35">
      <c r="A67" s="35" t="s">
        <v>2</v>
      </c>
      <c r="D67" s="17">
        <v>522</v>
      </c>
      <c r="E67" s="17" t="s">
        <v>453</v>
      </c>
      <c r="F67" s="18"/>
      <c r="G67" s="18"/>
      <c r="H67" s="18"/>
      <c r="I67" s="32" t="s">
        <v>462</v>
      </c>
      <c r="J67" s="17">
        <v>10</v>
      </c>
      <c r="K67" s="17">
        <v>5</v>
      </c>
      <c r="N67" s="18" t="s">
        <v>516</v>
      </c>
      <c r="S67" s="32" t="s">
        <v>446</v>
      </c>
      <c r="U67" s="20" t="s">
        <v>447</v>
      </c>
      <c r="W67" s="32" t="s">
        <v>447</v>
      </c>
      <c r="Y67" s="18"/>
      <c r="Z67" s="18"/>
      <c r="AD67" s="18"/>
    </row>
    <row r="68" spans="1:30" x14ac:dyDescent="0.35">
      <c r="F68" s="18"/>
      <c r="G68" s="18"/>
      <c r="H68" s="18"/>
      <c r="I68" s="20"/>
      <c r="M68" s="18"/>
      <c r="O68" s="18"/>
      <c r="Q68" s="18"/>
      <c r="R68" s="18"/>
      <c r="S68" s="20"/>
      <c r="U68" s="20"/>
      <c r="W68" s="59"/>
      <c r="Y68" s="18"/>
      <c r="Z68" s="18"/>
      <c r="AD68" s="18"/>
    </row>
    <row r="69" spans="1:30" x14ac:dyDescent="0.35">
      <c r="A69" s="35" t="s">
        <v>2</v>
      </c>
      <c r="D69" s="17">
        <v>530</v>
      </c>
      <c r="E69" s="17" t="s">
        <v>438</v>
      </c>
      <c r="F69" s="18"/>
      <c r="G69" s="18"/>
      <c r="H69" s="18"/>
      <c r="I69" s="32" t="s">
        <v>448</v>
      </c>
      <c r="J69" s="17">
        <v>3</v>
      </c>
      <c r="K69" s="17">
        <v>5</v>
      </c>
      <c r="N69" s="18" t="s">
        <v>517</v>
      </c>
      <c r="S69" s="32" t="s">
        <v>448</v>
      </c>
      <c r="U69" s="20" t="s">
        <v>481</v>
      </c>
      <c r="W69" s="32" t="s">
        <v>451</v>
      </c>
      <c r="Y69" s="18"/>
      <c r="Z69" s="18"/>
      <c r="AD69" s="18"/>
    </row>
    <row r="70" spans="1:30" x14ac:dyDescent="0.35">
      <c r="A70" s="35" t="s">
        <v>2</v>
      </c>
      <c r="D70" s="17">
        <v>531</v>
      </c>
      <c r="E70" s="17" t="s">
        <v>714</v>
      </c>
      <c r="F70" s="18"/>
      <c r="G70" s="18"/>
      <c r="H70" s="18"/>
      <c r="I70" s="32" t="s">
        <v>455</v>
      </c>
      <c r="J70" s="17">
        <v>4</v>
      </c>
      <c r="K70" s="17">
        <v>5</v>
      </c>
      <c r="N70" s="18" t="s">
        <v>518</v>
      </c>
      <c r="S70" s="32" t="s">
        <v>449</v>
      </c>
      <c r="U70" s="20" t="s">
        <v>482</v>
      </c>
      <c r="W70" s="32" t="s">
        <v>456</v>
      </c>
      <c r="Y70" s="18"/>
      <c r="Z70" s="18"/>
      <c r="AD70" s="18"/>
    </row>
    <row r="71" spans="1:30" x14ac:dyDescent="0.35">
      <c r="A71" s="35" t="s">
        <v>2</v>
      </c>
      <c r="D71" s="17">
        <v>532</v>
      </c>
      <c r="E71" s="17" t="s">
        <v>715</v>
      </c>
      <c r="F71" s="18"/>
      <c r="G71" s="18"/>
      <c r="H71" s="18"/>
      <c r="I71" s="32" t="s">
        <v>454</v>
      </c>
      <c r="J71" s="17">
        <v>5</v>
      </c>
      <c r="K71" s="17">
        <v>5</v>
      </c>
      <c r="N71" s="18" t="s">
        <v>519</v>
      </c>
      <c r="S71" s="32" t="s">
        <v>450</v>
      </c>
      <c r="U71" s="20" t="s">
        <v>483</v>
      </c>
      <c r="W71" s="32" t="s">
        <v>457</v>
      </c>
      <c r="Y71" s="18"/>
      <c r="Z71" s="18"/>
      <c r="AD71" s="18"/>
    </row>
    <row r="72" spans="1:30" x14ac:dyDescent="0.15">
      <c r="W72" s="59"/>
    </row>
    <row r="73" spans="1:30" x14ac:dyDescent="0.35">
      <c r="A73" s="35" t="s">
        <v>2</v>
      </c>
      <c r="D73" s="17">
        <v>610</v>
      </c>
      <c r="E73" s="17" t="s">
        <v>322</v>
      </c>
      <c r="F73" s="17" t="s">
        <v>322</v>
      </c>
      <c r="G73" s="18"/>
      <c r="H73" s="17" t="s">
        <v>625</v>
      </c>
      <c r="I73" s="32" t="s">
        <v>548</v>
      </c>
      <c r="K73" s="17">
        <v>0</v>
      </c>
      <c r="N73" s="18" t="s">
        <v>574</v>
      </c>
      <c r="R73" s="17">
        <v>1</v>
      </c>
      <c r="S73" s="32" t="s">
        <v>549</v>
      </c>
      <c r="U73" s="20" t="s">
        <v>479</v>
      </c>
      <c r="W73" s="32" t="s">
        <v>551</v>
      </c>
      <c r="Y73" s="18"/>
      <c r="Z73" s="18"/>
      <c r="AD73" s="18"/>
    </row>
    <row r="74" spans="1:30" s="49" customFormat="1" ht="16.5" customHeight="1" x14ac:dyDescent="0.35">
      <c r="A74" s="48"/>
      <c r="D74" s="49">
        <v>611</v>
      </c>
      <c r="E74" s="49" t="s">
        <v>322</v>
      </c>
      <c r="F74" s="49" t="s">
        <v>322</v>
      </c>
      <c r="G74" s="50"/>
      <c r="H74" s="49" t="s">
        <v>531</v>
      </c>
      <c r="I74" s="51" t="s">
        <v>463</v>
      </c>
      <c r="K74" s="49">
        <v>0</v>
      </c>
      <c r="N74" s="50" t="s">
        <v>513</v>
      </c>
      <c r="R74" s="49">
        <v>1</v>
      </c>
      <c r="S74" s="51" t="s">
        <v>443</v>
      </c>
      <c r="U74" s="52" t="s">
        <v>478</v>
      </c>
      <c r="W74" s="51" t="s">
        <v>452</v>
      </c>
      <c r="Y74" s="50"/>
      <c r="Z74" s="50"/>
      <c r="AD74" s="50"/>
    </row>
    <row r="75" spans="1:30" ht="16.5" customHeight="1" x14ac:dyDescent="0.35">
      <c r="G75" s="18"/>
      <c r="H75" s="18"/>
      <c r="I75" s="20"/>
      <c r="M75" s="18"/>
      <c r="O75" s="18"/>
      <c r="Q75" s="18"/>
      <c r="R75" s="18"/>
      <c r="S75" s="20"/>
      <c r="U75" s="20"/>
      <c r="W75" s="59"/>
      <c r="Y75" s="18"/>
      <c r="Z75" s="18"/>
      <c r="AD75" s="18"/>
    </row>
    <row r="76" spans="1:30" s="49" customFormat="1" ht="16.5" customHeight="1" x14ac:dyDescent="0.35">
      <c r="A76" s="48"/>
      <c r="D76" s="49">
        <v>620</v>
      </c>
      <c r="E76" s="49" t="s">
        <v>453</v>
      </c>
      <c r="F76" s="49" t="s">
        <v>453</v>
      </c>
      <c r="G76" s="50"/>
      <c r="H76" s="49" t="s">
        <v>531</v>
      </c>
      <c r="I76" s="51" t="s">
        <v>460</v>
      </c>
      <c r="K76" s="49">
        <v>0</v>
      </c>
      <c r="N76" s="50" t="s">
        <v>514</v>
      </c>
      <c r="R76" s="49">
        <v>1</v>
      </c>
      <c r="S76" s="51" t="s">
        <v>444</v>
      </c>
      <c r="U76" s="52" t="s">
        <v>459</v>
      </c>
      <c r="W76" s="51" t="s">
        <v>459</v>
      </c>
      <c r="Y76" s="50"/>
      <c r="Z76" s="50"/>
      <c r="AD76" s="50"/>
    </row>
    <row r="77" spans="1:30" s="49" customFormat="1" ht="16.5" customHeight="1" x14ac:dyDescent="0.35">
      <c r="A77" s="48"/>
      <c r="D77" s="49">
        <v>621</v>
      </c>
      <c r="E77" s="49" t="s">
        <v>453</v>
      </c>
      <c r="F77" s="49" t="s">
        <v>453</v>
      </c>
      <c r="G77" s="50"/>
      <c r="H77" s="49" t="s">
        <v>531</v>
      </c>
      <c r="I77" s="51" t="s">
        <v>461</v>
      </c>
      <c r="K77" s="49">
        <v>0</v>
      </c>
      <c r="N77" s="50" t="s">
        <v>515</v>
      </c>
      <c r="R77" s="49">
        <v>1</v>
      </c>
      <c r="S77" s="51" t="s">
        <v>445</v>
      </c>
      <c r="U77" s="52" t="s">
        <v>458</v>
      </c>
      <c r="W77" s="51" t="s">
        <v>458</v>
      </c>
      <c r="Y77" s="50"/>
      <c r="Z77" s="50"/>
      <c r="AD77" s="50"/>
    </row>
    <row r="78" spans="1:30" x14ac:dyDescent="0.35">
      <c r="A78" s="35" t="s">
        <v>2</v>
      </c>
      <c r="D78" s="17">
        <v>622</v>
      </c>
      <c r="E78" s="17" t="s">
        <v>453</v>
      </c>
      <c r="F78" s="17" t="s">
        <v>453</v>
      </c>
      <c r="G78" s="18"/>
      <c r="H78" s="17" t="s">
        <v>626</v>
      </c>
      <c r="I78" s="32" t="s">
        <v>462</v>
      </c>
      <c r="K78" s="17">
        <v>0</v>
      </c>
      <c r="N78" s="18" t="s">
        <v>516</v>
      </c>
      <c r="R78" s="17">
        <v>1</v>
      </c>
      <c r="S78" s="32" t="s">
        <v>446</v>
      </c>
      <c r="U78" s="20" t="s">
        <v>447</v>
      </c>
      <c r="W78" s="32" t="s">
        <v>447</v>
      </c>
      <c r="Y78" s="18"/>
      <c r="Z78" s="18"/>
      <c r="AD78" s="18"/>
    </row>
    <row r="80" spans="1:30" x14ac:dyDescent="0.35">
      <c r="A80" s="35" t="s">
        <v>2</v>
      </c>
      <c r="D80" s="17">
        <v>701</v>
      </c>
      <c r="G80" s="17" t="s">
        <v>611</v>
      </c>
      <c r="H80" s="17" t="s">
        <v>620</v>
      </c>
      <c r="I80" s="44" t="s">
        <v>560</v>
      </c>
      <c r="K80" s="17">
        <v>0</v>
      </c>
      <c r="L80" s="46"/>
      <c r="N80" s="18" t="s">
        <v>569</v>
      </c>
      <c r="P80" s="17" t="s">
        <v>383</v>
      </c>
      <c r="U80" s="20" t="s">
        <v>632</v>
      </c>
      <c r="W80" s="44" t="s">
        <v>683</v>
      </c>
      <c r="AA80" s="18"/>
      <c r="AB80" s="18"/>
      <c r="AC80" s="18"/>
      <c r="AD80" s="18"/>
    </row>
    <row r="81" spans="1:30" x14ac:dyDescent="0.35">
      <c r="A81" s="35" t="s">
        <v>2</v>
      </c>
      <c r="C81" s="17" t="s">
        <v>630</v>
      </c>
      <c r="D81" s="17">
        <v>702</v>
      </c>
      <c r="E81" s="17" t="s">
        <v>322</v>
      </c>
      <c r="F81" s="17" t="s">
        <v>322</v>
      </c>
      <c r="G81" s="18"/>
      <c r="H81" s="17" t="s">
        <v>661</v>
      </c>
      <c r="I81" s="32" t="s">
        <v>662</v>
      </c>
      <c r="K81" s="17">
        <v>0</v>
      </c>
      <c r="N81" s="18" t="s">
        <v>660</v>
      </c>
      <c r="R81" s="17">
        <v>1</v>
      </c>
      <c r="S81" s="32" t="s">
        <v>722</v>
      </c>
      <c r="U81" s="20" t="s">
        <v>632</v>
      </c>
      <c r="W81" s="32" t="s">
        <v>731</v>
      </c>
      <c r="Y81" s="18"/>
      <c r="Z81" s="18"/>
      <c r="AD81" s="18"/>
    </row>
    <row r="82" spans="1:30" x14ac:dyDescent="0.35">
      <c r="A82" s="35" t="s">
        <v>2</v>
      </c>
      <c r="C82" s="17" t="s">
        <v>630</v>
      </c>
      <c r="D82" s="17">
        <v>703</v>
      </c>
      <c r="E82" s="17" t="s">
        <v>322</v>
      </c>
      <c r="F82" s="17" t="s">
        <v>322</v>
      </c>
      <c r="G82" s="18"/>
      <c r="H82" s="17" t="s">
        <v>661</v>
      </c>
      <c r="I82" s="32" t="s">
        <v>662</v>
      </c>
      <c r="K82" s="17">
        <v>0</v>
      </c>
      <c r="N82" s="18" t="s">
        <v>660</v>
      </c>
      <c r="R82" s="17">
        <v>1</v>
      </c>
      <c r="S82" s="32" t="s">
        <v>723</v>
      </c>
      <c r="U82" s="20" t="s">
        <v>632</v>
      </c>
      <c r="W82" s="32" t="s">
        <v>732</v>
      </c>
      <c r="Y82" s="18"/>
      <c r="Z82" s="18"/>
      <c r="AD82" s="18"/>
    </row>
    <row r="83" spans="1:30" x14ac:dyDescent="0.35">
      <c r="A83" s="35" t="s">
        <v>2</v>
      </c>
      <c r="C83" s="17" t="s">
        <v>630</v>
      </c>
      <c r="D83" s="17">
        <v>704</v>
      </c>
      <c r="E83" s="17" t="s">
        <v>322</v>
      </c>
      <c r="F83" s="17" t="s">
        <v>322</v>
      </c>
      <c r="G83" s="18"/>
      <c r="H83" s="17" t="s">
        <v>661</v>
      </c>
      <c r="I83" s="32" t="s">
        <v>662</v>
      </c>
      <c r="K83" s="17">
        <v>0</v>
      </c>
      <c r="N83" s="18" t="s">
        <v>660</v>
      </c>
      <c r="R83" s="17">
        <v>1</v>
      </c>
      <c r="S83" s="32" t="s">
        <v>724</v>
      </c>
      <c r="U83" s="20" t="s">
        <v>632</v>
      </c>
      <c r="W83" s="32" t="s">
        <v>728</v>
      </c>
      <c r="Y83" s="18"/>
      <c r="Z83" s="18"/>
      <c r="AD83" s="18"/>
    </row>
    <row r="84" spans="1:30" x14ac:dyDescent="0.35">
      <c r="A84" s="35" t="s">
        <v>2</v>
      </c>
      <c r="C84" s="17" t="s">
        <v>630</v>
      </c>
      <c r="D84" s="17">
        <v>705</v>
      </c>
      <c r="E84" s="17" t="s">
        <v>322</v>
      </c>
      <c r="F84" s="17" t="s">
        <v>322</v>
      </c>
      <c r="G84" s="18"/>
      <c r="H84" s="17" t="s">
        <v>661</v>
      </c>
      <c r="I84" s="32" t="s">
        <v>662</v>
      </c>
      <c r="K84" s="17">
        <v>0</v>
      </c>
      <c r="N84" s="18" t="s">
        <v>660</v>
      </c>
      <c r="R84" s="17">
        <v>1</v>
      </c>
      <c r="S84" s="32" t="s">
        <v>725</v>
      </c>
      <c r="U84" s="20" t="s">
        <v>632</v>
      </c>
      <c r="W84" s="32" t="s">
        <v>729</v>
      </c>
      <c r="Y84" s="18"/>
      <c r="Z84" s="18"/>
      <c r="AD84" s="18"/>
    </row>
    <row r="85" spans="1:30" x14ac:dyDescent="0.35">
      <c r="A85" s="35" t="s">
        <v>2</v>
      </c>
      <c r="C85" s="17" t="s">
        <v>630</v>
      </c>
      <c r="D85" s="17">
        <v>706</v>
      </c>
      <c r="E85" s="17" t="s">
        <v>322</v>
      </c>
      <c r="F85" s="17" t="s">
        <v>322</v>
      </c>
      <c r="G85" s="18"/>
      <c r="H85" s="17" t="s">
        <v>661</v>
      </c>
      <c r="I85" s="32" t="s">
        <v>662</v>
      </c>
      <c r="K85" s="17">
        <v>0</v>
      </c>
      <c r="N85" s="18" t="s">
        <v>660</v>
      </c>
      <c r="R85" s="17">
        <v>1</v>
      </c>
      <c r="S85" s="32" t="s">
        <v>726</v>
      </c>
      <c r="U85" s="20" t="s">
        <v>632</v>
      </c>
      <c r="W85" s="32" t="s">
        <v>730</v>
      </c>
      <c r="Y85" s="18"/>
      <c r="Z85" s="18"/>
      <c r="AD85" s="18"/>
    </row>
    <row r="87" spans="1:30" x14ac:dyDescent="0.15">
      <c r="A87" s="35" t="s">
        <v>2</v>
      </c>
      <c r="D87" s="17">
        <v>800</v>
      </c>
      <c r="I87" s="17" t="s">
        <v>673</v>
      </c>
      <c r="K87" s="17">
        <v>0</v>
      </c>
      <c r="R87" s="17">
        <v>3</v>
      </c>
      <c r="S87" s="20" t="s">
        <v>688</v>
      </c>
      <c r="U87" s="10" t="s">
        <v>680</v>
      </c>
    </row>
    <row r="88" spans="1:30" x14ac:dyDescent="0.15">
      <c r="A88" s="35" t="s">
        <v>2</v>
      </c>
      <c r="D88" s="17">
        <v>801</v>
      </c>
      <c r="I88" s="17" t="s">
        <v>674</v>
      </c>
      <c r="K88" s="17">
        <v>0</v>
      </c>
      <c r="R88" s="17">
        <v>3</v>
      </c>
      <c r="S88" s="20" t="s">
        <v>690</v>
      </c>
      <c r="U88" s="10" t="s">
        <v>681</v>
      </c>
      <c r="W88" s="44" t="s">
        <v>675</v>
      </c>
      <c r="Z88" s="32" t="s">
        <v>366</v>
      </c>
    </row>
    <row r="89" spans="1:30" x14ac:dyDescent="0.15">
      <c r="A89" s="35" t="s">
        <v>2</v>
      </c>
      <c r="D89" s="17">
        <v>802</v>
      </c>
      <c r="I89" s="17" t="s">
        <v>674</v>
      </c>
      <c r="K89" s="17">
        <v>0</v>
      </c>
      <c r="R89" s="17">
        <v>3</v>
      </c>
      <c r="S89" s="20" t="s">
        <v>684</v>
      </c>
      <c r="U89" s="10" t="s">
        <v>681</v>
      </c>
      <c r="W89" s="44" t="s">
        <v>676</v>
      </c>
      <c r="Z89" s="32" t="s">
        <v>375</v>
      </c>
    </row>
    <row r="90" spans="1:30" x14ac:dyDescent="0.15">
      <c r="A90" s="35" t="s">
        <v>2</v>
      </c>
      <c r="D90" s="17">
        <v>803</v>
      </c>
      <c r="I90" s="17" t="s">
        <v>674</v>
      </c>
      <c r="K90" s="17">
        <v>0</v>
      </c>
      <c r="R90" s="17">
        <v>3</v>
      </c>
      <c r="S90" s="20" t="s">
        <v>687</v>
      </c>
      <c r="U90" s="10" t="s">
        <v>681</v>
      </c>
      <c r="W90" s="44" t="s">
        <v>677</v>
      </c>
      <c r="Z90" s="32" t="s">
        <v>666</v>
      </c>
    </row>
    <row r="91" spans="1:30" x14ac:dyDescent="0.15">
      <c r="A91" s="35" t="s">
        <v>2</v>
      </c>
      <c r="D91" s="17">
        <v>804</v>
      </c>
      <c r="I91" s="17" t="s">
        <v>674</v>
      </c>
      <c r="K91" s="17">
        <v>0</v>
      </c>
      <c r="R91" s="17">
        <v>3</v>
      </c>
      <c r="S91" s="20" t="s">
        <v>689</v>
      </c>
      <c r="U91" s="10" t="s">
        <v>681</v>
      </c>
      <c r="W91" s="44" t="s">
        <v>678</v>
      </c>
      <c r="Z91" s="32" t="s">
        <v>379</v>
      </c>
    </row>
    <row r="92" spans="1:30" x14ac:dyDescent="0.15">
      <c r="A92" s="35" t="s">
        <v>2</v>
      </c>
      <c r="D92" s="17">
        <v>805</v>
      </c>
      <c r="I92" s="17" t="s">
        <v>674</v>
      </c>
      <c r="K92" s="17">
        <v>0</v>
      </c>
      <c r="R92" s="17">
        <v>3</v>
      </c>
      <c r="S92" s="20" t="s">
        <v>685</v>
      </c>
      <c r="U92" s="10" t="s">
        <v>681</v>
      </c>
      <c r="W92" s="44" t="s">
        <v>679</v>
      </c>
      <c r="Z92" s="32" t="s">
        <v>671</v>
      </c>
    </row>
    <row r="93" spans="1:30" x14ac:dyDescent="0.15">
      <c r="A93" s="35" t="s">
        <v>2</v>
      </c>
      <c r="D93" s="17">
        <v>806</v>
      </c>
      <c r="I93" s="17" t="s">
        <v>674</v>
      </c>
      <c r="K93" s="17">
        <v>0</v>
      </c>
      <c r="R93" s="17">
        <v>3</v>
      </c>
      <c r="S93" s="20" t="s">
        <v>686</v>
      </c>
      <c r="U93" s="10" t="s">
        <v>681</v>
      </c>
      <c r="W93" s="44" t="s">
        <v>403</v>
      </c>
      <c r="Z93" s="32" t="s">
        <v>382</v>
      </c>
    </row>
    <row r="94" spans="1:30" x14ac:dyDescent="0.15">
      <c r="A94" s="35" t="s">
        <v>2</v>
      </c>
      <c r="D94" s="17">
        <v>810</v>
      </c>
      <c r="I94" s="17" t="s">
        <v>716</v>
      </c>
      <c r="K94" s="17">
        <v>0</v>
      </c>
      <c r="R94" s="17">
        <v>3</v>
      </c>
      <c r="S94" s="20" t="s">
        <v>717</v>
      </c>
      <c r="U94" s="10" t="s">
        <v>718</v>
      </c>
      <c r="W94" s="44"/>
      <c r="Z94" s="32" t="s">
        <v>382</v>
      </c>
    </row>
    <row r="95" spans="1:30" x14ac:dyDescent="0.15">
      <c r="S95" s="20"/>
      <c r="U95" s="10"/>
      <c r="W95" s="44"/>
      <c r="Z95" s="32"/>
    </row>
    <row r="96" spans="1:30" x14ac:dyDescent="0.15">
      <c r="A96" s="35" t="s">
        <v>2</v>
      </c>
      <c r="D96" s="17">
        <v>900</v>
      </c>
      <c r="I96" s="32" t="s">
        <v>336</v>
      </c>
      <c r="K96" s="17">
        <v>0</v>
      </c>
      <c r="R96" s="17">
        <v>3</v>
      </c>
      <c r="S96" s="20"/>
      <c r="U96" s="10" t="s">
        <v>695</v>
      </c>
      <c r="W96" s="29" t="s">
        <v>691</v>
      </c>
      <c r="Z96" s="32"/>
    </row>
    <row r="97" spans="1:30" x14ac:dyDescent="0.15">
      <c r="A97" s="35" t="s">
        <v>2</v>
      </c>
      <c r="D97" s="17">
        <v>901</v>
      </c>
      <c r="I97" s="32" t="s">
        <v>334</v>
      </c>
      <c r="K97" s="17">
        <v>0</v>
      </c>
      <c r="R97" s="17">
        <v>3</v>
      </c>
      <c r="S97" s="20"/>
      <c r="U97" s="10" t="s">
        <v>696</v>
      </c>
      <c r="W97" s="29" t="s">
        <v>692</v>
      </c>
      <c r="Z97" s="32"/>
    </row>
    <row r="98" spans="1:30" x14ac:dyDescent="0.15">
      <c r="A98" s="35" t="s">
        <v>2</v>
      </c>
      <c r="D98" s="17">
        <v>902</v>
      </c>
      <c r="I98" s="32" t="s">
        <v>335</v>
      </c>
      <c r="K98" s="17">
        <v>0</v>
      </c>
      <c r="R98" s="17">
        <v>3</v>
      </c>
      <c r="S98" s="20"/>
      <c r="U98" s="10" t="s">
        <v>696</v>
      </c>
      <c r="W98" s="29" t="s">
        <v>693</v>
      </c>
      <c r="Z98" s="32"/>
    </row>
    <row r="99" spans="1:30" x14ac:dyDescent="0.15">
      <c r="A99" s="35" t="s">
        <v>2</v>
      </c>
      <c r="D99" s="17">
        <v>903</v>
      </c>
      <c r="I99" s="32" t="s">
        <v>639</v>
      </c>
      <c r="K99" s="17">
        <v>0</v>
      </c>
      <c r="R99" s="17">
        <v>3</v>
      </c>
      <c r="U99" s="10" t="s">
        <v>697</v>
      </c>
      <c r="W99" s="29" t="s">
        <v>694</v>
      </c>
    </row>
    <row r="104" spans="1:30" ht="17.25" thickBot="1" x14ac:dyDescent="0.2">
      <c r="H104" s="17" t="s">
        <v>536</v>
      </c>
    </row>
    <row r="105" spans="1:30" s="63" customFormat="1" ht="17.25" thickBot="1" x14ac:dyDescent="0.2">
      <c r="A105" s="62"/>
      <c r="B105" s="63" t="s">
        <v>546</v>
      </c>
    </row>
    <row r="106" spans="1:30" x14ac:dyDescent="0.35">
      <c r="A106" s="35" t="s">
        <v>2</v>
      </c>
      <c r="D106" s="17">
        <v>1201</v>
      </c>
      <c r="F106" s="18"/>
      <c r="G106" s="18"/>
      <c r="I106" s="44" t="s">
        <v>343</v>
      </c>
      <c r="J106" s="17">
        <v>1</v>
      </c>
      <c r="K106" s="17">
        <v>6</v>
      </c>
      <c r="L106" s="46">
        <v>21</v>
      </c>
      <c r="M106" s="18"/>
      <c r="N106" s="18"/>
      <c r="O106" s="18"/>
      <c r="P106" s="17" t="s">
        <v>324</v>
      </c>
      <c r="Q106" s="18"/>
      <c r="R106" s="18"/>
      <c r="U106" s="20" t="s">
        <v>649</v>
      </c>
      <c r="V106" s="17">
        <v>201</v>
      </c>
      <c r="W106" s="59" t="s">
        <v>390</v>
      </c>
      <c r="Y106" s="18"/>
      <c r="Z106" s="18"/>
      <c r="AA106" s="29">
        <v>1200</v>
      </c>
      <c r="AB106" s="32" t="s">
        <v>336</v>
      </c>
      <c r="AD106" s="18"/>
    </row>
    <row r="107" spans="1:30" s="53" customFormat="1" x14ac:dyDescent="0.35">
      <c r="A107" s="35" t="s">
        <v>2</v>
      </c>
      <c r="D107" s="53">
        <v>1202</v>
      </c>
      <c r="F107" s="54"/>
      <c r="G107" s="54"/>
      <c r="I107" s="55" t="s">
        <v>344</v>
      </c>
      <c r="J107" s="53">
        <v>2</v>
      </c>
      <c r="K107" s="17">
        <v>6</v>
      </c>
      <c r="L107" s="56">
        <v>41</v>
      </c>
      <c r="M107" s="54"/>
      <c r="N107" s="54"/>
      <c r="O107" s="54"/>
      <c r="P107" s="53" t="s">
        <v>324</v>
      </c>
      <c r="Q107" s="54"/>
      <c r="R107" s="54"/>
      <c r="U107" s="20" t="s">
        <v>650</v>
      </c>
      <c r="V107" s="53">
        <v>202</v>
      </c>
      <c r="W107" s="60" t="s">
        <v>386</v>
      </c>
      <c r="Y107" s="54"/>
      <c r="Z107" s="54"/>
      <c r="AA107" s="29">
        <v>1201</v>
      </c>
      <c r="AB107" s="32" t="s">
        <v>334</v>
      </c>
      <c r="AD107" s="54"/>
    </row>
    <row r="108" spans="1:30" x14ac:dyDescent="0.35">
      <c r="A108" s="35" t="s">
        <v>2</v>
      </c>
      <c r="D108" s="17">
        <v>1203</v>
      </c>
      <c r="F108" s="18"/>
      <c r="G108" s="18"/>
      <c r="I108" s="44" t="s">
        <v>345</v>
      </c>
      <c r="J108" s="17">
        <v>3</v>
      </c>
      <c r="K108" s="17">
        <v>6</v>
      </c>
      <c r="L108" s="46">
        <v>51</v>
      </c>
      <c r="M108" s="18"/>
      <c r="N108" s="18"/>
      <c r="O108" s="18"/>
      <c r="P108" s="17" t="s">
        <v>384</v>
      </c>
      <c r="Q108" s="18"/>
      <c r="R108" s="18"/>
      <c r="U108" s="20" t="s">
        <v>651</v>
      </c>
      <c r="V108" s="17">
        <v>203</v>
      </c>
      <c r="W108" s="59" t="s">
        <v>387</v>
      </c>
      <c r="Y108" s="18"/>
      <c r="Z108" s="18"/>
      <c r="AA108" s="29">
        <v>1202</v>
      </c>
      <c r="AB108" s="32" t="s">
        <v>335</v>
      </c>
      <c r="AD108" s="18"/>
    </row>
    <row r="109" spans="1:30" x14ac:dyDescent="0.35">
      <c r="A109" s="35" t="s">
        <v>2</v>
      </c>
      <c r="D109" s="53">
        <v>1204</v>
      </c>
      <c r="F109" s="18"/>
      <c r="G109" s="18"/>
      <c r="I109" s="44" t="s">
        <v>346</v>
      </c>
      <c r="J109" s="17">
        <v>4</v>
      </c>
      <c r="K109" s="17">
        <v>6</v>
      </c>
      <c r="L109" s="46">
        <v>11</v>
      </c>
      <c r="M109" s="18"/>
      <c r="N109" s="18"/>
      <c r="O109" s="18"/>
      <c r="P109" s="17" t="s">
        <v>384</v>
      </c>
      <c r="Q109" s="18"/>
      <c r="R109" s="18"/>
      <c r="U109" s="20" t="s">
        <v>652</v>
      </c>
      <c r="V109" s="17">
        <v>204</v>
      </c>
      <c r="W109" s="59" t="s">
        <v>388</v>
      </c>
      <c r="Y109" s="18"/>
      <c r="Z109" s="18"/>
      <c r="AA109" s="29">
        <v>1203</v>
      </c>
      <c r="AB109" s="32" t="s">
        <v>639</v>
      </c>
      <c r="AD109" s="18"/>
    </row>
    <row r="110" spans="1:30" x14ac:dyDescent="0.35">
      <c r="A110" s="35" t="s">
        <v>2</v>
      </c>
      <c r="D110" s="17">
        <v>1205</v>
      </c>
      <c r="F110" s="18"/>
      <c r="G110" s="18"/>
      <c r="I110" s="44" t="s">
        <v>347</v>
      </c>
      <c r="J110" s="17">
        <v>5</v>
      </c>
      <c r="K110" s="17">
        <v>6</v>
      </c>
      <c r="L110" s="46">
        <v>1</v>
      </c>
      <c r="M110" s="18"/>
      <c r="N110" s="18"/>
      <c r="O110" s="18"/>
      <c r="P110" s="17" t="s">
        <v>383</v>
      </c>
      <c r="Q110" s="18"/>
      <c r="R110" s="18"/>
      <c r="U110" s="20" t="s">
        <v>653</v>
      </c>
      <c r="V110" s="17">
        <v>205</v>
      </c>
      <c r="W110" s="59" t="s">
        <v>402</v>
      </c>
      <c r="Y110" s="18"/>
      <c r="Z110" s="18"/>
      <c r="AD110" s="18"/>
    </row>
    <row r="111" spans="1:30" x14ac:dyDescent="0.35">
      <c r="F111" s="18"/>
      <c r="G111" s="18"/>
      <c r="I111" s="44"/>
      <c r="L111" s="46"/>
      <c r="M111" s="18"/>
      <c r="N111" s="18"/>
      <c r="O111" s="18"/>
      <c r="Q111" s="18"/>
      <c r="R111" s="18"/>
      <c r="U111" s="20"/>
      <c r="W111" s="59"/>
      <c r="Y111" s="18"/>
      <c r="Z111" s="18"/>
      <c r="AD111" s="18"/>
    </row>
    <row r="112" spans="1:30" x14ac:dyDescent="0.35">
      <c r="A112" s="35" t="s">
        <v>2</v>
      </c>
      <c r="D112" s="17">
        <v>1301</v>
      </c>
      <c r="I112" s="44" t="s">
        <v>342</v>
      </c>
      <c r="J112" s="17">
        <v>1</v>
      </c>
      <c r="K112" s="17">
        <v>7</v>
      </c>
      <c r="L112" s="46">
        <v>32</v>
      </c>
      <c r="N112" s="18" t="s">
        <v>520</v>
      </c>
      <c r="P112" s="17" t="s">
        <v>324</v>
      </c>
      <c r="U112" s="20" t="s">
        <v>640</v>
      </c>
      <c r="V112" s="17">
        <v>301</v>
      </c>
      <c r="W112" s="32" t="s">
        <v>391</v>
      </c>
      <c r="Y112" s="17" t="s">
        <v>464</v>
      </c>
    </row>
    <row r="113" spans="1:30" x14ac:dyDescent="0.35">
      <c r="A113" s="35" t="s">
        <v>2</v>
      </c>
      <c r="D113" s="17">
        <v>1302</v>
      </c>
      <c r="I113" s="44" t="s">
        <v>342</v>
      </c>
      <c r="J113" s="17">
        <v>7</v>
      </c>
      <c r="K113" s="17">
        <v>7</v>
      </c>
      <c r="L113" s="46">
        <v>33</v>
      </c>
      <c r="M113" s="18"/>
      <c r="N113" s="18" t="s">
        <v>522</v>
      </c>
      <c r="P113" s="17" t="s">
        <v>383</v>
      </c>
      <c r="U113" s="20" t="s">
        <v>641</v>
      </c>
      <c r="V113" s="17">
        <v>302</v>
      </c>
      <c r="W113" s="32" t="s">
        <v>392</v>
      </c>
      <c r="Y113" s="17" t="s">
        <v>467</v>
      </c>
    </row>
    <row r="114" spans="1:30" x14ac:dyDescent="0.35">
      <c r="A114" s="35" t="s">
        <v>2</v>
      </c>
      <c r="D114" s="17">
        <v>1303</v>
      </c>
      <c r="I114" s="44" t="s">
        <v>343</v>
      </c>
      <c r="J114" s="17">
        <v>2</v>
      </c>
      <c r="K114" s="17">
        <v>7</v>
      </c>
      <c r="L114" s="46">
        <v>22</v>
      </c>
      <c r="M114" s="18"/>
      <c r="N114" s="18" t="s">
        <v>520</v>
      </c>
      <c r="P114" s="17" t="s">
        <v>324</v>
      </c>
      <c r="U114" s="20" t="s">
        <v>642</v>
      </c>
      <c r="V114" s="17">
        <v>303</v>
      </c>
      <c r="W114" s="32" t="s">
        <v>393</v>
      </c>
      <c r="Y114" s="17" t="s">
        <v>465</v>
      </c>
    </row>
    <row r="115" spans="1:30" x14ac:dyDescent="0.35">
      <c r="A115" s="35" t="s">
        <v>2</v>
      </c>
      <c r="D115" s="17">
        <v>1304</v>
      </c>
      <c r="I115" s="44" t="s">
        <v>374</v>
      </c>
      <c r="J115" s="17">
        <v>8</v>
      </c>
      <c r="K115" s="17">
        <v>7</v>
      </c>
      <c r="L115" s="46">
        <v>23</v>
      </c>
      <c r="N115" s="18" t="s">
        <v>522</v>
      </c>
      <c r="P115" s="17" t="s">
        <v>383</v>
      </c>
      <c r="U115" s="20" t="s">
        <v>643</v>
      </c>
      <c r="V115" s="17">
        <v>304</v>
      </c>
      <c r="W115" s="32" t="s">
        <v>394</v>
      </c>
      <c r="Y115" s="17" t="s">
        <v>466</v>
      </c>
    </row>
    <row r="116" spans="1:30" x14ac:dyDescent="0.35">
      <c r="A116" s="35" t="s">
        <v>2</v>
      </c>
      <c r="D116" s="17">
        <v>1305</v>
      </c>
      <c r="I116" s="44" t="s">
        <v>376</v>
      </c>
      <c r="J116" s="17">
        <v>3</v>
      </c>
      <c r="K116" s="17">
        <v>7</v>
      </c>
      <c r="L116" s="46">
        <v>42</v>
      </c>
      <c r="N116" s="18" t="s">
        <v>520</v>
      </c>
      <c r="P116" s="17" t="s">
        <v>324</v>
      </c>
      <c r="U116" s="20" t="s">
        <v>644</v>
      </c>
      <c r="V116" s="17">
        <v>305</v>
      </c>
      <c r="W116" s="32" t="s">
        <v>395</v>
      </c>
    </row>
    <row r="117" spans="1:30" x14ac:dyDescent="0.35">
      <c r="A117" s="35" t="s">
        <v>607</v>
      </c>
      <c r="D117" s="17">
        <v>1306</v>
      </c>
      <c r="I117" s="44" t="s">
        <v>376</v>
      </c>
      <c r="J117" s="17">
        <v>9</v>
      </c>
      <c r="K117" s="17">
        <v>7</v>
      </c>
      <c r="L117" s="46">
        <v>43</v>
      </c>
      <c r="N117" s="18" t="s">
        <v>522</v>
      </c>
      <c r="P117" s="17" t="s">
        <v>383</v>
      </c>
      <c r="U117" s="20" t="s">
        <v>645</v>
      </c>
      <c r="V117" s="17">
        <v>306</v>
      </c>
      <c r="W117" s="32" t="s">
        <v>608</v>
      </c>
    </row>
    <row r="118" spans="1:30" x14ac:dyDescent="0.35">
      <c r="A118" s="35" t="s">
        <v>2</v>
      </c>
      <c r="D118" s="17">
        <v>1307</v>
      </c>
      <c r="I118" s="44" t="s">
        <v>345</v>
      </c>
      <c r="J118" s="17">
        <v>4</v>
      </c>
      <c r="K118" s="17">
        <v>7</v>
      </c>
      <c r="L118" s="46">
        <v>52</v>
      </c>
      <c r="N118" s="18" t="s">
        <v>521</v>
      </c>
      <c r="P118" s="17" t="s">
        <v>384</v>
      </c>
      <c r="U118" s="20" t="s">
        <v>645</v>
      </c>
      <c r="V118" s="17">
        <v>307</v>
      </c>
      <c r="W118" s="32" t="s">
        <v>396</v>
      </c>
    </row>
    <row r="119" spans="1:30" x14ac:dyDescent="0.35">
      <c r="A119" s="35" t="s">
        <v>2</v>
      </c>
      <c r="D119" s="17">
        <v>1308</v>
      </c>
      <c r="I119" s="44" t="s">
        <v>345</v>
      </c>
      <c r="J119" s="17">
        <v>10</v>
      </c>
      <c r="K119" s="17">
        <v>7</v>
      </c>
      <c r="L119" s="46">
        <v>53</v>
      </c>
      <c r="N119" s="18" t="s">
        <v>523</v>
      </c>
      <c r="P119" s="17" t="s">
        <v>383</v>
      </c>
      <c r="U119" s="20" t="s">
        <v>646</v>
      </c>
      <c r="V119" s="17">
        <v>308</v>
      </c>
      <c r="W119" s="32" t="s">
        <v>397</v>
      </c>
    </row>
    <row r="120" spans="1:30" x14ac:dyDescent="0.35">
      <c r="A120" s="35" t="s">
        <v>2</v>
      </c>
      <c r="D120" s="17">
        <v>1309</v>
      </c>
      <c r="I120" s="44" t="s">
        <v>346</v>
      </c>
      <c r="J120" s="17">
        <v>5</v>
      </c>
      <c r="K120" s="17">
        <v>7</v>
      </c>
      <c r="L120" s="46">
        <v>12</v>
      </c>
      <c r="N120" s="18" t="s">
        <v>521</v>
      </c>
      <c r="P120" s="17" t="s">
        <v>384</v>
      </c>
      <c r="U120" s="20" t="s">
        <v>646</v>
      </c>
      <c r="V120" s="17">
        <v>309</v>
      </c>
      <c r="W120" s="32" t="s">
        <v>398</v>
      </c>
    </row>
    <row r="121" spans="1:30" x14ac:dyDescent="0.35">
      <c r="A121" s="35" t="s">
        <v>2</v>
      </c>
      <c r="D121" s="17">
        <v>1310</v>
      </c>
      <c r="I121" s="44" t="s">
        <v>380</v>
      </c>
      <c r="J121" s="17">
        <v>11</v>
      </c>
      <c r="K121" s="17">
        <v>7</v>
      </c>
      <c r="L121" s="46">
        <v>13</v>
      </c>
      <c r="N121" s="18" t="s">
        <v>523</v>
      </c>
      <c r="P121" s="17" t="s">
        <v>383</v>
      </c>
      <c r="U121" s="20" t="s">
        <v>647</v>
      </c>
      <c r="V121" s="17">
        <v>310</v>
      </c>
      <c r="W121" s="32" t="s">
        <v>399</v>
      </c>
    </row>
    <row r="122" spans="1:30" x14ac:dyDescent="0.35">
      <c r="A122" s="35" t="s">
        <v>2</v>
      </c>
      <c r="D122" s="17">
        <v>1311</v>
      </c>
      <c r="I122" s="44" t="s">
        <v>347</v>
      </c>
      <c r="J122" s="17">
        <v>6</v>
      </c>
      <c r="K122" s="17">
        <v>7</v>
      </c>
      <c r="L122" s="46">
        <v>2</v>
      </c>
      <c r="N122" s="18" t="s">
        <v>521</v>
      </c>
      <c r="P122" s="17" t="s">
        <v>384</v>
      </c>
      <c r="U122" s="20" t="s">
        <v>647</v>
      </c>
      <c r="V122" s="17">
        <v>311</v>
      </c>
      <c r="W122" s="32" t="s">
        <v>400</v>
      </c>
    </row>
    <row r="123" spans="1:30" x14ac:dyDescent="0.35">
      <c r="A123" s="35" t="s">
        <v>2</v>
      </c>
      <c r="D123" s="17">
        <v>1312</v>
      </c>
      <c r="I123" s="44" t="s">
        <v>347</v>
      </c>
      <c r="J123" s="17">
        <v>12</v>
      </c>
      <c r="K123" s="17">
        <v>7</v>
      </c>
      <c r="L123" s="46">
        <v>3</v>
      </c>
      <c r="N123" s="18" t="s">
        <v>523</v>
      </c>
      <c r="P123" s="17" t="s">
        <v>383</v>
      </c>
      <c r="U123" s="20" t="s">
        <v>648</v>
      </c>
      <c r="V123" s="17">
        <v>312</v>
      </c>
      <c r="W123" s="32" t="s">
        <v>401</v>
      </c>
    </row>
    <row r="124" spans="1:30" x14ac:dyDescent="0.35">
      <c r="I124" s="44"/>
      <c r="L124" s="46"/>
      <c r="N124" s="18"/>
      <c r="U124" s="20"/>
      <c r="W124" s="32"/>
    </row>
    <row r="125" spans="1:30" x14ac:dyDescent="0.35">
      <c r="D125" s="17">
        <v>1401</v>
      </c>
      <c r="F125" s="18"/>
      <c r="G125" s="18"/>
      <c r="H125" s="18"/>
      <c r="I125" s="32" t="s">
        <v>405</v>
      </c>
      <c r="J125" s="17">
        <v>1</v>
      </c>
      <c r="K125" s="17">
        <v>8</v>
      </c>
      <c r="L125" s="46">
        <v>201</v>
      </c>
      <c r="M125" s="18"/>
      <c r="N125" s="18"/>
      <c r="O125" s="18"/>
      <c r="P125" s="17" t="s">
        <v>417</v>
      </c>
      <c r="Q125" s="18" t="s">
        <v>319</v>
      </c>
      <c r="S125" s="32" t="s">
        <v>468</v>
      </c>
      <c r="U125" s="20" t="s">
        <v>719</v>
      </c>
      <c r="V125" s="17">
        <v>401</v>
      </c>
      <c r="W125" s="32" t="s">
        <v>421</v>
      </c>
      <c r="Y125" s="18"/>
      <c r="Z125" s="18"/>
      <c r="AD125" s="18"/>
    </row>
    <row r="126" spans="1:30" x14ac:dyDescent="0.35">
      <c r="A126" s="35" t="s">
        <v>2</v>
      </c>
      <c r="D126" s="17">
        <v>1402</v>
      </c>
      <c r="F126" s="18"/>
      <c r="G126" s="18"/>
      <c r="H126" s="18"/>
      <c r="I126" s="32" t="s">
        <v>406</v>
      </c>
      <c r="J126" s="17">
        <v>2</v>
      </c>
      <c r="K126" s="17">
        <v>8</v>
      </c>
      <c r="L126" s="46">
        <v>202</v>
      </c>
      <c r="M126" s="18"/>
      <c r="N126" s="18"/>
      <c r="O126" s="18"/>
      <c r="P126" s="17" t="s">
        <v>324</v>
      </c>
      <c r="Q126" s="18" t="s">
        <v>420</v>
      </c>
      <c r="S126" s="32" t="s">
        <v>469</v>
      </c>
      <c r="U126" s="20" t="s">
        <v>720</v>
      </c>
      <c r="V126" s="17">
        <v>402</v>
      </c>
      <c r="W126" s="32" t="s">
        <v>422</v>
      </c>
      <c r="Y126" s="18"/>
      <c r="Z126" s="18"/>
      <c r="AD126" s="18"/>
    </row>
    <row r="127" spans="1:30" x14ac:dyDescent="0.35">
      <c r="A127" s="35" t="s">
        <v>2</v>
      </c>
      <c r="D127" s="17">
        <v>1403</v>
      </c>
      <c r="F127" s="18"/>
      <c r="G127" s="18"/>
      <c r="H127" s="18"/>
      <c r="I127" s="32" t="s">
        <v>407</v>
      </c>
      <c r="J127" s="17">
        <v>3</v>
      </c>
      <c r="K127" s="17">
        <v>8</v>
      </c>
      <c r="L127" s="46">
        <v>203</v>
      </c>
      <c r="M127" s="18"/>
      <c r="N127" s="18"/>
      <c r="O127" s="18"/>
      <c r="P127" s="17" t="s">
        <v>416</v>
      </c>
      <c r="Q127" s="18" t="s">
        <v>420</v>
      </c>
      <c r="S127" s="32" t="s">
        <v>470</v>
      </c>
      <c r="U127" s="20" t="s">
        <v>720</v>
      </c>
      <c r="V127" s="17">
        <v>403</v>
      </c>
      <c r="W127" s="32" t="s">
        <v>423</v>
      </c>
      <c r="Y127" s="18"/>
      <c r="Z127" s="18"/>
      <c r="AD127" s="18"/>
    </row>
    <row r="128" spans="1:30" x14ac:dyDescent="0.35">
      <c r="A128" s="35" t="s">
        <v>2</v>
      </c>
      <c r="D128" s="17">
        <v>1404</v>
      </c>
      <c r="F128" s="18"/>
      <c r="G128" s="18"/>
      <c r="H128" s="18"/>
      <c r="I128" s="32" t="s">
        <v>408</v>
      </c>
      <c r="J128" s="17">
        <v>4</v>
      </c>
      <c r="K128" s="17">
        <v>8</v>
      </c>
      <c r="L128" s="46">
        <v>204</v>
      </c>
      <c r="M128" s="18"/>
      <c r="N128" s="18"/>
      <c r="O128" s="18"/>
      <c r="P128" s="17" t="s">
        <v>324</v>
      </c>
      <c r="Q128" s="18" t="s">
        <v>418</v>
      </c>
      <c r="S128" s="32" t="s">
        <v>471</v>
      </c>
      <c r="U128" s="20" t="s">
        <v>721</v>
      </c>
      <c r="V128" s="17">
        <v>404</v>
      </c>
      <c r="W128" s="32" t="s">
        <v>424</v>
      </c>
      <c r="Y128" s="18"/>
      <c r="Z128" s="18"/>
      <c r="AD128" s="18"/>
    </row>
    <row r="129" spans="1:30" x14ac:dyDescent="0.35">
      <c r="A129" s="35" t="s">
        <v>2</v>
      </c>
      <c r="D129" s="17">
        <v>1405</v>
      </c>
      <c r="F129" s="18"/>
      <c r="G129" s="18"/>
      <c r="H129" s="18"/>
      <c r="I129" s="32" t="s">
        <v>409</v>
      </c>
      <c r="J129" s="17">
        <v>5</v>
      </c>
      <c r="K129" s="17">
        <v>8</v>
      </c>
      <c r="L129" s="46">
        <v>205</v>
      </c>
      <c r="M129" s="18"/>
      <c r="N129" s="18"/>
      <c r="O129" s="18"/>
      <c r="P129" s="17" t="s">
        <v>384</v>
      </c>
      <c r="Q129" s="18" t="s">
        <v>320</v>
      </c>
      <c r="S129" s="32" t="s">
        <v>472</v>
      </c>
      <c r="U129" s="20" t="s">
        <v>721</v>
      </c>
      <c r="V129" s="17">
        <v>405</v>
      </c>
      <c r="W129" s="32" t="s">
        <v>425</v>
      </c>
      <c r="Y129" s="18"/>
      <c r="Z129" s="18"/>
      <c r="AD129" s="18"/>
    </row>
    <row r="130" spans="1:30" x14ac:dyDescent="0.35">
      <c r="A130" s="35" t="s">
        <v>2</v>
      </c>
      <c r="D130" s="17">
        <v>1406</v>
      </c>
      <c r="F130" s="18"/>
      <c r="G130" s="18"/>
      <c r="H130" s="18"/>
      <c r="I130" s="32" t="s">
        <v>410</v>
      </c>
      <c r="J130" s="17">
        <v>6</v>
      </c>
      <c r="K130" s="17">
        <v>8</v>
      </c>
      <c r="L130" s="46">
        <v>206</v>
      </c>
      <c r="M130" s="18"/>
      <c r="N130" s="18"/>
      <c r="O130" s="18"/>
      <c r="P130" s="17" t="s">
        <v>384</v>
      </c>
      <c r="Q130" s="18" t="s">
        <v>419</v>
      </c>
      <c r="S130" s="32" t="s">
        <v>473</v>
      </c>
      <c r="U130" s="20" t="s">
        <v>720</v>
      </c>
      <c r="V130" s="17">
        <v>406</v>
      </c>
      <c r="W130" s="32" t="s">
        <v>426</v>
      </c>
      <c r="Y130" s="18"/>
      <c r="Z130" s="18"/>
      <c r="AD130" s="18"/>
    </row>
    <row r="131" spans="1:30" x14ac:dyDescent="0.35">
      <c r="A131" s="35" t="s">
        <v>2</v>
      </c>
      <c r="D131" s="17">
        <v>1407</v>
      </c>
      <c r="F131" s="18"/>
      <c r="G131" s="18"/>
      <c r="H131" s="18"/>
      <c r="I131" s="32" t="s">
        <v>414</v>
      </c>
      <c r="J131" s="17">
        <v>7</v>
      </c>
      <c r="K131" s="17">
        <v>8</v>
      </c>
      <c r="L131" s="46">
        <v>207</v>
      </c>
      <c r="M131" s="18"/>
      <c r="N131" s="18"/>
      <c r="O131" s="18"/>
      <c r="P131" s="17" t="s">
        <v>384</v>
      </c>
      <c r="Q131" s="18" t="s">
        <v>319</v>
      </c>
      <c r="S131" s="32" t="s">
        <v>474</v>
      </c>
      <c r="U131" s="20" t="s">
        <v>721</v>
      </c>
      <c r="V131" s="17">
        <v>407</v>
      </c>
      <c r="W131" s="32" t="s">
        <v>427</v>
      </c>
      <c r="Y131" s="18"/>
      <c r="Z131" s="18"/>
      <c r="AD131" s="18"/>
    </row>
    <row r="132" spans="1:30" x14ac:dyDescent="0.35">
      <c r="A132" s="35" t="s">
        <v>2</v>
      </c>
      <c r="D132" s="17">
        <v>1408</v>
      </c>
      <c r="F132" s="18"/>
      <c r="G132" s="18"/>
      <c r="H132" s="18"/>
      <c r="I132" s="32" t="s">
        <v>411</v>
      </c>
      <c r="J132" s="17">
        <v>8</v>
      </c>
      <c r="K132" s="17">
        <v>8</v>
      </c>
      <c r="L132" s="46">
        <v>208</v>
      </c>
      <c r="M132" s="18"/>
      <c r="N132" s="18"/>
      <c r="O132" s="18"/>
      <c r="P132" s="17" t="s">
        <v>318</v>
      </c>
      <c r="Q132" s="18" t="s">
        <v>419</v>
      </c>
      <c r="S132" s="32" t="s">
        <v>475</v>
      </c>
      <c r="U132" s="20" t="s">
        <v>719</v>
      </c>
      <c r="V132" s="17">
        <v>408</v>
      </c>
      <c r="W132" s="32" t="s">
        <v>428</v>
      </c>
      <c r="Y132" s="18"/>
      <c r="Z132" s="18"/>
      <c r="AD132" s="18"/>
    </row>
    <row r="133" spans="1:30" x14ac:dyDescent="0.35">
      <c r="A133" s="35" t="s">
        <v>2</v>
      </c>
      <c r="D133" s="17">
        <v>1409</v>
      </c>
      <c r="F133" s="18"/>
      <c r="G133" s="18"/>
      <c r="H133" s="18"/>
      <c r="I133" s="32" t="s">
        <v>412</v>
      </c>
      <c r="J133" s="17">
        <v>9</v>
      </c>
      <c r="K133" s="17">
        <v>8</v>
      </c>
      <c r="L133" s="46">
        <v>209</v>
      </c>
      <c r="M133" s="18"/>
      <c r="N133" s="18"/>
      <c r="O133" s="18"/>
      <c r="P133" s="17" t="s">
        <v>318</v>
      </c>
      <c r="Q133" s="18" t="s">
        <v>420</v>
      </c>
      <c r="S133" s="32" t="s">
        <v>476</v>
      </c>
      <c r="U133" s="20" t="s">
        <v>721</v>
      </c>
      <c r="V133" s="17">
        <v>409</v>
      </c>
      <c r="W133" s="32" t="s">
        <v>429</v>
      </c>
      <c r="Y133" s="18"/>
      <c r="Z133" s="18"/>
      <c r="AD133" s="18"/>
    </row>
    <row r="134" spans="1:30" x14ac:dyDescent="0.35">
      <c r="A134" s="35" t="s">
        <v>2</v>
      </c>
      <c r="D134" s="17">
        <v>1410</v>
      </c>
      <c r="F134" s="18"/>
      <c r="G134" s="18"/>
      <c r="H134" s="18"/>
      <c r="I134" s="32" t="s">
        <v>413</v>
      </c>
      <c r="J134" s="17">
        <v>10</v>
      </c>
      <c r="K134" s="17">
        <v>8</v>
      </c>
      <c r="L134" s="46">
        <v>210</v>
      </c>
      <c r="M134" s="18"/>
      <c r="N134" s="18"/>
      <c r="O134" s="18"/>
      <c r="P134" s="17" t="s">
        <v>318</v>
      </c>
      <c r="Q134" s="18" t="s">
        <v>418</v>
      </c>
      <c r="S134" s="32" t="s">
        <v>477</v>
      </c>
      <c r="U134" s="20" t="s">
        <v>721</v>
      </c>
      <c r="V134" s="17">
        <v>410</v>
      </c>
      <c r="W134" s="32" t="s">
        <v>440</v>
      </c>
      <c r="Y134" s="18"/>
      <c r="Z134" s="18"/>
      <c r="AD134" s="18"/>
    </row>
    <row r="135" spans="1:30" x14ac:dyDescent="0.35">
      <c r="F135" s="18"/>
      <c r="G135" s="18"/>
      <c r="H135" s="18"/>
      <c r="I135" s="32"/>
      <c r="L135" s="46"/>
      <c r="M135" s="18"/>
      <c r="N135" s="18"/>
      <c r="O135" s="18"/>
      <c r="Q135" s="18"/>
      <c r="S135" s="32"/>
      <c r="U135" s="20"/>
      <c r="W135" s="32"/>
      <c r="Y135" s="18"/>
      <c r="Z135" s="18"/>
      <c r="AD135" s="18"/>
    </row>
    <row r="136" spans="1:30" x14ac:dyDescent="0.35">
      <c r="A136" s="35" t="s">
        <v>2</v>
      </c>
      <c r="D136" s="17">
        <v>1500</v>
      </c>
      <c r="E136" s="17" t="s">
        <v>329</v>
      </c>
      <c r="F136" s="18"/>
      <c r="G136" s="18"/>
      <c r="H136" s="18"/>
      <c r="I136" s="32" t="s">
        <v>327</v>
      </c>
      <c r="J136" s="17">
        <v>1</v>
      </c>
      <c r="K136" s="17">
        <v>9</v>
      </c>
      <c r="N136" s="18" t="s">
        <v>511</v>
      </c>
      <c r="S136" s="32" t="s">
        <v>327</v>
      </c>
      <c r="U136" s="20" t="s">
        <v>654</v>
      </c>
      <c r="W136" s="32" t="s">
        <v>441</v>
      </c>
      <c r="Y136" s="18"/>
      <c r="Z136" s="18"/>
      <c r="AD136" s="18"/>
    </row>
    <row r="137" spans="1:30" x14ac:dyDescent="0.35">
      <c r="A137" s="35" t="s">
        <v>2</v>
      </c>
      <c r="D137" s="17">
        <v>1501</v>
      </c>
      <c r="E137" s="17" t="s">
        <v>437</v>
      </c>
      <c r="F137" s="18"/>
      <c r="G137" s="18"/>
      <c r="H137" s="18"/>
      <c r="I137" s="32" t="s">
        <v>328</v>
      </c>
      <c r="J137" s="17">
        <v>2</v>
      </c>
      <c r="K137" s="17">
        <v>9</v>
      </c>
      <c r="N137" s="18" t="s">
        <v>512</v>
      </c>
      <c r="S137" s="32" t="s">
        <v>328</v>
      </c>
      <c r="U137" s="20" t="s">
        <v>655</v>
      </c>
      <c r="W137" s="32" t="s">
        <v>442</v>
      </c>
      <c r="Y137" s="18"/>
      <c r="Z137" s="18"/>
      <c r="AD137" s="18"/>
    </row>
    <row r="139" spans="1:30" x14ac:dyDescent="0.35">
      <c r="A139" s="35" t="s">
        <v>2</v>
      </c>
      <c r="D139" s="17">
        <v>1610</v>
      </c>
      <c r="E139" s="17" t="s">
        <v>322</v>
      </c>
      <c r="F139" s="17" t="s">
        <v>322</v>
      </c>
      <c r="G139" s="18"/>
      <c r="H139" s="17" t="s">
        <v>625</v>
      </c>
      <c r="I139" s="32" t="s">
        <v>548</v>
      </c>
      <c r="K139" s="17">
        <v>9</v>
      </c>
      <c r="N139" s="18" t="s">
        <v>574</v>
      </c>
      <c r="R139" s="17">
        <v>1</v>
      </c>
      <c r="S139" s="32" t="s">
        <v>549</v>
      </c>
      <c r="U139" s="20" t="s">
        <v>656</v>
      </c>
      <c r="W139" s="32" t="s">
        <v>551</v>
      </c>
      <c r="Y139" s="18"/>
      <c r="Z139" s="18"/>
      <c r="AD139" s="18"/>
    </row>
    <row r="140" spans="1:30" x14ac:dyDescent="0.35">
      <c r="A140" s="35" t="s">
        <v>2</v>
      </c>
      <c r="D140" s="17">
        <v>1611</v>
      </c>
      <c r="E140" s="17" t="s">
        <v>322</v>
      </c>
      <c r="F140" s="17" t="s">
        <v>322</v>
      </c>
      <c r="G140" s="18"/>
      <c r="H140" s="17" t="s">
        <v>625</v>
      </c>
      <c r="I140" s="32" t="s">
        <v>548</v>
      </c>
      <c r="K140" s="17">
        <v>9</v>
      </c>
      <c r="N140" s="18" t="s">
        <v>574</v>
      </c>
      <c r="R140" s="17">
        <v>1</v>
      </c>
      <c r="S140" s="32" t="s">
        <v>549</v>
      </c>
      <c r="U140" s="20" t="s">
        <v>657</v>
      </c>
      <c r="W140" s="32" t="s">
        <v>551</v>
      </c>
      <c r="Y140" s="18"/>
      <c r="Z140" s="18"/>
      <c r="AD140" s="18"/>
    </row>
    <row r="141" spans="1:30" x14ac:dyDescent="0.35">
      <c r="A141" s="35" t="s">
        <v>2</v>
      </c>
      <c r="D141" s="17">
        <v>1612</v>
      </c>
      <c r="E141" s="17" t="s">
        <v>322</v>
      </c>
      <c r="F141" s="17" t="s">
        <v>322</v>
      </c>
      <c r="G141" s="18"/>
      <c r="H141" s="17" t="s">
        <v>625</v>
      </c>
      <c r="I141" s="32" t="s">
        <v>548</v>
      </c>
      <c r="K141" s="17">
        <v>9</v>
      </c>
      <c r="N141" s="18" t="s">
        <v>574</v>
      </c>
      <c r="R141" s="17">
        <v>1</v>
      </c>
      <c r="S141" s="32" t="s">
        <v>549</v>
      </c>
      <c r="U141" s="20" t="s">
        <v>658</v>
      </c>
      <c r="W141" s="32" t="s">
        <v>551</v>
      </c>
      <c r="Y141" s="18"/>
      <c r="Z141" s="18"/>
      <c r="AD141" s="18"/>
    </row>
    <row r="142" spans="1:30" x14ac:dyDescent="0.35">
      <c r="A142" s="35" t="s">
        <v>2</v>
      </c>
      <c r="D142" s="17">
        <v>1613</v>
      </c>
      <c r="E142" s="17" t="s">
        <v>322</v>
      </c>
      <c r="F142" s="17" t="s">
        <v>322</v>
      </c>
      <c r="G142" s="18"/>
      <c r="H142" s="17" t="s">
        <v>625</v>
      </c>
      <c r="I142" s="32" t="s">
        <v>548</v>
      </c>
      <c r="K142" s="17">
        <v>9</v>
      </c>
      <c r="N142" s="18" t="s">
        <v>574</v>
      </c>
      <c r="R142" s="17">
        <v>1</v>
      </c>
      <c r="S142" s="32" t="s">
        <v>549</v>
      </c>
      <c r="U142" s="20" t="s">
        <v>659</v>
      </c>
      <c r="W142" s="32" t="s">
        <v>551</v>
      </c>
      <c r="Y142" s="18"/>
      <c r="Z142" s="18"/>
      <c r="AD142" s="18"/>
    </row>
    <row r="144" spans="1:30" x14ac:dyDescent="0.35">
      <c r="A144" s="35" t="s">
        <v>2</v>
      </c>
      <c r="D144" s="17">
        <v>1701</v>
      </c>
      <c r="E144" s="17" t="s">
        <v>329</v>
      </c>
      <c r="F144" s="18"/>
      <c r="G144" s="18"/>
      <c r="H144" s="18"/>
      <c r="I144" s="32" t="s">
        <v>327</v>
      </c>
      <c r="J144" s="17">
        <v>1</v>
      </c>
      <c r="K144" s="17">
        <v>9</v>
      </c>
      <c r="N144" s="18" t="s">
        <v>511</v>
      </c>
      <c r="S144" s="32" t="s">
        <v>327</v>
      </c>
      <c r="U144" s="20" t="s">
        <v>755</v>
      </c>
      <c r="W144" s="32" t="s">
        <v>441</v>
      </c>
      <c r="Y144" s="18"/>
      <c r="Z144" s="18"/>
      <c r="AD144" s="18"/>
    </row>
    <row r="145" spans="1:30" x14ac:dyDescent="0.35">
      <c r="A145" s="35" t="s">
        <v>2</v>
      </c>
      <c r="D145" s="17">
        <v>1702</v>
      </c>
      <c r="E145" s="17" t="s">
        <v>330</v>
      </c>
      <c r="F145" s="18"/>
      <c r="G145" s="18"/>
      <c r="H145" s="18"/>
      <c r="I145" s="32" t="s">
        <v>328</v>
      </c>
      <c r="J145" s="17">
        <v>2</v>
      </c>
      <c r="K145" s="17">
        <v>9</v>
      </c>
      <c r="N145" s="18" t="s">
        <v>512</v>
      </c>
      <c r="S145" s="32" t="s">
        <v>328</v>
      </c>
      <c r="U145" s="20" t="s">
        <v>756</v>
      </c>
      <c r="W145" s="32" t="s">
        <v>442</v>
      </c>
      <c r="Y145" s="18"/>
      <c r="Z145" s="18"/>
      <c r="AD145" s="18"/>
    </row>
    <row r="147" spans="1:30" x14ac:dyDescent="0.35">
      <c r="F147" s="18"/>
      <c r="G147" s="18"/>
      <c r="H147" s="18"/>
      <c r="I147" s="32"/>
      <c r="L147" s="46"/>
      <c r="M147" s="18"/>
      <c r="N147" s="18"/>
      <c r="O147" s="18"/>
      <c r="P147" s="46"/>
      <c r="Q147" s="18"/>
      <c r="S147" s="32"/>
      <c r="U147" s="20"/>
      <c r="W147" s="32"/>
      <c r="Y147" s="18"/>
      <c r="Z147" s="18"/>
      <c r="AD147" s="18"/>
    </row>
    <row r="148" spans="1:30" x14ac:dyDescent="0.35">
      <c r="F148" s="18"/>
      <c r="G148" s="18"/>
      <c r="H148" s="18"/>
      <c r="I148" s="32"/>
      <c r="L148" s="46"/>
      <c r="M148" s="18"/>
      <c r="N148" s="18"/>
      <c r="O148" s="18"/>
      <c r="P148" s="46"/>
      <c r="Q148" s="18"/>
      <c r="S148" s="32"/>
      <c r="U148" s="20"/>
      <c r="W148" s="32"/>
      <c r="Y148" s="18"/>
      <c r="Z148" s="18"/>
      <c r="AD148" s="18"/>
    </row>
    <row r="149" spans="1:30" x14ac:dyDescent="0.35">
      <c r="F149" s="18"/>
      <c r="G149" s="18"/>
      <c r="H149" s="18"/>
      <c r="I149" s="32"/>
      <c r="L149" s="46"/>
      <c r="M149" s="18"/>
      <c r="N149" s="18"/>
      <c r="O149" s="18"/>
      <c r="P149" s="46"/>
      <c r="Q149" s="18"/>
      <c r="S149" s="32"/>
      <c r="U149" s="20"/>
      <c r="W149" s="32"/>
      <c r="Y149" s="18"/>
      <c r="Z149" s="18"/>
      <c r="AD149" s="18"/>
    </row>
    <row r="150" spans="1:30" x14ac:dyDescent="0.35">
      <c r="F150" s="18"/>
      <c r="G150" s="18"/>
      <c r="H150" s="18"/>
      <c r="I150" s="32"/>
      <c r="L150" s="46"/>
      <c r="M150" s="18"/>
      <c r="N150" s="18"/>
      <c r="O150" s="18"/>
      <c r="P150" s="46"/>
      <c r="Q150" s="18"/>
      <c r="S150" s="32"/>
      <c r="U150" s="20"/>
      <c r="W150" s="32"/>
      <c r="Y150" s="18"/>
      <c r="Z150" s="18"/>
      <c r="AD150" s="18"/>
    </row>
    <row r="151" spans="1:30" x14ac:dyDescent="0.35">
      <c r="F151" s="18"/>
      <c r="G151" s="18"/>
      <c r="H151" s="18"/>
      <c r="I151" s="32"/>
      <c r="L151" s="46"/>
      <c r="M151" s="18"/>
      <c r="N151" s="18"/>
      <c r="O151" s="18"/>
      <c r="P151" s="46"/>
      <c r="Q151" s="18"/>
      <c r="S151" s="32"/>
      <c r="U151" s="20"/>
      <c r="W151" s="32"/>
      <c r="Y151" s="18"/>
      <c r="Z151" s="18"/>
      <c r="AD151" s="18"/>
    </row>
    <row r="152" spans="1:30" x14ac:dyDescent="0.15">
      <c r="A152" s="35" t="s">
        <v>3</v>
      </c>
    </row>
    <row r="153" spans="1:30" x14ac:dyDescent="0.15">
      <c r="A153" s="35" t="s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5"/>
  <sheetViews>
    <sheetView topLeftCell="A31" workbookViewId="0">
      <selection activeCell="E44" sqref="E44"/>
    </sheetView>
  </sheetViews>
  <sheetFormatPr defaultRowHeight="16.5" x14ac:dyDescent="0.15"/>
  <cols>
    <col min="1" max="1" width="9.625" style="35" customWidth="1"/>
    <col min="2" max="2" width="9.625" style="17" bestFit="1" customWidth="1"/>
    <col min="3" max="3" width="13.125" style="20" bestFit="1" customWidth="1"/>
    <col min="4" max="4" width="4.5" style="17" bestFit="1" customWidth="1"/>
    <col min="5" max="5" width="14.25" style="17" bestFit="1" customWidth="1"/>
    <col min="6" max="6" width="11.625" style="42" bestFit="1" customWidth="1"/>
    <col min="7" max="7" width="13.125" style="17" bestFit="1" customWidth="1"/>
    <col min="8" max="9" width="8" style="17" bestFit="1" customWidth="1"/>
    <col min="10" max="12" width="8.875" style="17"/>
    <col min="13" max="13" width="2" style="17" bestFit="1" customWidth="1"/>
    <col min="14" max="238" width="8.875" style="17"/>
    <col min="239" max="239" width="9.625" style="17" customWidth="1"/>
    <col min="240" max="240" width="11.5" style="17" customWidth="1"/>
    <col min="241" max="241" width="9" style="17" customWidth="1"/>
    <col min="242" max="242" width="13.375" style="17" customWidth="1"/>
    <col min="243" max="243" width="10.5" style="17" customWidth="1"/>
    <col min="244" max="244" width="12.5" style="17" customWidth="1"/>
    <col min="245" max="245" width="13.75" style="17" customWidth="1"/>
    <col min="246" max="246" width="8.875" style="17"/>
    <col min="247" max="247" width="12.375" style="17" customWidth="1"/>
    <col min="248" max="249" width="8.875" style="17"/>
    <col min="250" max="250" width="15.625" style="17" bestFit="1" customWidth="1"/>
    <col min="251" max="251" width="18.875" style="17" customWidth="1"/>
    <col min="252" max="494" width="8.875" style="17"/>
    <col min="495" max="495" width="9.625" style="17" customWidth="1"/>
    <col min="496" max="496" width="11.5" style="17" customWidth="1"/>
    <col min="497" max="497" width="9" style="17" customWidth="1"/>
    <col min="498" max="498" width="13.375" style="17" customWidth="1"/>
    <col min="499" max="499" width="10.5" style="17" customWidth="1"/>
    <col min="500" max="500" width="12.5" style="17" customWidth="1"/>
    <col min="501" max="501" width="13.75" style="17" customWidth="1"/>
    <col min="502" max="502" width="8.875" style="17"/>
    <col min="503" max="503" width="12.375" style="17" customWidth="1"/>
    <col min="504" max="505" width="8.875" style="17"/>
    <col min="506" max="506" width="15.625" style="17" bestFit="1" customWidth="1"/>
    <col min="507" max="507" width="18.875" style="17" customWidth="1"/>
    <col min="508" max="750" width="8.875" style="17"/>
    <col min="751" max="751" width="9.625" style="17" customWidth="1"/>
    <col min="752" max="752" width="11.5" style="17" customWidth="1"/>
    <col min="753" max="753" width="9" style="17" customWidth="1"/>
    <col min="754" max="754" width="13.375" style="17" customWidth="1"/>
    <col min="755" max="755" width="10.5" style="17" customWidth="1"/>
    <col min="756" max="756" width="12.5" style="17" customWidth="1"/>
    <col min="757" max="757" width="13.75" style="17" customWidth="1"/>
    <col min="758" max="758" width="8.875" style="17"/>
    <col min="759" max="759" width="12.375" style="17" customWidth="1"/>
    <col min="760" max="761" width="8.875" style="17"/>
    <col min="762" max="762" width="15.625" style="17" bestFit="1" customWidth="1"/>
    <col min="763" max="763" width="18.875" style="17" customWidth="1"/>
    <col min="764" max="1006" width="8.875" style="17"/>
    <col min="1007" max="1007" width="9.625" style="17" customWidth="1"/>
    <col min="1008" max="1008" width="11.5" style="17" customWidth="1"/>
    <col min="1009" max="1009" width="9" style="17" customWidth="1"/>
    <col min="1010" max="1010" width="13.375" style="17" customWidth="1"/>
    <col min="1011" max="1011" width="10.5" style="17" customWidth="1"/>
    <col min="1012" max="1012" width="12.5" style="17" customWidth="1"/>
    <col min="1013" max="1013" width="13.75" style="17" customWidth="1"/>
    <col min="1014" max="1014" width="8.875" style="17"/>
    <col min="1015" max="1015" width="12.375" style="17" customWidth="1"/>
    <col min="1016" max="1017" width="8.875" style="17"/>
    <col min="1018" max="1018" width="15.625" style="17" bestFit="1" customWidth="1"/>
    <col min="1019" max="1019" width="18.875" style="17" customWidth="1"/>
    <col min="1020" max="1262" width="8.875" style="17"/>
    <col min="1263" max="1263" width="9.625" style="17" customWidth="1"/>
    <col min="1264" max="1264" width="11.5" style="17" customWidth="1"/>
    <col min="1265" max="1265" width="9" style="17" customWidth="1"/>
    <col min="1266" max="1266" width="13.375" style="17" customWidth="1"/>
    <col min="1267" max="1267" width="10.5" style="17" customWidth="1"/>
    <col min="1268" max="1268" width="12.5" style="17" customWidth="1"/>
    <col min="1269" max="1269" width="13.75" style="17" customWidth="1"/>
    <col min="1270" max="1270" width="8.875" style="17"/>
    <col min="1271" max="1271" width="12.375" style="17" customWidth="1"/>
    <col min="1272" max="1273" width="8.875" style="17"/>
    <col min="1274" max="1274" width="15.625" style="17" bestFit="1" customWidth="1"/>
    <col min="1275" max="1275" width="18.875" style="17" customWidth="1"/>
    <col min="1276" max="1518" width="8.875" style="17"/>
    <col min="1519" max="1519" width="9.625" style="17" customWidth="1"/>
    <col min="1520" max="1520" width="11.5" style="17" customWidth="1"/>
    <col min="1521" max="1521" width="9" style="17" customWidth="1"/>
    <col min="1522" max="1522" width="13.375" style="17" customWidth="1"/>
    <col min="1523" max="1523" width="10.5" style="17" customWidth="1"/>
    <col min="1524" max="1524" width="12.5" style="17" customWidth="1"/>
    <col min="1525" max="1525" width="13.75" style="17" customWidth="1"/>
    <col min="1526" max="1526" width="8.875" style="17"/>
    <col min="1527" max="1527" width="12.375" style="17" customWidth="1"/>
    <col min="1528" max="1529" width="8.875" style="17"/>
    <col min="1530" max="1530" width="15.625" style="17" bestFit="1" customWidth="1"/>
    <col min="1531" max="1531" width="18.875" style="17" customWidth="1"/>
    <col min="1532" max="1774" width="8.875" style="17"/>
    <col min="1775" max="1775" width="9.625" style="17" customWidth="1"/>
    <col min="1776" max="1776" width="11.5" style="17" customWidth="1"/>
    <col min="1777" max="1777" width="9" style="17" customWidth="1"/>
    <col min="1778" max="1778" width="13.375" style="17" customWidth="1"/>
    <col min="1779" max="1779" width="10.5" style="17" customWidth="1"/>
    <col min="1780" max="1780" width="12.5" style="17" customWidth="1"/>
    <col min="1781" max="1781" width="13.75" style="17" customWidth="1"/>
    <col min="1782" max="1782" width="8.875" style="17"/>
    <col min="1783" max="1783" width="12.375" style="17" customWidth="1"/>
    <col min="1784" max="1785" width="8.875" style="17"/>
    <col min="1786" max="1786" width="15.625" style="17" bestFit="1" customWidth="1"/>
    <col min="1787" max="1787" width="18.875" style="17" customWidth="1"/>
    <col min="1788" max="2030" width="8.875" style="17"/>
    <col min="2031" max="2031" width="9.625" style="17" customWidth="1"/>
    <col min="2032" max="2032" width="11.5" style="17" customWidth="1"/>
    <col min="2033" max="2033" width="9" style="17" customWidth="1"/>
    <col min="2034" max="2034" width="13.375" style="17" customWidth="1"/>
    <col min="2035" max="2035" width="10.5" style="17" customWidth="1"/>
    <col min="2036" max="2036" width="12.5" style="17" customWidth="1"/>
    <col min="2037" max="2037" width="13.75" style="17" customWidth="1"/>
    <col min="2038" max="2038" width="8.875" style="17"/>
    <col min="2039" max="2039" width="12.375" style="17" customWidth="1"/>
    <col min="2040" max="2041" width="8.875" style="17"/>
    <col min="2042" max="2042" width="15.625" style="17" bestFit="1" customWidth="1"/>
    <col min="2043" max="2043" width="18.875" style="17" customWidth="1"/>
    <col min="2044" max="2286" width="8.875" style="17"/>
    <col min="2287" max="2287" width="9.625" style="17" customWidth="1"/>
    <col min="2288" max="2288" width="11.5" style="17" customWidth="1"/>
    <col min="2289" max="2289" width="9" style="17" customWidth="1"/>
    <col min="2290" max="2290" width="13.375" style="17" customWidth="1"/>
    <col min="2291" max="2291" width="10.5" style="17" customWidth="1"/>
    <col min="2292" max="2292" width="12.5" style="17" customWidth="1"/>
    <col min="2293" max="2293" width="13.75" style="17" customWidth="1"/>
    <col min="2294" max="2294" width="8.875" style="17"/>
    <col min="2295" max="2295" width="12.375" style="17" customWidth="1"/>
    <col min="2296" max="2297" width="8.875" style="17"/>
    <col min="2298" max="2298" width="15.625" style="17" bestFit="1" customWidth="1"/>
    <col min="2299" max="2299" width="18.875" style="17" customWidth="1"/>
    <col min="2300" max="2542" width="8.875" style="17"/>
    <col min="2543" max="2543" width="9.625" style="17" customWidth="1"/>
    <col min="2544" max="2544" width="11.5" style="17" customWidth="1"/>
    <col min="2545" max="2545" width="9" style="17" customWidth="1"/>
    <col min="2546" max="2546" width="13.375" style="17" customWidth="1"/>
    <col min="2547" max="2547" width="10.5" style="17" customWidth="1"/>
    <col min="2548" max="2548" width="12.5" style="17" customWidth="1"/>
    <col min="2549" max="2549" width="13.75" style="17" customWidth="1"/>
    <col min="2550" max="2550" width="8.875" style="17"/>
    <col min="2551" max="2551" width="12.375" style="17" customWidth="1"/>
    <col min="2552" max="2553" width="8.875" style="17"/>
    <col min="2554" max="2554" width="15.625" style="17" bestFit="1" customWidth="1"/>
    <col min="2555" max="2555" width="18.875" style="17" customWidth="1"/>
    <col min="2556" max="2798" width="8.875" style="17"/>
    <col min="2799" max="2799" width="9.625" style="17" customWidth="1"/>
    <col min="2800" max="2800" width="11.5" style="17" customWidth="1"/>
    <col min="2801" max="2801" width="9" style="17" customWidth="1"/>
    <col min="2802" max="2802" width="13.375" style="17" customWidth="1"/>
    <col min="2803" max="2803" width="10.5" style="17" customWidth="1"/>
    <col min="2804" max="2804" width="12.5" style="17" customWidth="1"/>
    <col min="2805" max="2805" width="13.75" style="17" customWidth="1"/>
    <col min="2806" max="2806" width="8.875" style="17"/>
    <col min="2807" max="2807" width="12.375" style="17" customWidth="1"/>
    <col min="2808" max="2809" width="8.875" style="17"/>
    <col min="2810" max="2810" width="15.625" style="17" bestFit="1" customWidth="1"/>
    <col min="2811" max="2811" width="18.875" style="17" customWidth="1"/>
    <col min="2812" max="3054" width="8.875" style="17"/>
    <col min="3055" max="3055" width="9.625" style="17" customWidth="1"/>
    <col min="3056" max="3056" width="11.5" style="17" customWidth="1"/>
    <col min="3057" max="3057" width="9" style="17" customWidth="1"/>
    <col min="3058" max="3058" width="13.375" style="17" customWidth="1"/>
    <col min="3059" max="3059" width="10.5" style="17" customWidth="1"/>
    <col min="3060" max="3060" width="12.5" style="17" customWidth="1"/>
    <col min="3061" max="3061" width="13.75" style="17" customWidth="1"/>
    <col min="3062" max="3062" width="8.875" style="17"/>
    <col min="3063" max="3063" width="12.375" style="17" customWidth="1"/>
    <col min="3064" max="3065" width="8.875" style="17"/>
    <col min="3066" max="3066" width="15.625" style="17" bestFit="1" customWidth="1"/>
    <col min="3067" max="3067" width="18.875" style="17" customWidth="1"/>
    <col min="3068" max="3310" width="8.875" style="17"/>
    <col min="3311" max="3311" width="9.625" style="17" customWidth="1"/>
    <col min="3312" max="3312" width="11.5" style="17" customWidth="1"/>
    <col min="3313" max="3313" width="9" style="17" customWidth="1"/>
    <col min="3314" max="3314" width="13.375" style="17" customWidth="1"/>
    <col min="3315" max="3315" width="10.5" style="17" customWidth="1"/>
    <col min="3316" max="3316" width="12.5" style="17" customWidth="1"/>
    <col min="3317" max="3317" width="13.75" style="17" customWidth="1"/>
    <col min="3318" max="3318" width="8.875" style="17"/>
    <col min="3319" max="3319" width="12.375" style="17" customWidth="1"/>
    <col min="3320" max="3321" width="8.875" style="17"/>
    <col min="3322" max="3322" width="15.625" style="17" bestFit="1" customWidth="1"/>
    <col min="3323" max="3323" width="18.875" style="17" customWidth="1"/>
    <col min="3324" max="3566" width="8.875" style="17"/>
    <col min="3567" max="3567" width="9.625" style="17" customWidth="1"/>
    <col min="3568" max="3568" width="11.5" style="17" customWidth="1"/>
    <col min="3569" max="3569" width="9" style="17" customWidth="1"/>
    <col min="3570" max="3570" width="13.375" style="17" customWidth="1"/>
    <col min="3571" max="3571" width="10.5" style="17" customWidth="1"/>
    <col min="3572" max="3572" width="12.5" style="17" customWidth="1"/>
    <col min="3573" max="3573" width="13.75" style="17" customWidth="1"/>
    <col min="3574" max="3574" width="8.875" style="17"/>
    <col min="3575" max="3575" width="12.375" style="17" customWidth="1"/>
    <col min="3576" max="3577" width="8.875" style="17"/>
    <col min="3578" max="3578" width="15.625" style="17" bestFit="1" customWidth="1"/>
    <col min="3579" max="3579" width="18.875" style="17" customWidth="1"/>
    <col min="3580" max="3822" width="8.875" style="17"/>
    <col min="3823" max="3823" width="9.625" style="17" customWidth="1"/>
    <col min="3824" max="3824" width="11.5" style="17" customWidth="1"/>
    <col min="3825" max="3825" width="9" style="17" customWidth="1"/>
    <col min="3826" max="3826" width="13.375" style="17" customWidth="1"/>
    <col min="3827" max="3827" width="10.5" style="17" customWidth="1"/>
    <col min="3828" max="3828" width="12.5" style="17" customWidth="1"/>
    <col min="3829" max="3829" width="13.75" style="17" customWidth="1"/>
    <col min="3830" max="3830" width="8.875" style="17"/>
    <col min="3831" max="3831" width="12.375" style="17" customWidth="1"/>
    <col min="3832" max="3833" width="8.875" style="17"/>
    <col min="3834" max="3834" width="15.625" style="17" bestFit="1" customWidth="1"/>
    <col min="3835" max="3835" width="18.875" style="17" customWidth="1"/>
    <col min="3836" max="4078" width="8.875" style="17"/>
    <col min="4079" max="4079" width="9.625" style="17" customWidth="1"/>
    <col min="4080" max="4080" width="11.5" style="17" customWidth="1"/>
    <col min="4081" max="4081" width="9" style="17" customWidth="1"/>
    <col min="4082" max="4082" width="13.375" style="17" customWidth="1"/>
    <col min="4083" max="4083" width="10.5" style="17" customWidth="1"/>
    <col min="4084" max="4084" width="12.5" style="17" customWidth="1"/>
    <col min="4085" max="4085" width="13.75" style="17" customWidth="1"/>
    <col min="4086" max="4086" width="8.875" style="17"/>
    <col min="4087" max="4087" width="12.375" style="17" customWidth="1"/>
    <col min="4088" max="4089" width="8.875" style="17"/>
    <col min="4090" max="4090" width="15.625" style="17" bestFit="1" customWidth="1"/>
    <col min="4091" max="4091" width="18.875" style="17" customWidth="1"/>
    <col min="4092" max="4334" width="8.875" style="17"/>
    <col min="4335" max="4335" width="9.625" style="17" customWidth="1"/>
    <col min="4336" max="4336" width="11.5" style="17" customWidth="1"/>
    <col min="4337" max="4337" width="9" style="17" customWidth="1"/>
    <col min="4338" max="4338" width="13.375" style="17" customWidth="1"/>
    <col min="4339" max="4339" width="10.5" style="17" customWidth="1"/>
    <col min="4340" max="4340" width="12.5" style="17" customWidth="1"/>
    <col min="4341" max="4341" width="13.75" style="17" customWidth="1"/>
    <col min="4342" max="4342" width="8.875" style="17"/>
    <col min="4343" max="4343" width="12.375" style="17" customWidth="1"/>
    <col min="4344" max="4345" width="8.875" style="17"/>
    <col min="4346" max="4346" width="15.625" style="17" bestFit="1" customWidth="1"/>
    <col min="4347" max="4347" width="18.875" style="17" customWidth="1"/>
    <col min="4348" max="4590" width="8.875" style="17"/>
    <col min="4591" max="4591" width="9.625" style="17" customWidth="1"/>
    <col min="4592" max="4592" width="11.5" style="17" customWidth="1"/>
    <col min="4593" max="4593" width="9" style="17" customWidth="1"/>
    <col min="4594" max="4594" width="13.375" style="17" customWidth="1"/>
    <col min="4595" max="4595" width="10.5" style="17" customWidth="1"/>
    <col min="4596" max="4596" width="12.5" style="17" customWidth="1"/>
    <col min="4597" max="4597" width="13.75" style="17" customWidth="1"/>
    <col min="4598" max="4598" width="8.875" style="17"/>
    <col min="4599" max="4599" width="12.375" style="17" customWidth="1"/>
    <col min="4600" max="4601" width="8.875" style="17"/>
    <col min="4602" max="4602" width="15.625" style="17" bestFit="1" customWidth="1"/>
    <col min="4603" max="4603" width="18.875" style="17" customWidth="1"/>
    <col min="4604" max="4846" width="8.875" style="17"/>
    <col min="4847" max="4847" width="9.625" style="17" customWidth="1"/>
    <col min="4848" max="4848" width="11.5" style="17" customWidth="1"/>
    <col min="4849" max="4849" width="9" style="17" customWidth="1"/>
    <col min="4850" max="4850" width="13.375" style="17" customWidth="1"/>
    <col min="4851" max="4851" width="10.5" style="17" customWidth="1"/>
    <col min="4852" max="4852" width="12.5" style="17" customWidth="1"/>
    <col min="4853" max="4853" width="13.75" style="17" customWidth="1"/>
    <col min="4854" max="4854" width="8.875" style="17"/>
    <col min="4855" max="4855" width="12.375" style="17" customWidth="1"/>
    <col min="4856" max="4857" width="8.875" style="17"/>
    <col min="4858" max="4858" width="15.625" style="17" bestFit="1" customWidth="1"/>
    <col min="4859" max="4859" width="18.875" style="17" customWidth="1"/>
    <col min="4860" max="5102" width="8.875" style="17"/>
    <col min="5103" max="5103" width="9.625" style="17" customWidth="1"/>
    <col min="5104" max="5104" width="11.5" style="17" customWidth="1"/>
    <col min="5105" max="5105" width="9" style="17" customWidth="1"/>
    <col min="5106" max="5106" width="13.375" style="17" customWidth="1"/>
    <col min="5107" max="5107" width="10.5" style="17" customWidth="1"/>
    <col min="5108" max="5108" width="12.5" style="17" customWidth="1"/>
    <col min="5109" max="5109" width="13.75" style="17" customWidth="1"/>
    <col min="5110" max="5110" width="8.875" style="17"/>
    <col min="5111" max="5111" width="12.375" style="17" customWidth="1"/>
    <col min="5112" max="5113" width="8.875" style="17"/>
    <col min="5114" max="5114" width="15.625" style="17" bestFit="1" customWidth="1"/>
    <col min="5115" max="5115" width="18.875" style="17" customWidth="1"/>
    <col min="5116" max="5358" width="8.875" style="17"/>
    <col min="5359" max="5359" width="9.625" style="17" customWidth="1"/>
    <col min="5360" max="5360" width="11.5" style="17" customWidth="1"/>
    <col min="5361" max="5361" width="9" style="17" customWidth="1"/>
    <col min="5362" max="5362" width="13.375" style="17" customWidth="1"/>
    <col min="5363" max="5363" width="10.5" style="17" customWidth="1"/>
    <col min="5364" max="5364" width="12.5" style="17" customWidth="1"/>
    <col min="5365" max="5365" width="13.75" style="17" customWidth="1"/>
    <col min="5366" max="5366" width="8.875" style="17"/>
    <col min="5367" max="5367" width="12.375" style="17" customWidth="1"/>
    <col min="5368" max="5369" width="8.875" style="17"/>
    <col min="5370" max="5370" width="15.625" style="17" bestFit="1" customWidth="1"/>
    <col min="5371" max="5371" width="18.875" style="17" customWidth="1"/>
    <col min="5372" max="5614" width="8.875" style="17"/>
    <col min="5615" max="5615" width="9.625" style="17" customWidth="1"/>
    <col min="5616" max="5616" width="11.5" style="17" customWidth="1"/>
    <col min="5617" max="5617" width="9" style="17" customWidth="1"/>
    <col min="5618" max="5618" width="13.375" style="17" customWidth="1"/>
    <col min="5619" max="5619" width="10.5" style="17" customWidth="1"/>
    <col min="5620" max="5620" width="12.5" style="17" customWidth="1"/>
    <col min="5621" max="5621" width="13.75" style="17" customWidth="1"/>
    <col min="5622" max="5622" width="8.875" style="17"/>
    <col min="5623" max="5623" width="12.375" style="17" customWidth="1"/>
    <col min="5624" max="5625" width="8.875" style="17"/>
    <col min="5626" max="5626" width="15.625" style="17" bestFit="1" customWidth="1"/>
    <col min="5627" max="5627" width="18.875" style="17" customWidth="1"/>
    <col min="5628" max="5870" width="8.875" style="17"/>
    <col min="5871" max="5871" width="9.625" style="17" customWidth="1"/>
    <col min="5872" max="5872" width="11.5" style="17" customWidth="1"/>
    <col min="5873" max="5873" width="9" style="17" customWidth="1"/>
    <col min="5874" max="5874" width="13.375" style="17" customWidth="1"/>
    <col min="5875" max="5875" width="10.5" style="17" customWidth="1"/>
    <col min="5876" max="5876" width="12.5" style="17" customWidth="1"/>
    <col min="5877" max="5877" width="13.75" style="17" customWidth="1"/>
    <col min="5878" max="5878" width="8.875" style="17"/>
    <col min="5879" max="5879" width="12.375" style="17" customWidth="1"/>
    <col min="5880" max="5881" width="8.875" style="17"/>
    <col min="5882" max="5882" width="15.625" style="17" bestFit="1" customWidth="1"/>
    <col min="5883" max="5883" width="18.875" style="17" customWidth="1"/>
    <col min="5884" max="6126" width="8.875" style="17"/>
    <col min="6127" max="6127" width="9.625" style="17" customWidth="1"/>
    <col min="6128" max="6128" width="11.5" style="17" customWidth="1"/>
    <col min="6129" max="6129" width="9" style="17" customWidth="1"/>
    <col min="6130" max="6130" width="13.375" style="17" customWidth="1"/>
    <col min="6131" max="6131" width="10.5" style="17" customWidth="1"/>
    <col min="6132" max="6132" width="12.5" style="17" customWidth="1"/>
    <col min="6133" max="6133" width="13.75" style="17" customWidth="1"/>
    <col min="6134" max="6134" width="8.875" style="17"/>
    <col min="6135" max="6135" width="12.375" style="17" customWidth="1"/>
    <col min="6136" max="6137" width="8.875" style="17"/>
    <col min="6138" max="6138" width="15.625" style="17" bestFit="1" customWidth="1"/>
    <col min="6139" max="6139" width="18.875" style="17" customWidth="1"/>
    <col min="6140" max="6382" width="8.875" style="17"/>
    <col min="6383" max="6383" width="9.625" style="17" customWidth="1"/>
    <col min="6384" max="6384" width="11.5" style="17" customWidth="1"/>
    <col min="6385" max="6385" width="9" style="17" customWidth="1"/>
    <col min="6386" max="6386" width="13.375" style="17" customWidth="1"/>
    <col min="6387" max="6387" width="10.5" style="17" customWidth="1"/>
    <col min="6388" max="6388" width="12.5" style="17" customWidth="1"/>
    <col min="6389" max="6389" width="13.75" style="17" customWidth="1"/>
    <col min="6390" max="6390" width="8.875" style="17"/>
    <col min="6391" max="6391" width="12.375" style="17" customWidth="1"/>
    <col min="6392" max="6393" width="8.875" style="17"/>
    <col min="6394" max="6394" width="15.625" style="17" bestFit="1" customWidth="1"/>
    <col min="6395" max="6395" width="18.875" style="17" customWidth="1"/>
    <col min="6396" max="6638" width="8.875" style="17"/>
    <col min="6639" max="6639" width="9.625" style="17" customWidth="1"/>
    <col min="6640" max="6640" width="11.5" style="17" customWidth="1"/>
    <col min="6641" max="6641" width="9" style="17" customWidth="1"/>
    <col min="6642" max="6642" width="13.375" style="17" customWidth="1"/>
    <col min="6643" max="6643" width="10.5" style="17" customWidth="1"/>
    <col min="6644" max="6644" width="12.5" style="17" customWidth="1"/>
    <col min="6645" max="6645" width="13.75" style="17" customWidth="1"/>
    <col min="6646" max="6646" width="8.875" style="17"/>
    <col min="6647" max="6647" width="12.375" style="17" customWidth="1"/>
    <col min="6648" max="6649" width="8.875" style="17"/>
    <col min="6650" max="6650" width="15.625" style="17" bestFit="1" customWidth="1"/>
    <col min="6651" max="6651" width="18.875" style="17" customWidth="1"/>
    <col min="6652" max="6894" width="8.875" style="17"/>
    <col min="6895" max="6895" width="9.625" style="17" customWidth="1"/>
    <col min="6896" max="6896" width="11.5" style="17" customWidth="1"/>
    <col min="6897" max="6897" width="9" style="17" customWidth="1"/>
    <col min="6898" max="6898" width="13.375" style="17" customWidth="1"/>
    <col min="6899" max="6899" width="10.5" style="17" customWidth="1"/>
    <col min="6900" max="6900" width="12.5" style="17" customWidth="1"/>
    <col min="6901" max="6901" width="13.75" style="17" customWidth="1"/>
    <col min="6902" max="6902" width="8.875" style="17"/>
    <col min="6903" max="6903" width="12.375" style="17" customWidth="1"/>
    <col min="6904" max="6905" width="8.875" style="17"/>
    <col min="6906" max="6906" width="15.625" style="17" bestFit="1" customWidth="1"/>
    <col min="6907" max="6907" width="18.875" style="17" customWidth="1"/>
    <col min="6908" max="7150" width="8.875" style="17"/>
    <col min="7151" max="7151" width="9.625" style="17" customWidth="1"/>
    <col min="7152" max="7152" width="11.5" style="17" customWidth="1"/>
    <col min="7153" max="7153" width="9" style="17" customWidth="1"/>
    <col min="7154" max="7154" width="13.375" style="17" customWidth="1"/>
    <col min="7155" max="7155" width="10.5" style="17" customWidth="1"/>
    <col min="7156" max="7156" width="12.5" style="17" customWidth="1"/>
    <col min="7157" max="7157" width="13.75" style="17" customWidth="1"/>
    <col min="7158" max="7158" width="8.875" style="17"/>
    <col min="7159" max="7159" width="12.375" style="17" customWidth="1"/>
    <col min="7160" max="7161" width="8.875" style="17"/>
    <col min="7162" max="7162" width="15.625" style="17" bestFit="1" customWidth="1"/>
    <col min="7163" max="7163" width="18.875" style="17" customWidth="1"/>
    <col min="7164" max="7406" width="8.875" style="17"/>
    <col min="7407" max="7407" width="9.625" style="17" customWidth="1"/>
    <col min="7408" max="7408" width="11.5" style="17" customWidth="1"/>
    <col min="7409" max="7409" width="9" style="17" customWidth="1"/>
    <col min="7410" max="7410" width="13.375" style="17" customWidth="1"/>
    <col min="7411" max="7411" width="10.5" style="17" customWidth="1"/>
    <col min="7412" max="7412" width="12.5" style="17" customWidth="1"/>
    <col min="7413" max="7413" width="13.75" style="17" customWidth="1"/>
    <col min="7414" max="7414" width="8.875" style="17"/>
    <col min="7415" max="7415" width="12.375" style="17" customWidth="1"/>
    <col min="7416" max="7417" width="8.875" style="17"/>
    <col min="7418" max="7418" width="15.625" style="17" bestFit="1" customWidth="1"/>
    <col min="7419" max="7419" width="18.875" style="17" customWidth="1"/>
    <col min="7420" max="7662" width="8.875" style="17"/>
    <col min="7663" max="7663" width="9.625" style="17" customWidth="1"/>
    <col min="7664" max="7664" width="11.5" style="17" customWidth="1"/>
    <col min="7665" max="7665" width="9" style="17" customWidth="1"/>
    <col min="7666" max="7666" width="13.375" style="17" customWidth="1"/>
    <col min="7667" max="7667" width="10.5" style="17" customWidth="1"/>
    <col min="7668" max="7668" width="12.5" style="17" customWidth="1"/>
    <col min="7669" max="7669" width="13.75" style="17" customWidth="1"/>
    <col min="7670" max="7670" width="8.875" style="17"/>
    <col min="7671" max="7671" width="12.375" style="17" customWidth="1"/>
    <col min="7672" max="7673" width="8.875" style="17"/>
    <col min="7674" max="7674" width="15.625" style="17" bestFit="1" customWidth="1"/>
    <col min="7675" max="7675" width="18.875" style="17" customWidth="1"/>
    <col min="7676" max="7918" width="8.875" style="17"/>
    <col min="7919" max="7919" width="9.625" style="17" customWidth="1"/>
    <col min="7920" max="7920" width="11.5" style="17" customWidth="1"/>
    <col min="7921" max="7921" width="9" style="17" customWidth="1"/>
    <col min="7922" max="7922" width="13.375" style="17" customWidth="1"/>
    <col min="7923" max="7923" width="10.5" style="17" customWidth="1"/>
    <col min="7924" max="7924" width="12.5" style="17" customWidth="1"/>
    <col min="7925" max="7925" width="13.75" style="17" customWidth="1"/>
    <col min="7926" max="7926" width="8.875" style="17"/>
    <col min="7927" max="7927" width="12.375" style="17" customWidth="1"/>
    <col min="7928" max="7929" width="8.875" style="17"/>
    <col min="7930" max="7930" width="15.625" style="17" bestFit="1" customWidth="1"/>
    <col min="7931" max="7931" width="18.875" style="17" customWidth="1"/>
    <col min="7932" max="8174" width="8.875" style="17"/>
    <col min="8175" max="8175" width="9.625" style="17" customWidth="1"/>
    <col min="8176" max="8176" width="11.5" style="17" customWidth="1"/>
    <col min="8177" max="8177" width="9" style="17" customWidth="1"/>
    <col min="8178" max="8178" width="13.375" style="17" customWidth="1"/>
    <col min="8179" max="8179" width="10.5" style="17" customWidth="1"/>
    <col min="8180" max="8180" width="12.5" style="17" customWidth="1"/>
    <col min="8181" max="8181" width="13.75" style="17" customWidth="1"/>
    <col min="8182" max="8182" width="8.875" style="17"/>
    <col min="8183" max="8183" width="12.375" style="17" customWidth="1"/>
    <col min="8184" max="8185" width="8.875" style="17"/>
    <col min="8186" max="8186" width="15.625" style="17" bestFit="1" customWidth="1"/>
    <col min="8187" max="8187" width="18.875" style="17" customWidth="1"/>
    <col min="8188" max="8430" width="8.875" style="17"/>
    <col min="8431" max="8431" width="9.625" style="17" customWidth="1"/>
    <col min="8432" max="8432" width="11.5" style="17" customWidth="1"/>
    <col min="8433" max="8433" width="9" style="17" customWidth="1"/>
    <col min="8434" max="8434" width="13.375" style="17" customWidth="1"/>
    <col min="8435" max="8435" width="10.5" style="17" customWidth="1"/>
    <col min="8436" max="8436" width="12.5" style="17" customWidth="1"/>
    <col min="8437" max="8437" width="13.75" style="17" customWidth="1"/>
    <col min="8438" max="8438" width="8.875" style="17"/>
    <col min="8439" max="8439" width="12.375" style="17" customWidth="1"/>
    <col min="8440" max="8441" width="8.875" style="17"/>
    <col min="8442" max="8442" width="15.625" style="17" bestFit="1" customWidth="1"/>
    <col min="8443" max="8443" width="18.875" style="17" customWidth="1"/>
    <col min="8444" max="8686" width="8.875" style="17"/>
    <col min="8687" max="8687" width="9.625" style="17" customWidth="1"/>
    <col min="8688" max="8688" width="11.5" style="17" customWidth="1"/>
    <col min="8689" max="8689" width="9" style="17" customWidth="1"/>
    <col min="8690" max="8690" width="13.375" style="17" customWidth="1"/>
    <col min="8691" max="8691" width="10.5" style="17" customWidth="1"/>
    <col min="8692" max="8692" width="12.5" style="17" customWidth="1"/>
    <col min="8693" max="8693" width="13.75" style="17" customWidth="1"/>
    <col min="8694" max="8694" width="8.875" style="17"/>
    <col min="8695" max="8695" width="12.375" style="17" customWidth="1"/>
    <col min="8696" max="8697" width="8.875" style="17"/>
    <col min="8698" max="8698" width="15.625" style="17" bestFit="1" customWidth="1"/>
    <col min="8699" max="8699" width="18.875" style="17" customWidth="1"/>
    <col min="8700" max="8942" width="8.875" style="17"/>
    <col min="8943" max="8943" width="9.625" style="17" customWidth="1"/>
    <col min="8944" max="8944" width="11.5" style="17" customWidth="1"/>
    <col min="8945" max="8945" width="9" style="17" customWidth="1"/>
    <col min="8946" max="8946" width="13.375" style="17" customWidth="1"/>
    <col min="8947" max="8947" width="10.5" style="17" customWidth="1"/>
    <col min="8948" max="8948" width="12.5" style="17" customWidth="1"/>
    <col min="8949" max="8949" width="13.75" style="17" customWidth="1"/>
    <col min="8950" max="8950" width="8.875" style="17"/>
    <col min="8951" max="8951" width="12.375" style="17" customWidth="1"/>
    <col min="8952" max="8953" width="8.875" style="17"/>
    <col min="8954" max="8954" width="15.625" style="17" bestFit="1" customWidth="1"/>
    <col min="8955" max="8955" width="18.875" style="17" customWidth="1"/>
    <col min="8956" max="9198" width="8.875" style="17"/>
    <col min="9199" max="9199" width="9.625" style="17" customWidth="1"/>
    <col min="9200" max="9200" width="11.5" style="17" customWidth="1"/>
    <col min="9201" max="9201" width="9" style="17" customWidth="1"/>
    <col min="9202" max="9202" width="13.375" style="17" customWidth="1"/>
    <col min="9203" max="9203" width="10.5" style="17" customWidth="1"/>
    <col min="9204" max="9204" width="12.5" style="17" customWidth="1"/>
    <col min="9205" max="9205" width="13.75" style="17" customWidth="1"/>
    <col min="9206" max="9206" width="8.875" style="17"/>
    <col min="9207" max="9207" width="12.375" style="17" customWidth="1"/>
    <col min="9208" max="9209" width="8.875" style="17"/>
    <col min="9210" max="9210" width="15.625" style="17" bestFit="1" customWidth="1"/>
    <col min="9211" max="9211" width="18.875" style="17" customWidth="1"/>
    <col min="9212" max="9454" width="8.875" style="17"/>
    <col min="9455" max="9455" width="9.625" style="17" customWidth="1"/>
    <col min="9456" max="9456" width="11.5" style="17" customWidth="1"/>
    <col min="9457" max="9457" width="9" style="17" customWidth="1"/>
    <col min="9458" max="9458" width="13.375" style="17" customWidth="1"/>
    <col min="9459" max="9459" width="10.5" style="17" customWidth="1"/>
    <col min="9460" max="9460" width="12.5" style="17" customWidth="1"/>
    <col min="9461" max="9461" width="13.75" style="17" customWidth="1"/>
    <col min="9462" max="9462" width="8.875" style="17"/>
    <col min="9463" max="9463" width="12.375" style="17" customWidth="1"/>
    <col min="9464" max="9465" width="8.875" style="17"/>
    <col min="9466" max="9466" width="15.625" style="17" bestFit="1" customWidth="1"/>
    <col min="9467" max="9467" width="18.875" style="17" customWidth="1"/>
    <col min="9468" max="9710" width="8.875" style="17"/>
    <col min="9711" max="9711" width="9.625" style="17" customWidth="1"/>
    <col min="9712" max="9712" width="11.5" style="17" customWidth="1"/>
    <col min="9713" max="9713" width="9" style="17" customWidth="1"/>
    <col min="9714" max="9714" width="13.375" style="17" customWidth="1"/>
    <col min="9715" max="9715" width="10.5" style="17" customWidth="1"/>
    <col min="9716" max="9716" width="12.5" style="17" customWidth="1"/>
    <col min="9717" max="9717" width="13.75" style="17" customWidth="1"/>
    <col min="9718" max="9718" width="8.875" style="17"/>
    <col min="9719" max="9719" width="12.375" style="17" customWidth="1"/>
    <col min="9720" max="9721" width="8.875" style="17"/>
    <col min="9722" max="9722" width="15.625" style="17" bestFit="1" customWidth="1"/>
    <col min="9723" max="9723" width="18.875" style="17" customWidth="1"/>
    <col min="9724" max="9966" width="8.875" style="17"/>
    <col min="9967" max="9967" width="9.625" style="17" customWidth="1"/>
    <col min="9968" max="9968" width="11.5" style="17" customWidth="1"/>
    <col min="9969" max="9969" width="9" style="17" customWidth="1"/>
    <col min="9970" max="9970" width="13.375" style="17" customWidth="1"/>
    <col min="9971" max="9971" width="10.5" style="17" customWidth="1"/>
    <col min="9972" max="9972" width="12.5" style="17" customWidth="1"/>
    <col min="9973" max="9973" width="13.75" style="17" customWidth="1"/>
    <col min="9974" max="9974" width="8.875" style="17"/>
    <col min="9975" max="9975" width="12.375" style="17" customWidth="1"/>
    <col min="9976" max="9977" width="8.875" style="17"/>
    <col min="9978" max="9978" width="15.625" style="17" bestFit="1" customWidth="1"/>
    <col min="9979" max="9979" width="18.875" style="17" customWidth="1"/>
    <col min="9980" max="10222" width="8.875" style="17"/>
    <col min="10223" max="10223" width="9.625" style="17" customWidth="1"/>
    <col min="10224" max="10224" width="11.5" style="17" customWidth="1"/>
    <col min="10225" max="10225" width="9" style="17" customWidth="1"/>
    <col min="10226" max="10226" width="13.375" style="17" customWidth="1"/>
    <col min="10227" max="10227" width="10.5" style="17" customWidth="1"/>
    <col min="10228" max="10228" width="12.5" style="17" customWidth="1"/>
    <col min="10229" max="10229" width="13.75" style="17" customWidth="1"/>
    <col min="10230" max="10230" width="8.875" style="17"/>
    <col min="10231" max="10231" width="12.375" style="17" customWidth="1"/>
    <col min="10232" max="10233" width="8.875" style="17"/>
    <col min="10234" max="10234" width="15.625" style="17" bestFit="1" customWidth="1"/>
    <col min="10235" max="10235" width="18.875" style="17" customWidth="1"/>
    <col min="10236" max="10478" width="8.875" style="17"/>
    <col min="10479" max="10479" width="9.625" style="17" customWidth="1"/>
    <col min="10480" max="10480" width="11.5" style="17" customWidth="1"/>
    <col min="10481" max="10481" width="9" style="17" customWidth="1"/>
    <col min="10482" max="10482" width="13.375" style="17" customWidth="1"/>
    <col min="10483" max="10483" width="10.5" style="17" customWidth="1"/>
    <col min="10484" max="10484" width="12.5" style="17" customWidth="1"/>
    <col min="10485" max="10485" width="13.75" style="17" customWidth="1"/>
    <col min="10486" max="10486" width="8.875" style="17"/>
    <col min="10487" max="10487" width="12.375" style="17" customWidth="1"/>
    <col min="10488" max="10489" width="8.875" style="17"/>
    <col min="10490" max="10490" width="15.625" style="17" bestFit="1" customWidth="1"/>
    <col min="10491" max="10491" width="18.875" style="17" customWidth="1"/>
    <col min="10492" max="10734" width="8.875" style="17"/>
    <col min="10735" max="10735" width="9.625" style="17" customWidth="1"/>
    <col min="10736" max="10736" width="11.5" style="17" customWidth="1"/>
    <col min="10737" max="10737" width="9" style="17" customWidth="1"/>
    <col min="10738" max="10738" width="13.375" style="17" customWidth="1"/>
    <col min="10739" max="10739" width="10.5" style="17" customWidth="1"/>
    <col min="10740" max="10740" width="12.5" style="17" customWidth="1"/>
    <col min="10741" max="10741" width="13.75" style="17" customWidth="1"/>
    <col min="10742" max="10742" width="8.875" style="17"/>
    <col min="10743" max="10743" width="12.375" style="17" customWidth="1"/>
    <col min="10744" max="10745" width="8.875" style="17"/>
    <col min="10746" max="10746" width="15.625" style="17" bestFit="1" customWidth="1"/>
    <col min="10747" max="10747" width="18.875" style="17" customWidth="1"/>
    <col min="10748" max="10990" width="8.875" style="17"/>
    <col min="10991" max="10991" width="9.625" style="17" customWidth="1"/>
    <col min="10992" max="10992" width="11.5" style="17" customWidth="1"/>
    <col min="10993" max="10993" width="9" style="17" customWidth="1"/>
    <col min="10994" max="10994" width="13.375" style="17" customWidth="1"/>
    <col min="10995" max="10995" width="10.5" style="17" customWidth="1"/>
    <col min="10996" max="10996" width="12.5" style="17" customWidth="1"/>
    <col min="10997" max="10997" width="13.75" style="17" customWidth="1"/>
    <col min="10998" max="10998" width="8.875" style="17"/>
    <col min="10999" max="10999" width="12.375" style="17" customWidth="1"/>
    <col min="11000" max="11001" width="8.875" style="17"/>
    <col min="11002" max="11002" width="15.625" style="17" bestFit="1" customWidth="1"/>
    <col min="11003" max="11003" width="18.875" style="17" customWidth="1"/>
    <col min="11004" max="11246" width="8.875" style="17"/>
    <col min="11247" max="11247" width="9.625" style="17" customWidth="1"/>
    <col min="11248" max="11248" width="11.5" style="17" customWidth="1"/>
    <col min="11249" max="11249" width="9" style="17" customWidth="1"/>
    <col min="11250" max="11250" width="13.375" style="17" customWidth="1"/>
    <col min="11251" max="11251" width="10.5" style="17" customWidth="1"/>
    <col min="11252" max="11252" width="12.5" style="17" customWidth="1"/>
    <col min="11253" max="11253" width="13.75" style="17" customWidth="1"/>
    <col min="11254" max="11254" width="8.875" style="17"/>
    <col min="11255" max="11255" width="12.375" style="17" customWidth="1"/>
    <col min="11256" max="11257" width="8.875" style="17"/>
    <col min="11258" max="11258" width="15.625" style="17" bestFit="1" customWidth="1"/>
    <col min="11259" max="11259" width="18.875" style="17" customWidth="1"/>
    <col min="11260" max="11502" width="8.875" style="17"/>
    <col min="11503" max="11503" width="9.625" style="17" customWidth="1"/>
    <col min="11504" max="11504" width="11.5" style="17" customWidth="1"/>
    <col min="11505" max="11505" width="9" style="17" customWidth="1"/>
    <col min="11506" max="11506" width="13.375" style="17" customWidth="1"/>
    <col min="11507" max="11507" width="10.5" style="17" customWidth="1"/>
    <col min="11508" max="11508" width="12.5" style="17" customWidth="1"/>
    <col min="11509" max="11509" width="13.75" style="17" customWidth="1"/>
    <col min="11510" max="11510" width="8.875" style="17"/>
    <col min="11511" max="11511" width="12.375" style="17" customWidth="1"/>
    <col min="11512" max="11513" width="8.875" style="17"/>
    <col min="11514" max="11514" width="15.625" style="17" bestFit="1" customWidth="1"/>
    <col min="11515" max="11515" width="18.875" style="17" customWidth="1"/>
    <col min="11516" max="11758" width="8.875" style="17"/>
    <col min="11759" max="11759" width="9.625" style="17" customWidth="1"/>
    <col min="11760" max="11760" width="11.5" style="17" customWidth="1"/>
    <col min="11761" max="11761" width="9" style="17" customWidth="1"/>
    <col min="11762" max="11762" width="13.375" style="17" customWidth="1"/>
    <col min="11763" max="11763" width="10.5" style="17" customWidth="1"/>
    <col min="11764" max="11764" width="12.5" style="17" customWidth="1"/>
    <col min="11765" max="11765" width="13.75" style="17" customWidth="1"/>
    <col min="11766" max="11766" width="8.875" style="17"/>
    <col min="11767" max="11767" width="12.375" style="17" customWidth="1"/>
    <col min="11768" max="11769" width="8.875" style="17"/>
    <col min="11770" max="11770" width="15.625" style="17" bestFit="1" customWidth="1"/>
    <col min="11771" max="11771" width="18.875" style="17" customWidth="1"/>
    <col min="11772" max="12014" width="8.875" style="17"/>
    <col min="12015" max="12015" width="9.625" style="17" customWidth="1"/>
    <col min="12016" max="12016" width="11.5" style="17" customWidth="1"/>
    <col min="12017" max="12017" width="9" style="17" customWidth="1"/>
    <col min="12018" max="12018" width="13.375" style="17" customWidth="1"/>
    <col min="12019" max="12019" width="10.5" style="17" customWidth="1"/>
    <col min="12020" max="12020" width="12.5" style="17" customWidth="1"/>
    <col min="12021" max="12021" width="13.75" style="17" customWidth="1"/>
    <col min="12022" max="12022" width="8.875" style="17"/>
    <col min="12023" max="12023" width="12.375" style="17" customWidth="1"/>
    <col min="12024" max="12025" width="8.875" style="17"/>
    <col min="12026" max="12026" width="15.625" style="17" bestFit="1" customWidth="1"/>
    <col min="12027" max="12027" width="18.875" style="17" customWidth="1"/>
    <col min="12028" max="12270" width="8.875" style="17"/>
    <col min="12271" max="12271" width="9.625" style="17" customWidth="1"/>
    <col min="12272" max="12272" width="11.5" style="17" customWidth="1"/>
    <col min="12273" max="12273" width="9" style="17" customWidth="1"/>
    <col min="12274" max="12274" width="13.375" style="17" customWidth="1"/>
    <col min="12275" max="12275" width="10.5" style="17" customWidth="1"/>
    <col min="12276" max="12276" width="12.5" style="17" customWidth="1"/>
    <col min="12277" max="12277" width="13.75" style="17" customWidth="1"/>
    <col min="12278" max="12278" width="8.875" style="17"/>
    <col min="12279" max="12279" width="12.375" style="17" customWidth="1"/>
    <col min="12280" max="12281" width="8.875" style="17"/>
    <col min="12282" max="12282" width="15.625" style="17" bestFit="1" customWidth="1"/>
    <col min="12283" max="12283" width="18.875" style="17" customWidth="1"/>
    <col min="12284" max="12526" width="8.875" style="17"/>
    <col min="12527" max="12527" width="9.625" style="17" customWidth="1"/>
    <col min="12528" max="12528" width="11.5" style="17" customWidth="1"/>
    <col min="12529" max="12529" width="9" style="17" customWidth="1"/>
    <col min="12530" max="12530" width="13.375" style="17" customWidth="1"/>
    <col min="12531" max="12531" width="10.5" style="17" customWidth="1"/>
    <col min="12532" max="12532" width="12.5" style="17" customWidth="1"/>
    <col min="12533" max="12533" width="13.75" style="17" customWidth="1"/>
    <col min="12534" max="12534" width="8.875" style="17"/>
    <col min="12535" max="12535" width="12.375" style="17" customWidth="1"/>
    <col min="12536" max="12537" width="8.875" style="17"/>
    <col min="12538" max="12538" width="15.625" style="17" bestFit="1" customWidth="1"/>
    <col min="12539" max="12539" width="18.875" style="17" customWidth="1"/>
    <col min="12540" max="12782" width="8.875" style="17"/>
    <col min="12783" max="12783" width="9.625" style="17" customWidth="1"/>
    <col min="12784" max="12784" width="11.5" style="17" customWidth="1"/>
    <col min="12785" max="12785" width="9" style="17" customWidth="1"/>
    <col min="12786" max="12786" width="13.375" style="17" customWidth="1"/>
    <col min="12787" max="12787" width="10.5" style="17" customWidth="1"/>
    <col min="12788" max="12788" width="12.5" style="17" customWidth="1"/>
    <col min="12789" max="12789" width="13.75" style="17" customWidth="1"/>
    <col min="12790" max="12790" width="8.875" style="17"/>
    <col min="12791" max="12791" width="12.375" style="17" customWidth="1"/>
    <col min="12792" max="12793" width="8.875" style="17"/>
    <col min="12794" max="12794" width="15.625" style="17" bestFit="1" customWidth="1"/>
    <col min="12795" max="12795" width="18.875" style="17" customWidth="1"/>
    <col min="12796" max="13038" width="8.875" style="17"/>
    <col min="13039" max="13039" width="9.625" style="17" customWidth="1"/>
    <col min="13040" max="13040" width="11.5" style="17" customWidth="1"/>
    <col min="13041" max="13041" width="9" style="17" customWidth="1"/>
    <col min="13042" max="13042" width="13.375" style="17" customWidth="1"/>
    <col min="13043" max="13043" width="10.5" style="17" customWidth="1"/>
    <col min="13044" max="13044" width="12.5" style="17" customWidth="1"/>
    <col min="13045" max="13045" width="13.75" style="17" customWidth="1"/>
    <col min="13046" max="13046" width="8.875" style="17"/>
    <col min="13047" max="13047" width="12.375" style="17" customWidth="1"/>
    <col min="13048" max="13049" width="8.875" style="17"/>
    <col min="13050" max="13050" width="15.625" style="17" bestFit="1" customWidth="1"/>
    <col min="13051" max="13051" width="18.875" style="17" customWidth="1"/>
    <col min="13052" max="13294" width="8.875" style="17"/>
    <col min="13295" max="13295" width="9.625" style="17" customWidth="1"/>
    <col min="13296" max="13296" width="11.5" style="17" customWidth="1"/>
    <col min="13297" max="13297" width="9" style="17" customWidth="1"/>
    <col min="13298" max="13298" width="13.375" style="17" customWidth="1"/>
    <col min="13299" max="13299" width="10.5" style="17" customWidth="1"/>
    <col min="13300" max="13300" width="12.5" style="17" customWidth="1"/>
    <col min="13301" max="13301" width="13.75" style="17" customWidth="1"/>
    <col min="13302" max="13302" width="8.875" style="17"/>
    <col min="13303" max="13303" width="12.375" style="17" customWidth="1"/>
    <col min="13304" max="13305" width="8.875" style="17"/>
    <col min="13306" max="13306" width="15.625" style="17" bestFit="1" customWidth="1"/>
    <col min="13307" max="13307" width="18.875" style="17" customWidth="1"/>
    <col min="13308" max="13550" width="8.875" style="17"/>
    <col min="13551" max="13551" width="9.625" style="17" customWidth="1"/>
    <col min="13552" max="13552" width="11.5" style="17" customWidth="1"/>
    <col min="13553" max="13553" width="9" style="17" customWidth="1"/>
    <col min="13554" max="13554" width="13.375" style="17" customWidth="1"/>
    <col min="13555" max="13555" width="10.5" style="17" customWidth="1"/>
    <col min="13556" max="13556" width="12.5" style="17" customWidth="1"/>
    <col min="13557" max="13557" width="13.75" style="17" customWidth="1"/>
    <col min="13558" max="13558" width="8.875" style="17"/>
    <col min="13559" max="13559" width="12.375" style="17" customWidth="1"/>
    <col min="13560" max="13561" width="8.875" style="17"/>
    <col min="13562" max="13562" width="15.625" style="17" bestFit="1" customWidth="1"/>
    <col min="13563" max="13563" width="18.875" style="17" customWidth="1"/>
    <col min="13564" max="13806" width="8.875" style="17"/>
    <col min="13807" max="13807" width="9.625" style="17" customWidth="1"/>
    <col min="13808" max="13808" width="11.5" style="17" customWidth="1"/>
    <col min="13809" max="13809" width="9" style="17" customWidth="1"/>
    <col min="13810" max="13810" width="13.375" style="17" customWidth="1"/>
    <col min="13811" max="13811" width="10.5" style="17" customWidth="1"/>
    <col min="13812" max="13812" width="12.5" style="17" customWidth="1"/>
    <col min="13813" max="13813" width="13.75" style="17" customWidth="1"/>
    <col min="13814" max="13814" width="8.875" style="17"/>
    <col min="13815" max="13815" width="12.375" style="17" customWidth="1"/>
    <col min="13816" max="13817" width="8.875" style="17"/>
    <col min="13818" max="13818" width="15.625" style="17" bestFit="1" customWidth="1"/>
    <col min="13819" max="13819" width="18.875" style="17" customWidth="1"/>
    <col min="13820" max="14062" width="8.875" style="17"/>
    <col min="14063" max="14063" width="9.625" style="17" customWidth="1"/>
    <col min="14064" max="14064" width="11.5" style="17" customWidth="1"/>
    <col min="14065" max="14065" width="9" style="17" customWidth="1"/>
    <col min="14066" max="14066" width="13.375" style="17" customWidth="1"/>
    <col min="14067" max="14067" width="10.5" style="17" customWidth="1"/>
    <col min="14068" max="14068" width="12.5" style="17" customWidth="1"/>
    <col min="14069" max="14069" width="13.75" style="17" customWidth="1"/>
    <col min="14070" max="14070" width="8.875" style="17"/>
    <col min="14071" max="14071" width="12.375" style="17" customWidth="1"/>
    <col min="14072" max="14073" width="8.875" style="17"/>
    <col min="14074" max="14074" width="15.625" style="17" bestFit="1" customWidth="1"/>
    <col min="14075" max="14075" width="18.875" style="17" customWidth="1"/>
    <col min="14076" max="14318" width="8.875" style="17"/>
    <col min="14319" max="14319" width="9.625" style="17" customWidth="1"/>
    <col min="14320" max="14320" width="11.5" style="17" customWidth="1"/>
    <col min="14321" max="14321" width="9" style="17" customWidth="1"/>
    <col min="14322" max="14322" width="13.375" style="17" customWidth="1"/>
    <col min="14323" max="14323" width="10.5" style="17" customWidth="1"/>
    <col min="14324" max="14324" width="12.5" style="17" customWidth="1"/>
    <col min="14325" max="14325" width="13.75" style="17" customWidth="1"/>
    <col min="14326" max="14326" width="8.875" style="17"/>
    <col min="14327" max="14327" width="12.375" style="17" customWidth="1"/>
    <col min="14328" max="14329" width="8.875" style="17"/>
    <col min="14330" max="14330" width="15.625" style="17" bestFit="1" customWidth="1"/>
    <col min="14331" max="14331" width="18.875" style="17" customWidth="1"/>
    <col min="14332" max="14574" width="8.875" style="17"/>
    <col min="14575" max="14575" width="9.625" style="17" customWidth="1"/>
    <col min="14576" max="14576" width="11.5" style="17" customWidth="1"/>
    <col min="14577" max="14577" width="9" style="17" customWidth="1"/>
    <col min="14578" max="14578" width="13.375" style="17" customWidth="1"/>
    <col min="14579" max="14579" width="10.5" style="17" customWidth="1"/>
    <col min="14580" max="14580" width="12.5" style="17" customWidth="1"/>
    <col min="14581" max="14581" width="13.75" style="17" customWidth="1"/>
    <col min="14582" max="14582" width="8.875" style="17"/>
    <col min="14583" max="14583" width="12.375" style="17" customWidth="1"/>
    <col min="14584" max="14585" width="8.875" style="17"/>
    <col min="14586" max="14586" width="15.625" style="17" bestFit="1" customWidth="1"/>
    <col min="14587" max="14587" width="18.875" style="17" customWidth="1"/>
    <col min="14588" max="14830" width="8.875" style="17"/>
    <col min="14831" max="14831" width="9.625" style="17" customWidth="1"/>
    <col min="14832" max="14832" width="11.5" style="17" customWidth="1"/>
    <col min="14833" max="14833" width="9" style="17" customWidth="1"/>
    <col min="14834" max="14834" width="13.375" style="17" customWidth="1"/>
    <col min="14835" max="14835" width="10.5" style="17" customWidth="1"/>
    <col min="14836" max="14836" width="12.5" style="17" customWidth="1"/>
    <col min="14837" max="14837" width="13.75" style="17" customWidth="1"/>
    <col min="14838" max="14838" width="8.875" style="17"/>
    <col min="14839" max="14839" width="12.375" style="17" customWidth="1"/>
    <col min="14840" max="14841" width="8.875" style="17"/>
    <col min="14842" max="14842" width="15.625" style="17" bestFit="1" customWidth="1"/>
    <col min="14843" max="14843" width="18.875" style="17" customWidth="1"/>
    <col min="14844" max="15086" width="8.875" style="17"/>
    <col min="15087" max="15087" width="9.625" style="17" customWidth="1"/>
    <col min="15088" max="15088" width="11.5" style="17" customWidth="1"/>
    <col min="15089" max="15089" width="9" style="17" customWidth="1"/>
    <col min="15090" max="15090" width="13.375" style="17" customWidth="1"/>
    <col min="15091" max="15091" width="10.5" style="17" customWidth="1"/>
    <col min="15092" max="15092" width="12.5" style="17" customWidth="1"/>
    <col min="15093" max="15093" width="13.75" style="17" customWidth="1"/>
    <col min="15094" max="15094" width="8.875" style="17"/>
    <col min="15095" max="15095" width="12.375" style="17" customWidth="1"/>
    <col min="15096" max="15097" width="8.875" style="17"/>
    <col min="15098" max="15098" width="15.625" style="17" bestFit="1" customWidth="1"/>
    <col min="15099" max="15099" width="18.875" style="17" customWidth="1"/>
    <col min="15100" max="15342" width="8.875" style="17"/>
    <col min="15343" max="15343" width="9.625" style="17" customWidth="1"/>
    <col min="15344" max="15344" width="11.5" style="17" customWidth="1"/>
    <col min="15345" max="15345" width="9" style="17" customWidth="1"/>
    <col min="15346" max="15346" width="13.375" style="17" customWidth="1"/>
    <col min="15347" max="15347" width="10.5" style="17" customWidth="1"/>
    <col min="15348" max="15348" width="12.5" style="17" customWidth="1"/>
    <col min="15349" max="15349" width="13.75" style="17" customWidth="1"/>
    <col min="15350" max="15350" width="8.875" style="17"/>
    <col min="15351" max="15351" width="12.375" style="17" customWidth="1"/>
    <col min="15352" max="15353" width="8.875" style="17"/>
    <col min="15354" max="15354" width="15.625" style="17" bestFit="1" customWidth="1"/>
    <col min="15355" max="15355" width="18.875" style="17" customWidth="1"/>
    <col min="15356" max="15598" width="8.875" style="17"/>
    <col min="15599" max="15599" width="9.625" style="17" customWidth="1"/>
    <col min="15600" max="15600" width="11.5" style="17" customWidth="1"/>
    <col min="15601" max="15601" width="9" style="17" customWidth="1"/>
    <col min="15602" max="15602" width="13.375" style="17" customWidth="1"/>
    <col min="15603" max="15603" width="10.5" style="17" customWidth="1"/>
    <col min="15604" max="15604" width="12.5" style="17" customWidth="1"/>
    <col min="15605" max="15605" width="13.75" style="17" customWidth="1"/>
    <col min="15606" max="15606" width="8.875" style="17"/>
    <col min="15607" max="15607" width="12.375" style="17" customWidth="1"/>
    <col min="15608" max="15609" width="8.875" style="17"/>
    <col min="15610" max="15610" width="15.625" style="17" bestFit="1" customWidth="1"/>
    <col min="15611" max="15611" width="18.875" style="17" customWidth="1"/>
    <col min="15612" max="15854" width="8.875" style="17"/>
    <col min="15855" max="15855" width="9.625" style="17" customWidth="1"/>
    <col min="15856" max="15856" width="11.5" style="17" customWidth="1"/>
    <col min="15857" max="15857" width="9" style="17" customWidth="1"/>
    <col min="15858" max="15858" width="13.375" style="17" customWidth="1"/>
    <col min="15859" max="15859" width="10.5" style="17" customWidth="1"/>
    <col min="15860" max="15860" width="12.5" style="17" customWidth="1"/>
    <col min="15861" max="15861" width="13.75" style="17" customWidth="1"/>
    <col min="15862" max="15862" width="8.875" style="17"/>
    <col min="15863" max="15863" width="12.375" style="17" customWidth="1"/>
    <col min="15864" max="15865" width="8.875" style="17"/>
    <col min="15866" max="15866" width="15.625" style="17" bestFit="1" customWidth="1"/>
    <col min="15867" max="15867" width="18.875" style="17" customWidth="1"/>
    <col min="15868" max="16110" width="8.875" style="17"/>
    <col min="16111" max="16111" width="9.625" style="17" customWidth="1"/>
    <col min="16112" max="16112" width="11.5" style="17" customWidth="1"/>
    <col min="16113" max="16113" width="9" style="17" customWidth="1"/>
    <col min="16114" max="16114" width="13.375" style="17" customWidth="1"/>
    <col min="16115" max="16115" width="10.5" style="17" customWidth="1"/>
    <col min="16116" max="16116" width="12.5" style="17" customWidth="1"/>
    <col min="16117" max="16117" width="13.75" style="17" customWidth="1"/>
    <col min="16118" max="16118" width="8.875" style="17"/>
    <col min="16119" max="16119" width="12.375" style="17" customWidth="1"/>
    <col min="16120" max="16121" width="8.875" style="17"/>
    <col min="16122" max="16122" width="15.625" style="17" bestFit="1" customWidth="1"/>
    <col min="16123" max="16123" width="18.875" style="17" customWidth="1"/>
    <col min="16124" max="16384" width="8.875" style="17"/>
  </cols>
  <sheetData>
    <row r="1" spans="1:9" s="35" customFormat="1" x14ac:dyDescent="0.15">
      <c r="A1" s="35" t="s">
        <v>1</v>
      </c>
      <c r="B1" s="35" t="s">
        <v>70</v>
      </c>
      <c r="C1" s="45"/>
      <c r="F1" s="39"/>
    </row>
    <row r="2" spans="1:9" s="35" customFormat="1" x14ac:dyDescent="0.15">
      <c r="A2" s="35" t="s">
        <v>39</v>
      </c>
      <c r="C2" s="45"/>
      <c r="D2" s="35" t="s">
        <v>40</v>
      </c>
      <c r="E2" s="35" t="s">
        <v>47</v>
      </c>
      <c r="F2" s="39" t="s">
        <v>78</v>
      </c>
      <c r="G2" s="35" t="s">
        <v>71</v>
      </c>
      <c r="H2" s="35" t="s">
        <v>74</v>
      </c>
      <c r="I2" s="35" t="s">
        <v>67</v>
      </c>
    </row>
    <row r="3" spans="1:9" s="35" customFormat="1" x14ac:dyDescent="0.15">
      <c r="A3" s="35" t="s">
        <v>42</v>
      </c>
      <c r="C3" s="45"/>
      <c r="D3" s="35" t="s">
        <v>43</v>
      </c>
      <c r="E3" s="35" t="s">
        <v>52</v>
      </c>
      <c r="F3" s="39" t="s">
        <v>72</v>
      </c>
      <c r="G3" s="35" t="s">
        <v>73</v>
      </c>
      <c r="H3" s="35" t="s">
        <v>75</v>
      </c>
      <c r="I3" s="35" t="s">
        <v>79</v>
      </c>
    </row>
    <row r="4" spans="1:9" s="35" customFormat="1" ht="33" x14ac:dyDescent="0.15">
      <c r="C4" s="45"/>
      <c r="E4" s="40" t="s">
        <v>81</v>
      </c>
      <c r="F4" s="41" t="s">
        <v>80</v>
      </c>
      <c r="G4" s="40" t="s">
        <v>82</v>
      </c>
      <c r="H4" s="40" t="s">
        <v>76</v>
      </c>
      <c r="I4" s="40" t="s">
        <v>83</v>
      </c>
    </row>
    <row r="6" spans="1:9" x14ac:dyDescent="0.15">
      <c r="A6" s="35" t="s">
        <v>2</v>
      </c>
      <c r="C6" s="20" t="s">
        <v>241</v>
      </c>
      <c r="D6" s="17">
        <v>101</v>
      </c>
      <c r="E6" s="17">
        <v>2</v>
      </c>
      <c r="F6" s="42" t="s">
        <v>242</v>
      </c>
      <c r="G6" s="17">
        <v>7200</v>
      </c>
      <c r="H6" s="17" t="b">
        <v>1</v>
      </c>
      <c r="I6" s="17">
        <v>-1</v>
      </c>
    </row>
    <row r="7" spans="1:9" x14ac:dyDescent="0.15">
      <c r="A7" s="35" t="s">
        <v>2</v>
      </c>
      <c r="C7" s="20" t="s">
        <v>247</v>
      </c>
      <c r="D7" s="17">
        <v>102</v>
      </c>
      <c r="E7" s="17">
        <v>1</v>
      </c>
      <c r="F7" s="42" t="s">
        <v>249</v>
      </c>
      <c r="H7" s="17" t="b">
        <v>1</v>
      </c>
      <c r="I7" s="17">
        <v>-1</v>
      </c>
    </row>
    <row r="8" spans="1:9" x14ac:dyDescent="0.15">
      <c r="A8" s="35" t="s">
        <v>2</v>
      </c>
      <c r="C8" s="20" t="s">
        <v>248</v>
      </c>
      <c r="D8" s="17">
        <v>103</v>
      </c>
      <c r="E8" s="17">
        <v>1</v>
      </c>
      <c r="F8" s="42" t="s">
        <v>249</v>
      </c>
      <c r="H8" s="17" t="b">
        <v>1</v>
      </c>
      <c r="I8" s="17">
        <v>-1</v>
      </c>
    </row>
    <row r="9" spans="1:9" x14ac:dyDescent="0.15">
      <c r="A9" s="35" t="s">
        <v>2</v>
      </c>
      <c r="C9" s="20" t="s">
        <v>262</v>
      </c>
      <c r="D9" s="17">
        <v>104</v>
      </c>
      <c r="E9" s="17">
        <v>1</v>
      </c>
      <c r="F9" s="42" t="s">
        <v>251</v>
      </c>
      <c r="H9" s="17" t="b">
        <v>1</v>
      </c>
      <c r="I9" s="17">
        <v>1</v>
      </c>
    </row>
    <row r="10" spans="1:9" x14ac:dyDescent="0.15">
      <c r="A10" s="35" t="s">
        <v>2</v>
      </c>
      <c r="C10" s="20" t="s">
        <v>159</v>
      </c>
      <c r="D10" s="17">
        <v>105</v>
      </c>
      <c r="E10" s="17">
        <v>1</v>
      </c>
      <c r="F10" s="42" t="s">
        <v>251</v>
      </c>
      <c r="G10" s="17">
        <v>0</v>
      </c>
      <c r="H10" s="17" t="b">
        <v>1</v>
      </c>
      <c r="I10" s="17">
        <v>1</v>
      </c>
    </row>
    <row r="11" spans="1:9" x14ac:dyDescent="0.15">
      <c r="A11" s="35" t="s">
        <v>2</v>
      </c>
      <c r="C11" s="20" t="s">
        <v>583</v>
      </c>
      <c r="D11" s="17">
        <v>106</v>
      </c>
      <c r="E11" s="17">
        <v>1</v>
      </c>
      <c r="F11" s="42" t="s">
        <v>584</v>
      </c>
      <c r="G11" s="17">
        <v>0</v>
      </c>
      <c r="H11" s="17" t="b">
        <v>1</v>
      </c>
      <c r="I11" s="17">
        <v>2</v>
      </c>
    </row>
    <row r="12" spans="1:9" x14ac:dyDescent="0.15">
      <c r="A12" s="35" t="s">
        <v>2</v>
      </c>
      <c r="C12" s="20" t="s">
        <v>603</v>
      </c>
      <c r="D12" s="17">
        <v>107</v>
      </c>
      <c r="E12" s="17">
        <v>1</v>
      </c>
      <c r="F12" s="42" t="s">
        <v>251</v>
      </c>
      <c r="G12" s="17">
        <v>0</v>
      </c>
      <c r="H12" s="17" t="b">
        <v>1</v>
      </c>
      <c r="I12" s="17">
        <v>4</v>
      </c>
    </row>
    <row r="13" spans="1:9" x14ac:dyDescent="0.15">
      <c r="A13" s="35" t="s">
        <v>2</v>
      </c>
      <c r="C13" s="20" t="s">
        <v>699</v>
      </c>
      <c r="D13" s="17">
        <v>108</v>
      </c>
      <c r="E13" s="17">
        <v>1</v>
      </c>
      <c r="F13" s="42" t="s">
        <v>251</v>
      </c>
      <c r="G13" s="17">
        <v>0</v>
      </c>
      <c r="H13" s="17" t="b">
        <v>1</v>
      </c>
      <c r="I13" s="17">
        <v>4</v>
      </c>
    </row>
    <row r="15" spans="1:9" x14ac:dyDescent="0.15">
      <c r="A15" s="35" t="s">
        <v>2</v>
      </c>
      <c r="C15" s="20" t="s">
        <v>633</v>
      </c>
      <c r="D15" s="17">
        <v>109</v>
      </c>
      <c r="E15" s="17">
        <v>1</v>
      </c>
      <c r="F15" s="42" t="s">
        <v>251</v>
      </c>
      <c r="G15" s="17">
        <v>0</v>
      </c>
      <c r="H15" s="17" t="b">
        <v>1</v>
      </c>
      <c r="I15" s="17">
        <v>5</v>
      </c>
    </row>
    <row r="16" spans="1:9" x14ac:dyDescent="0.15">
      <c r="A16" s="35" t="s">
        <v>2</v>
      </c>
      <c r="C16" s="20" t="s">
        <v>634</v>
      </c>
      <c r="D16" s="17">
        <v>110</v>
      </c>
      <c r="E16" s="17">
        <v>1</v>
      </c>
      <c r="F16" s="42" t="s">
        <v>251</v>
      </c>
      <c r="G16" s="17">
        <v>0</v>
      </c>
      <c r="H16" s="17" t="b">
        <v>1</v>
      </c>
      <c r="I16" s="17">
        <v>1</v>
      </c>
    </row>
    <row r="18" spans="1:9" x14ac:dyDescent="0.15">
      <c r="A18" s="35" t="s">
        <v>2</v>
      </c>
      <c r="C18" s="44" t="s">
        <v>343</v>
      </c>
      <c r="D18" s="17">
        <v>201</v>
      </c>
      <c r="E18" s="17">
        <v>1</v>
      </c>
      <c r="F18" s="42" t="s">
        <v>734</v>
      </c>
      <c r="G18" s="17">
        <v>9999</v>
      </c>
      <c r="H18" s="17" t="b">
        <v>1</v>
      </c>
      <c r="I18" s="17">
        <v>1</v>
      </c>
    </row>
    <row r="19" spans="1:9" x14ac:dyDescent="0.15">
      <c r="A19" s="35" t="s">
        <v>2</v>
      </c>
      <c r="C19" s="44" t="s">
        <v>344</v>
      </c>
      <c r="D19" s="17">
        <v>202</v>
      </c>
      <c r="E19" s="17">
        <v>1</v>
      </c>
      <c r="F19" s="42" t="s">
        <v>734</v>
      </c>
      <c r="G19" s="17">
        <v>9999</v>
      </c>
      <c r="H19" s="17" t="b">
        <v>1</v>
      </c>
      <c r="I19" s="17">
        <v>1</v>
      </c>
    </row>
    <row r="20" spans="1:9" x14ac:dyDescent="0.15">
      <c r="A20" s="35" t="s">
        <v>2</v>
      </c>
      <c r="C20" s="44" t="s">
        <v>345</v>
      </c>
      <c r="D20" s="17">
        <v>203</v>
      </c>
      <c r="E20" s="17">
        <v>1</v>
      </c>
      <c r="F20" s="42" t="s">
        <v>734</v>
      </c>
      <c r="G20" s="17">
        <v>9999</v>
      </c>
      <c r="H20" s="17" t="b">
        <v>1</v>
      </c>
      <c r="I20" s="17">
        <v>1</v>
      </c>
    </row>
    <row r="21" spans="1:9" x14ac:dyDescent="0.15">
      <c r="A21" s="35" t="s">
        <v>2</v>
      </c>
      <c r="C21" s="44" t="s">
        <v>346</v>
      </c>
      <c r="D21" s="17">
        <v>204</v>
      </c>
      <c r="E21" s="17">
        <v>1</v>
      </c>
      <c r="F21" s="42" t="s">
        <v>734</v>
      </c>
      <c r="G21" s="17">
        <v>9999</v>
      </c>
      <c r="H21" s="17" t="b">
        <v>1</v>
      </c>
      <c r="I21" s="17">
        <v>1</v>
      </c>
    </row>
    <row r="22" spans="1:9" x14ac:dyDescent="0.15">
      <c r="A22" s="35" t="s">
        <v>2</v>
      </c>
      <c r="C22" s="44" t="s">
        <v>347</v>
      </c>
      <c r="D22" s="17">
        <v>205</v>
      </c>
      <c r="E22" s="17">
        <v>1</v>
      </c>
      <c r="F22" s="42" t="s">
        <v>734</v>
      </c>
      <c r="G22" s="17">
        <v>9999</v>
      </c>
      <c r="H22" s="17" t="b">
        <v>1</v>
      </c>
      <c r="I22" s="17">
        <v>1</v>
      </c>
    </row>
    <row r="24" spans="1:9" x14ac:dyDescent="0.15">
      <c r="A24" s="35" t="s">
        <v>2</v>
      </c>
      <c r="C24" s="44" t="s">
        <v>366</v>
      </c>
      <c r="D24" s="17">
        <v>206</v>
      </c>
      <c r="E24" s="17">
        <v>1</v>
      </c>
      <c r="F24" s="42" t="s">
        <v>734</v>
      </c>
      <c r="G24" s="17">
        <v>9999</v>
      </c>
      <c r="H24" s="17" t="b">
        <v>1</v>
      </c>
      <c r="I24" s="17">
        <v>1</v>
      </c>
    </row>
    <row r="25" spans="1:9" x14ac:dyDescent="0.15">
      <c r="A25" s="35" t="s">
        <v>2</v>
      </c>
      <c r="C25" s="44" t="s">
        <v>375</v>
      </c>
      <c r="D25" s="17">
        <v>207</v>
      </c>
      <c r="E25" s="17">
        <v>1</v>
      </c>
      <c r="F25" s="42" t="s">
        <v>734</v>
      </c>
      <c r="G25" s="17">
        <v>9999</v>
      </c>
      <c r="H25" s="17" t="b">
        <v>1</v>
      </c>
      <c r="I25" s="17">
        <v>1</v>
      </c>
    </row>
    <row r="26" spans="1:9" x14ac:dyDescent="0.15">
      <c r="A26" s="35" t="s">
        <v>2</v>
      </c>
      <c r="C26" s="44" t="s">
        <v>377</v>
      </c>
      <c r="D26" s="17">
        <v>208</v>
      </c>
      <c r="E26" s="17">
        <v>1</v>
      </c>
      <c r="F26" s="42" t="s">
        <v>734</v>
      </c>
      <c r="G26" s="17">
        <v>9999</v>
      </c>
      <c r="H26" s="17" t="b">
        <v>1</v>
      </c>
      <c r="I26" s="17">
        <v>1</v>
      </c>
    </row>
    <row r="27" spans="1:9" x14ac:dyDescent="0.15">
      <c r="A27" s="35" t="s">
        <v>2</v>
      </c>
      <c r="C27" s="44" t="s">
        <v>379</v>
      </c>
      <c r="D27" s="17">
        <v>209</v>
      </c>
      <c r="E27" s="17">
        <v>1</v>
      </c>
      <c r="F27" s="42" t="s">
        <v>734</v>
      </c>
      <c r="G27" s="17">
        <v>9999</v>
      </c>
      <c r="H27" s="17" t="b">
        <v>1</v>
      </c>
      <c r="I27" s="17">
        <v>1</v>
      </c>
    </row>
    <row r="28" spans="1:9" x14ac:dyDescent="0.15">
      <c r="A28" s="35" t="s">
        <v>2</v>
      </c>
      <c r="C28" s="44" t="s">
        <v>381</v>
      </c>
      <c r="D28" s="17">
        <v>210</v>
      </c>
      <c r="E28" s="17">
        <v>1</v>
      </c>
      <c r="F28" s="42" t="s">
        <v>734</v>
      </c>
      <c r="G28" s="17">
        <v>9999</v>
      </c>
      <c r="H28" s="17" t="b">
        <v>1</v>
      </c>
      <c r="I28" s="17">
        <v>1</v>
      </c>
    </row>
    <row r="29" spans="1:9" x14ac:dyDescent="0.15">
      <c r="A29" s="35" t="s">
        <v>2</v>
      </c>
      <c r="C29" s="44" t="s">
        <v>382</v>
      </c>
      <c r="D29" s="17">
        <v>211</v>
      </c>
      <c r="E29" s="17">
        <v>1</v>
      </c>
      <c r="F29" s="42" t="s">
        <v>733</v>
      </c>
      <c r="G29" s="17">
        <v>9999</v>
      </c>
      <c r="H29" s="17" t="b">
        <v>1</v>
      </c>
      <c r="I29" s="17">
        <v>1</v>
      </c>
    </row>
    <row r="31" spans="1:9" x14ac:dyDescent="0.15">
      <c r="A31" s="35" t="s">
        <v>2</v>
      </c>
      <c r="C31" s="44" t="s">
        <v>342</v>
      </c>
      <c r="D31" s="17">
        <v>301</v>
      </c>
      <c r="E31" s="17">
        <v>1</v>
      </c>
      <c r="F31" s="42" t="s">
        <v>734</v>
      </c>
      <c r="G31" s="17">
        <v>9999</v>
      </c>
      <c r="H31" s="17" t="b">
        <v>1</v>
      </c>
      <c r="I31" s="17">
        <v>1</v>
      </c>
    </row>
    <row r="32" spans="1:9" x14ac:dyDescent="0.15">
      <c r="A32" s="35" t="s">
        <v>2</v>
      </c>
      <c r="C32" s="44" t="s">
        <v>342</v>
      </c>
      <c r="D32" s="17">
        <v>302</v>
      </c>
      <c r="E32" s="17">
        <v>1</v>
      </c>
      <c r="F32" s="42" t="s">
        <v>734</v>
      </c>
      <c r="G32" s="17">
        <v>9999</v>
      </c>
      <c r="H32" s="17" t="b">
        <v>1</v>
      </c>
      <c r="I32" s="17">
        <v>1</v>
      </c>
    </row>
    <row r="33" spans="1:9" x14ac:dyDescent="0.15">
      <c r="A33" s="35" t="s">
        <v>2</v>
      </c>
      <c r="C33" s="44" t="s">
        <v>343</v>
      </c>
      <c r="D33" s="17">
        <v>303</v>
      </c>
      <c r="E33" s="17">
        <v>1</v>
      </c>
      <c r="F33" s="42" t="s">
        <v>734</v>
      </c>
      <c r="G33" s="17">
        <v>9999</v>
      </c>
      <c r="H33" s="17" t="b">
        <v>1</v>
      </c>
      <c r="I33" s="17">
        <v>1</v>
      </c>
    </row>
    <row r="34" spans="1:9" x14ac:dyDescent="0.15">
      <c r="A34" s="35" t="s">
        <v>2</v>
      </c>
      <c r="C34" s="44" t="s">
        <v>374</v>
      </c>
      <c r="D34" s="17">
        <v>304</v>
      </c>
      <c r="E34" s="17">
        <v>1</v>
      </c>
      <c r="F34" s="42" t="s">
        <v>734</v>
      </c>
      <c r="G34" s="17">
        <v>9999</v>
      </c>
      <c r="H34" s="17" t="b">
        <v>1</v>
      </c>
      <c r="I34" s="17">
        <v>1</v>
      </c>
    </row>
    <row r="35" spans="1:9" x14ac:dyDescent="0.15">
      <c r="A35" s="35" t="s">
        <v>2</v>
      </c>
      <c r="C35" s="44" t="s">
        <v>344</v>
      </c>
      <c r="D35" s="17">
        <v>305</v>
      </c>
      <c r="E35" s="17">
        <v>1</v>
      </c>
      <c r="F35" s="42" t="s">
        <v>734</v>
      </c>
      <c r="G35" s="17">
        <v>9999</v>
      </c>
      <c r="H35" s="17" t="b">
        <v>1</v>
      </c>
      <c r="I35" s="17">
        <v>1</v>
      </c>
    </row>
    <row r="36" spans="1:9" x14ac:dyDescent="0.15">
      <c r="A36" s="35" t="s">
        <v>2</v>
      </c>
      <c r="C36" s="44" t="s">
        <v>376</v>
      </c>
      <c r="D36" s="17">
        <v>306</v>
      </c>
      <c r="E36" s="17">
        <v>1</v>
      </c>
      <c r="F36" s="42" t="s">
        <v>733</v>
      </c>
      <c r="G36" s="17">
        <v>9999</v>
      </c>
      <c r="H36" s="17" t="b">
        <v>1</v>
      </c>
      <c r="I36" s="17">
        <v>1</v>
      </c>
    </row>
    <row r="37" spans="1:9" x14ac:dyDescent="0.15">
      <c r="A37" s="35" t="s">
        <v>2</v>
      </c>
      <c r="C37" s="44" t="s">
        <v>345</v>
      </c>
      <c r="D37" s="17">
        <v>307</v>
      </c>
      <c r="E37" s="17">
        <v>1</v>
      </c>
      <c r="F37" s="42" t="s">
        <v>733</v>
      </c>
      <c r="G37" s="17">
        <v>9999</v>
      </c>
      <c r="H37" s="17" t="b">
        <v>1</v>
      </c>
      <c r="I37" s="17">
        <v>1</v>
      </c>
    </row>
    <row r="38" spans="1:9" x14ac:dyDescent="0.15">
      <c r="A38" s="35" t="s">
        <v>2</v>
      </c>
      <c r="C38" s="44" t="s">
        <v>378</v>
      </c>
      <c r="D38" s="17">
        <v>308</v>
      </c>
      <c r="E38" s="17">
        <v>1</v>
      </c>
      <c r="F38" s="42" t="s">
        <v>733</v>
      </c>
      <c r="G38" s="17">
        <v>9999</v>
      </c>
      <c r="H38" s="17" t="b">
        <v>1</v>
      </c>
      <c r="I38" s="17">
        <v>1</v>
      </c>
    </row>
    <row r="39" spans="1:9" x14ac:dyDescent="0.15">
      <c r="A39" s="35" t="s">
        <v>2</v>
      </c>
      <c r="C39" s="44" t="s">
        <v>346</v>
      </c>
      <c r="D39" s="17">
        <v>309</v>
      </c>
      <c r="E39" s="17">
        <v>1</v>
      </c>
      <c r="F39" s="42" t="s">
        <v>733</v>
      </c>
      <c r="G39" s="17">
        <v>9999</v>
      </c>
      <c r="H39" s="17" t="b">
        <v>1</v>
      </c>
      <c r="I39" s="17">
        <v>1</v>
      </c>
    </row>
    <row r="40" spans="1:9" x14ac:dyDescent="0.15">
      <c r="A40" s="35" t="s">
        <v>2</v>
      </c>
      <c r="C40" s="44" t="s">
        <v>380</v>
      </c>
      <c r="D40" s="17">
        <v>310</v>
      </c>
      <c r="E40" s="17">
        <v>1</v>
      </c>
      <c r="F40" s="42" t="s">
        <v>733</v>
      </c>
      <c r="G40" s="17">
        <v>9999</v>
      </c>
      <c r="H40" s="17" t="b">
        <v>1</v>
      </c>
      <c r="I40" s="17">
        <v>1</v>
      </c>
    </row>
    <row r="41" spans="1:9" x14ac:dyDescent="0.15">
      <c r="A41" s="35" t="s">
        <v>2</v>
      </c>
      <c r="C41" s="44" t="s">
        <v>347</v>
      </c>
      <c r="D41" s="17">
        <v>311</v>
      </c>
      <c r="E41" s="17">
        <v>1</v>
      </c>
      <c r="F41" s="42" t="s">
        <v>733</v>
      </c>
      <c r="G41" s="17">
        <v>9999</v>
      </c>
      <c r="H41" s="17" t="b">
        <v>1</v>
      </c>
      <c r="I41" s="17">
        <v>1</v>
      </c>
    </row>
    <row r="42" spans="1:9" x14ac:dyDescent="0.15">
      <c r="A42" s="35" t="s">
        <v>2</v>
      </c>
      <c r="C42" s="44" t="s">
        <v>347</v>
      </c>
      <c r="D42" s="17">
        <v>312</v>
      </c>
      <c r="E42" s="17">
        <v>1</v>
      </c>
      <c r="F42" s="42" t="s">
        <v>733</v>
      </c>
      <c r="G42" s="17">
        <v>9999</v>
      </c>
      <c r="H42" s="17" t="b">
        <v>1</v>
      </c>
      <c r="I42" s="17">
        <v>1</v>
      </c>
    </row>
    <row r="44" spans="1:9" x14ac:dyDescent="0.15">
      <c r="A44" s="35" t="s">
        <v>2</v>
      </c>
      <c r="C44" s="20" t="s">
        <v>159</v>
      </c>
      <c r="D44" s="17">
        <v>300</v>
      </c>
      <c r="E44" s="17">
        <v>1</v>
      </c>
      <c r="F44" s="42">
        <v>1</v>
      </c>
      <c r="G44" s="17">
        <v>0</v>
      </c>
      <c r="H44" s="17" t="b">
        <v>1</v>
      </c>
      <c r="I44" s="17">
        <v>1</v>
      </c>
    </row>
    <row r="46" spans="1:9" x14ac:dyDescent="0.15">
      <c r="A46" s="35" t="s">
        <v>2</v>
      </c>
      <c r="C46" s="44" t="s">
        <v>405</v>
      </c>
      <c r="D46" s="17">
        <v>401</v>
      </c>
      <c r="E46" s="17">
        <v>1</v>
      </c>
      <c r="F46" s="42" t="s">
        <v>734</v>
      </c>
      <c r="G46" s="17">
        <v>9999</v>
      </c>
      <c r="H46" s="17" t="b">
        <v>1</v>
      </c>
      <c r="I46" s="17">
        <v>1</v>
      </c>
    </row>
    <row r="47" spans="1:9" x14ac:dyDescent="0.15">
      <c r="A47" s="35" t="s">
        <v>2</v>
      </c>
      <c r="C47" s="44" t="s">
        <v>406</v>
      </c>
      <c r="D47" s="17">
        <v>402</v>
      </c>
      <c r="E47" s="17">
        <v>1</v>
      </c>
      <c r="F47" s="42" t="s">
        <v>734</v>
      </c>
      <c r="G47" s="17">
        <v>9999</v>
      </c>
      <c r="H47" s="17" t="b">
        <v>1</v>
      </c>
      <c r="I47" s="17">
        <v>1</v>
      </c>
    </row>
    <row r="48" spans="1:9" x14ac:dyDescent="0.15">
      <c r="A48" s="35" t="s">
        <v>2</v>
      </c>
      <c r="C48" s="44" t="s">
        <v>407</v>
      </c>
      <c r="D48" s="17">
        <v>403</v>
      </c>
      <c r="E48" s="17">
        <v>1</v>
      </c>
      <c r="F48" s="42" t="s">
        <v>734</v>
      </c>
      <c r="G48" s="17">
        <v>9999</v>
      </c>
      <c r="H48" s="17" t="b">
        <v>1</v>
      </c>
      <c r="I48" s="17">
        <v>1</v>
      </c>
    </row>
    <row r="49" spans="1:9" x14ac:dyDescent="0.15">
      <c r="A49" s="35" t="s">
        <v>2</v>
      </c>
      <c r="C49" s="44" t="s">
        <v>408</v>
      </c>
      <c r="D49" s="17">
        <v>404</v>
      </c>
      <c r="E49" s="17">
        <v>1</v>
      </c>
      <c r="F49" s="42" t="s">
        <v>734</v>
      </c>
      <c r="G49" s="17">
        <v>9999</v>
      </c>
      <c r="H49" s="17" t="b">
        <v>1</v>
      </c>
      <c r="I49" s="17">
        <v>1</v>
      </c>
    </row>
    <row r="50" spans="1:9" x14ac:dyDescent="0.15">
      <c r="A50" s="35" t="s">
        <v>2</v>
      </c>
      <c r="C50" s="44" t="s">
        <v>409</v>
      </c>
      <c r="D50" s="17">
        <v>405</v>
      </c>
      <c r="E50" s="17">
        <v>1</v>
      </c>
      <c r="F50" s="42" t="s">
        <v>734</v>
      </c>
      <c r="G50" s="17">
        <v>9999</v>
      </c>
      <c r="H50" s="17" t="b">
        <v>1</v>
      </c>
      <c r="I50" s="17">
        <v>1</v>
      </c>
    </row>
    <row r="51" spans="1:9" x14ac:dyDescent="0.15">
      <c r="A51" s="35" t="s">
        <v>2</v>
      </c>
      <c r="C51" s="44" t="s">
        <v>410</v>
      </c>
      <c r="D51" s="17">
        <v>406</v>
      </c>
      <c r="E51" s="17">
        <v>1</v>
      </c>
      <c r="F51" s="42" t="s">
        <v>733</v>
      </c>
      <c r="G51" s="17">
        <v>9999</v>
      </c>
      <c r="H51" s="17" t="b">
        <v>1</v>
      </c>
      <c r="I51" s="17">
        <v>1</v>
      </c>
    </row>
    <row r="52" spans="1:9" x14ac:dyDescent="0.15">
      <c r="A52" s="35" t="s">
        <v>2</v>
      </c>
      <c r="C52" s="44" t="s">
        <v>414</v>
      </c>
      <c r="D52" s="17">
        <v>407</v>
      </c>
      <c r="E52" s="17">
        <v>1</v>
      </c>
      <c r="F52" s="42" t="s">
        <v>733</v>
      </c>
      <c r="G52" s="17">
        <v>9999</v>
      </c>
      <c r="H52" s="17" t="b">
        <v>1</v>
      </c>
      <c r="I52" s="17">
        <v>1</v>
      </c>
    </row>
    <row r="53" spans="1:9" x14ac:dyDescent="0.15">
      <c r="A53" s="35" t="s">
        <v>2</v>
      </c>
      <c r="C53" s="44" t="s">
        <v>411</v>
      </c>
      <c r="D53" s="17">
        <v>408</v>
      </c>
      <c r="E53" s="17">
        <v>1</v>
      </c>
      <c r="F53" s="42" t="s">
        <v>733</v>
      </c>
      <c r="G53" s="17">
        <v>9999</v>
      </c>
      <c r="H53" s="17" t="b">
        <v>1</v>
      </c>
      <c r="I53" s="17">
        <v>1</v>
      </c>
    </row>
    <row r="54" spans="1:9" x14ac:dyDescent="0.15">
      <c r="A54" s="35" t="s">
        <v>2</v>
      </c>
      <c r="C54" s="44" t="s">
        <v>412</v>
      </c>
      <c r="D54" s="17">
        <v>409</v>
      </c>
      <c r="E54" s="17">
        <v>1</v>
      </c>
      <c r="F54" s="42" t="s">
        <v>733</v>
      </c>
      <c r="G54" s="17">
        <v>9999</v>
      </c>
      <c r="H54" s="17" t="b">
        <v>1</v>
      </c>
      <c r="I54" s="17">
        <v>1</v>
      </c>
    </row>
    <row r="55" spans="1:9" x14ac:dyDescent="0.15">
      <c r="A55" s="35" t="s">
        <v>2</v>
      </c>
      <c r="C55" s="44" t="s">
        <v>413</v>
      </c>
      <c r="D55" s="17">
        <v>410</v>
      </c>
      <c r="E55" s="17">
        <v>1</v>
      </c>
      <c r="F55" s="42" t="s">
        <v>733</v>
      </c>
      <c r="G55" s="17">
        <v>9999</v>
      </c>
      <c r="H55" s="17" t="b">
        <v>1</v>
      </c>
      <c r="I55" s="17">
        <v>1</v>
      </c>
    </row>
    <row r="57" spans="1:9" x14ac:dyDescent="0.15">
      <c r="A57" s="35" t="s">
        <v>2</v>
      </c>
      <c r="C57" s="44" t="s">
        <v>559</v>
      </c>
      <c r="D57" s="17">
        <v>501</v>
      </c>
      <c r="E57" s="17">
        <v>1</v>
      </c>
      <c r="F57" s="42" t="s">
        <v>733</v>
      </c>
      <c r="G57" s="17">
        <v>9999</v>
      </c>
      <c r="H57" s="17" t="b">
        <v>1</v>
      </c>
      <c r="I57" s="17">
        <v>1</v>
      </c>
    </row>
    <row r="58" spans="1:9" x14ac:dyDescent="0.15">
      <c r="A58" s="35" t="s">
        <v>2</v>
      </c>
      <c r="C58" s="44" t="s">
        <v>562</v>
      </c>
      <c r="D58" s="17">
        <v>502</v>
      </c>
      <c r="E58" s="17">
        <v>1</v>
      </c>
      <c r="F58" s="42" t="s">
        <v>733</v>
      </c>
      <c r="G58" s="17">
        <v>9999</v>
      </c>
      <c r="H58" s="17" t="b">
        <v>1</v>
      </c>
      <c r="I58" s="17">
        <v>1</v>
      </c>
    </row>
    <row r="64" spans="1:9" x14ac:dyDescent="0.15">
      <c r="A64" s="35" t="s">
        <v>45</v>
      </c>
    </row>
    <row r="65" spans="1:1" x14ac:dyDescent="0.15">
      <c r="A65" s="35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6"/>
  <sheetViews>
    <sheetView workbookViewId="0">
      <selection activeCell="H7" sqref="H7"/>
    </sheetView>
  </sheetViews>
  <sheetFormatPr defaultRowHeight="16.5" x14ac:dyDescent="0.15"/>
  <cols>
    <col min="1" max="1" width="9.625" style="9" customWidth="1"/>
    <col min="2" max="2" width="11.625" style="10" bestFit="1" customWidth="1"/>
    <col min="3" max="3" width="20.75" style="10" customWidth="1"/>
    <col min="4" max="4" width="6.5" style="10" bestFit="1" customWidth="1"/>
    <col min="5" max="5" width="6.5" style="10" customWidth="1"/>
    <col min="6" max="6" width="9.125" style="24" bestFit="1" customWidth="1"/>
    <col min="7" max="7" width="9.125" style="10" customWidth="1"/>
    <col min="8" max="8" width="42.75" style="10" bestFit="1" customWidth="1"/>
    <col min="9" max="237" width="8.875" style="10"/>
    <col min="238" max="238" width="9.625" style="10" customWidth="1"/>
    <col min="239" max="239" width="11.5" style="10" customWidth="1"/>
    <col min="240" max="240" width="9" style="10" customWidth="1"/>
    <col min="241" max="241" width="13.375" style="10" customWidth="1"/>
    <col min="242" max="242" width="10.5" style="10" customWidth="1"/>
    <col min="243" max="243" width="12.5" style="10" customWidth="1"/>
    <col min="244" max="244" width="13.75" style="10" customWidth="1"/>
    <col min="245" max="245" width="8.875" style="10"/>
    <col min="246" max="246" width="12.375" style="10" customWidth="1"/>
    <col min="247" max="248" width="8.875" style="10"/>
    <col min="249" max="249" width="15.625" style="10" bestFit="1" customWidth="1"/>
    <col min="250" max="250" width="18.875" style="10" customWidth="1"/>
    <col min="251" max="493" width="8.875" style="10"/>
    <col min="494" max="494" width="9.625" style="10" customWidth="1"/>
    <col min="495" max="495" width="11.5" style="10" customWidth="1"/>
    <col min="496" max="496" width="9" style="10" customWidth="1"/>
    <col min="497" max="497" width="13.375" style="10" customWidth="1"/>
    <col min="498" max="498" width="10.5" style="10" customWidth="1"/>
    <col min="499" max="499" width="12.5" style="10" customWidth="1"/>
    <col min="500" max="500" width="13.75" style="10" customWidth="1"/>
    <col min="501" max="501" width="8.875" style="10"/>
    <col min="502" max="502" width="12.375" style="10" customWidth="1"/>
    <col min="503" max="504" width="8.875" style="10"/>
    <col min="505" max="505" width="15.625" style="10" bestFit="1" customWidth="1"/>
    <col min="506" max="506" width="18.875" style="10" customWidth="1"/>
    <col min="507" max="749" width="8.875" style="10"/>
    <col min="750" max="750" width="9.625" style="10" customWidth="1"/>
    <col min="751" max="751" width="11.5" style="10" customWidth="1"/>
    <col min="752" max="752" width="9" style="10" customWidth="1"/>
    <col min="753" max="753" width="13.375" style="10" customWidth="1"/>
    <col min="754" max="754" width="10.5" style="10" customWidth="1"/>
    <col min="755" max="755" width="12.5" style="10" customWidth="1"/>
    <col min="756" max="756" width="13.75" style="10" customWidth="1"/>
    <col min="757" max="757" width="8.875" style="10"/>
    <col min="758" max="758" width="12.375" style="10" customWidth="1"/>
    <col min="759" max="760" width="8.875" style="10"/>
    <col min="761" max="761" width="15.625" style="10" bestFit="1" customWidth="1"/>
    <col min="762" max="762" width="18.875" style="10" customWidth="1"/>
    <col min="763" max="1005" width="8.875" style="10"/>
    <col min="1006" max="1006" width="9.625" style="10" customWidth="1"/>
    <col min="1007" max="1007" width="11.5" style="10" customWidth="1"/>
    <col min="1008" max="1008" width="9" style="10" customWidth="1"/>
    <col min="1009" max="1009" width="13.375" style="10" customWidth="1"/>
    <col min="1010" max="1010" width="10.5" style="10" customWidth="1"/>
    <col min="1011" max="1011" width="12.5" style="10" customWidth="1"/>
    <col min="1012" max="1012" width="13.75" style="10" customWidth="1"/>
    <col min="1013" max="1013" width="8.875" style="10"/>
    <col min="1014" max="1014" width="12.375" style="10" customWidth="1"/>
    <col min="1015" max="1016" width="8.875" style="10"/>
    <col min="1017" max="1017" width="15.625" style="10" bestFit="1" customWidth="1"/>
    <col min="1018" max="1018" width="18.875" style="10" customWidth="1"/>
    <col min="1019" max="1261" width="8.875" style="10"/>
    <col min="1262" max="1262" width="9.625" style="10" customWidth="1"/>
    <col min="1263" max="1263" width="11.5" style="10" customWidth="1"/>
    <col min="1264" max="1264" width="9" style="10" customWidth="1"/>
    <col min="1265" max="1265" width="13.375" style="10" customWidth="1"/>
    <col min="1266" max="1266" width="10.5" style="10" customWidth="1"/>
    <col min="1267" max="1267" width="12.5" style="10" customWidth="1"/>
    <col min="1268" max="1268" width="13.75" style="10" customWidth="1"/>
    <col min="1269" max="1269" width="8.875" style="10"/>
    <col min="1270" max="1270" width="12.375" style="10" customWidth="1"/>
    <col min="1271" max="1272" width="8.875" style="10"/>
    <col min="1273" max="1273" width="15.625" style="10" bestFit="1" customWidth="1"/>
    <col min="1274" max="1274" width="18.875" style="10" customWidth="1"/>
    <col min="1275" max="1517" width="8.875" style="10"/>
    <col min="1518" max="1518" width="9.625" style="10" customWidth="1"/>
    <col min="1519" max="1519" width="11.5" style="10" customWidth="1"/>
    <col min="1520" max="1520" width="9" style="10" customWidth="1"/>
    <col min="1521" max="1521" width="13.375" style="10" customWidth="1"/>
    <col min="1522" max="1522" width="10.5" style="10" customWidth="1"/>
    <col min="1523" max="1523" width="12.5" style="10" customWidth="1"/>
    <col min="1524" max="1524" width="13.75" style="10" customWidth="1"/>
    <col min="1525" max="1525" width="8.875" style="10"/>
    <col min="1526" max="1526" width="12.375" style="10" customWidth="1"/>
    <col min="1527" max="1528" width="8.875" style="10"/>
    <col min="1529" max="1529" width="15.625" style="10" bestFit="1" customWidth="1"/>
    <col min="1530" max="1530" width="18.875" style="10" customWidth="1"/>
    <col min="1531" max="1773" width="8.875" style="10"/>
    <col min="1774" max="1774" width="9.625" style="10" customWidth="1"/>
    <col min="1775" max="1775" width="11.5" style="10" customWidth="1"/>
    <col min="1776" max="1776" width="9" style="10" customWidth="1"/>
    <col min="1777" max="1777" width="13.375" style="10" customWidth="1"/>
    <col min="1778" max="1778" width="10.5" style="10" customWidth="1"/>
    <col min="1779" max="1779" width="12.5" style="10" customWidth="1"/>
    <col min="1780" max="1780" width="13.75" style="10" customWidth="1"/>
    <col min="1781" max="1781" width="8.875" style="10"/>
    <col min="1782" max="1782" width="12.375" style="10" customWidth="1"/>
    <col min="1783" max="1784" width="8.875" style="10"/>
    <col min="1785" max="1785" width="15.625" style="10" bestFit="1" customWidth="1"/>
    <col min="1786" max="1786" width="18.875" style="10" customWidth="1"/>
    <col min="1787" max="2029" width="8.875" style="10"/>
    <col min="2030" max="2030" width="9.625" style="10" customWidth="1"/>
    <col min="2031" max="2031" width="11.5" style="10" customWidth="1"/>
    <col min="2032" max="2032" width="9" style="10" customWidth="1"/>
    <col min="2033" max="2033" width="13.375" style="10" customWidth="1"/>
    <col min="2034" max="2034" width="10.5" style="10" customWidth="1"/>
    <col min="2035" max="2035" width="12.5" style="10" customWidth="1"/>
    <col min="2036" max="2036" width="13.75" style="10" customWidth="1"/>
    <col min="2037" max="2037" width="8.875" style="10"/>
    <col min="2038" max="2038" width="12.375" style="10" customWidth="1"/>
    <col min="2039" max="2040" width="8.875" style="10"/>
    <col min="2041" max="2041" width="15.625" style="10" bestFit="1" customWidth="1"/>
    <col min="2042" max="2042" width="18.875" style="10" customWidth="1"/>
    <col min="2043" max="2285" width="8.875" style="10"/>
    <col min="2286" max="2286" width="9.625" style="10" customWidth="1"/>
    <col min="2287" max="2287" width="11.5" style="10" customWidth="1"/>
    <col min="2288" max="2288" width="9" style="10" customWidth="1"/>
    <col min="2289" max="2289" width="13.375" style="10" customWidth="1"/>
    <col min="2290" max="2290" width="10.5" style="10" customWidth="1"/>
    <col min="2291" max="2291" width="12.5" style="10" customWidth="1"/>
    <col min="2292" max="2292" width="13.75" style="10" customWidth="1"/>
    <col min="2293" max="2293" width="8.875" style="10"/>
    <col min="2294" max="2294" width="12.375" style="10" customWidth="1"/>
    <col min="2295" max="2296" width="8.875" style="10"/>
    <col min="2297" max="2297" width="15.625" style="10" bestFit="1" customWidth="1"/>
    <col min="2298" max="2298" width="18.875" style="10" customWidth="1"/>
    <col min="2299" max="2541" width="8.875" style="10"/>
    <col min="2542" max="2542" width="9.625" style="10" customWidth="1"/>
    <col min="2543" max="2543" width="11.5" style="10" customWidth="1"/>
    <col min="2544" max="2544" width="9" style="10" customWidth="1"/>
    <col min="2545" max="2545" width="13.375" style="10" customWidth="1"/>
    <col min="2546" max="2546" width="10.5" style="10" customWidth="1"/>
    <col min="2547" max="2547" width="12.5" style="10" customWidth="1"/>
    <col min="2548" max="2548" width="13.75" style="10" customWidth="1"/>
    <col min="2549" max="2549" width="8.875" style="10"/>
    <col min="2550" max="2550" width="12.375" style="10" customWidth="1"/>
    <col min="2551" max="2552" width="8.875" style="10"/>
    <col min="2553" max="2553" width="15.625" style="10" bestFit="1" customWidth="1"/>
    <col min="2554" max="2554" width="18.875" style="10" customWidth="1"/>
    <col min="2555" max="2797" width="8.875" style="10"/>
    <col min="2798" max="2798" width="9.625" style="10" customWidth="1"/>
    <col min="2799" max="2799" width="11.5" style="10" customWidth="1"/>
    <col min="2800" max="2800" width="9" style="10" customWidth="1"/>
    <col min="2801" max="2801" width="13.375" style="10" customWidth="1"/>
    <col min="2802" max="2802" width="10.5" style="10" customWidth="1"/>
    <col min="2803" max="2803" width="12.5" style="10" customWidth="1"/>
    <col min="2804" max="2804" width="13.75" style="10" customWidth="1"/>
    <col min="2805" max="2805" width="8.875" style="10"/>
    <col min="2806" max="2806" width="12.375" style="10" customWidth="1"/>
    <col min="2807" max="2808" width="8.875" style="10"/>
    <col min="2809" max="2809" width="15.625" style="10" bestFit="1" customWidth="1"/>
    <col min="2810" max="2810" width="18.875" style="10" customWidth="1"/>
    <col min="2811" max="3053" width="8.875" style="10"/>
    <col min="3054" max="3054" width="9.625" style="10" customWidth="1"/>
    <col min="3055" max="3055" width="11.5" style="10" customWidth="1"/>
    <col min="3056" max="3056" width="9" style="10" customWidth="1"/>
    <col min="3057" max="3057" width="13.375" style="10" customWidth="1"/>
    <col min="3058" max="3058" width="10.5" style="10" customWidth="1"/>
    <col min="3059" max="3059" width="12.5" style="10" customWidth="1"/>
    <col min="3060" max="3060" width="13.75" style="10" customWidth="1"/>
    <col min="3061" max="3061" width="8.875" style="10"/>
    <col min="3062" max="3062" width="12.375" style="10" customWidth="1"/>
    <col min="3063" max="3064" width="8.875" style="10"/>
    <col min="3065" max="3065" width="15.625" style="10" bestFit="1" customWidth="1"/>
    <col min="3066" max="3066" width="18.875" style="10" customWidth="1"/>
    <col min="3067" max="3309" width="8.875" style="10"/>
    <col min="3310" max="3310" width="9.625" style="10" customWidth="1"/>
    <col min="3311" max="3311" width="11.5" style="10" customWidth="1"/>
    <col min="3312" max="3312" width="9" style="10" customWidth="1"/>
    <col min="3313" max="3313" width="13.375" style="10" customWidth="1"/>
    <col min="3314" max="3314" width="10.5" style="10" customWidth="1"/>
    <col min="3315" max="3315" width="12.5" style="10" customWidth="1"/>
    <col min="3316" max="3316" width="13.75" style="10" customWidth="1"/>
    <col min="3317" max="3317" width="8.875" style="10"/>
    <col min="3318" max="3318" width="12.375" style="10" customWidth="1"/>
    <col min="3319" max="3320" width="8.875" style="10"/>
    <col min="3321" max="3321" width="15.625" style="10" bestFit="1" customWidth="1"/>
    <col min="3322" max="3322" width="18.875" style="10" customWidth="1"/>
    <col min="3323" max="3565" width="8.875" style="10"/>
    <col min="3566" max="3566" width="9.625" style="10" customWidth="1"/>
    <col min="3567" max="3567" width="11.5" style="10" customWidth="1"/>
    <col min="3568" max="3568" width="9" style="10" customWidth="1"/>
    <col min="3569" max="3569" width="13.375" style="10" customWidth="1"/>
    <col min="3570" max="3570" width="10.5" style="10" customWidth="1"/>
    <col min="3571" max="3571" width="12.5" style="10" customWidth="1"/>
    <col min="3572" max="3572" width="13.75" style="10" customWidth="1"/>
    <col min="3573" max="3573" width="8.875" style="10"/>
    <col min="3574" max="3574" width="12.375" style="10" customWidth="1"/>
    <col min="3575" max="3576" width="8.875" style="10"/>
    <col min="3577" max="3577" width="15.625" style="10" bestFit="1" customWidth="1"/>
    <col min="3578" max="3578" width="18.875" style="10" customWidth="1"/>
    <col min="3579" max="3821" width="8.875" style="10"/>
    <col min="3822" max="3822" width="9.625" style="10" customWidth="1"/>
    <col min="3823" max="3823" width="11.5" style="10" customWidth="1"/>
    <col min="3824" max="3824" width="9" style="10" customWidth="1"/>
    <col min="3825" max="3825" width="13.375" style="10" customWidth="1"/>
    <col min="3826" max="3826" width="10.5" style="10" customWidth="1"/>
    <col min="3827" max="3827" width="12.5" style="10" customWidth="1"/>
    <col min="3828" max="3828" width="13.75" style="10" customWidth="1"/>
    <col min="3829" max="3829" width="8.875" style="10"/>
    <col min="3830" max="3830" width="12.375" style="10" customWidth="1"/>
    <col min="3831" max="3832" width="8.875" style="10"/>
    <col min="3833" max="3833" width="15.625" style="10" bestFit="1" customWidth="1"/>
    <col min="3834" max="3834" width="18.875" style="10" customWidth="1"/>
    <col min="3835" max="4077" width="8.875" style="10"/>
    <col min="4078" max="4078" width="9.625" style="10" customWidth="1"/>
    <col min="4079" max="4079" width="11.5" style="10" customWidth="1"/>
    <col min="4080" max="4080" width="9" style="10" customWidth="1"/>
    <col min="4081" max="4081" width="13.375" style="10" customWidth="1"/>
    <col min="4082" max="4082" width="10.5" style="10" customWidth="1"/>
    <col min="4083" max="4083" width="12.5" style="10" customWidth="1"/>
    <col min="4084" max="4084" width="13.75" style="10" customWidth="1"/>
    <col min="4085" max="4085" width="8.875" style="10"/>
    <col min="4086" max="4086" width="12.375" style="10" customWidth="1"/>
    <col min="4087" max="4088" width="8.875" style="10"/>
    <col min="4089" max="4089" width="15.625" style="10" bestFit="1" customWidth="1"/>
    <col min="4090" max="4090" width="18.875" style="10" customWidth="1"/>
    <col min="4091" max="4333" width="8.875" style="10"/>
    <col min="4334" max="4334" width="9.625" style="10" customWidth="1"/>
    <col min="4335" max="4335" width="11.5" style="10" customWidth="1"/>
    <col min="4336" max="4336" width="9" style="10" customWidth="1"/>
    <col min="4337" max="4337" width="13.375" style="10" customWidth="1"/>
    <col min="4338" max="4338" width="10.5" style="10" customWidth="1"/>
    <col min="4339" max="4339" width="12.5" style="10" customWidth="1"/>
    <col min="4340" max="4340" width="13.75" style="10" customWidth="1"/>
    <col min="4341" max="4341" width="8.875" style="10"/>
    <col min="4342" max="4342" width="12.375" style="10" customWidth="1"/>
    <col min="4343" max="4344" width="8.875" style="10"/>
    <col min="4345" max="4345" width="15.625" style="10" bestFit="1" customWidth="1"/>
    <col min="4346" max="4346" width="18.875" style="10" customWidth="1"/>
    <col min="4347" max="4589" width="8.875" style="10"/>
    <col min="4590" max="4590" width="9.625" style="10" customWidth="1"/>
    <col min="4591" max="4591" width="11.5" style="10" customWidth="1"/>
    <col min="4592" max="4592" width="9" style="10" customWidth="1"/>
    <col min="4593" max="4593" width="13.375" style="10" customWidth="1"/>
    <col min="4594" max="4594" width="10.5" style="10" customWidth="1"/>
    <col min="4595" max="4595" width="12.5" style="10" customWidth="1"/>
    <col min="4596" max="4596" width="13.75" style="10" customWidth="1"/>
    <col min="4597" max="4597" width="8.875" style="10"/>
    <col min="4598" max="4598" width="12.375" style="10" customWidth="1"/>
    <col min="4599" max="4600" width="8.875" style="10"/>
    <col min="4601" max="4601" width="15.625" style="10" bestFit="1" customWidth="1"/>
    <col min="4602" max="4602" width="18.875" style="10" customWidth="1"/>
    <col min="4603" max="4845" width="8.875" style="10"/>
    <col min="4846" max="4846" width="9.625" style="10" customWidth="1"/>
    <col min="4847" max="4847" width="11.5" style="10" customWidth="1"/>
    <col min="4848" max="4848" width="9" style="10" customWidth="1"/>
    <col min="4849" max="4849" width="13.375" style="10" customWidth="1"/>
    <col min="4850" max="4850" width="10.5" style="10" customWidth="1"/>
    <col min="4851" max="4851" width="12.5" style="10" customWidth="1"/>
    <col min="4852" max="4852" width="13.75" style="10" customWidth="1"/>
    <col min="4853" max="4853" width="8.875" style="10"/>
    <col min="4854" max="4854" width="12.375" style="10" customWidth="1"/>
    <col min="4855" max="4856" width="8.875" style="10"/>
    <col min="4857" max="4857" width="15.625" style="10" bestFit="1" customWidth="1"/>
    <col min="4858" max="4858" width="18.875" style="10" customWidth="1"/>
    <col min="4859" max="5101" width="8.875" style="10"/>
    <col min="5102" max="5102" width="9.625" style="10" customWidth="1"/>
    <col min="5103" max="5103" width="11.5" style="10" customWidth="1"/>
    <col min="5104" max="5104" width="9" style="10" customWidth="1"/>
    <col min="5105" max="5105" width="13.375" style="10" customWidth="1"/>
    <col min="5106" max="5106" width="10.5" style="10" customWidth="1"/>
    <col min="5107" max="5107" width="12.5" style="10" customWidth="1"/>
    <col min="5108" max="5108" width="13.75" style="10" customWidth="1"/>
    <col min="5109" max="5109" width="8.875" style="10"/>
    <col min="5110" max="5110" width="12.375" style="10" customWidth="1"/>
    <col min="5111" max="5112" width="8.875" style="10"/>
    <col min="5113" max="5113" width="15.625" style="10" bestFit="1" customWidth="1"/>
    <col min="5114" max="5114" width="18.875" style="10" customWidth="1"/>
    <col min="5115" max="5357" width="8.875" style="10"/>
    <col min="5358" max="5358" width="9.625" style="10" customWidth="1"/>
    <col min="5359" max="5359" width="11.5" style="10" customWidth="1"/>
    <col min="5360" max="5360" width="9" style="10" customWidth="1"/>
    <col min="5361" max="5361" width="13.375" style="10" customWidth="1"/>
    <col min="5362" max="5362" width="10.5" style="10" customWidth="1"/>
    <col min="5363" max="5363" width="12.5" style="10" customWidth="1"/>
    <col min="5364" max="5364" width="13.75" style="10" customWidth="1"/>
    <col min="5365" max="5365" width="8.875" style="10"/>
    <col min="5366" max="5366" width="12.375" style="10" customWidth="1"/>
    <col min="5367" max="5368" width="8.875" style="10"/>
    <col min="5369" max="5369" width="15.625" style="10" bestFit="1" customWidth="1"/>
    <col min="5370" max="5370" width="18.875" style="10" customWidth="1"/>
    <col min="5371" max="5613" width="8.875" style="10"/>
    <col min="5614" max="5614" width="9.625" style="10" customWidth="1"/>
    <col min="5615" max="5615" width="11.5" style="10" customWidth="1"/>
    <col min="5616" max="5616" width="9" style="10" customWidth="1"/>
    <col min="5617" max="5617" width="13.375" style="10" customWidth="1"/>
    <col min="5618" max="5618" width="10.5" style="10" customWidth="1"/>
    <col min="5619" max="5619" width="12.5" style="10" customWidth="1"/>
    <col min="5620" max="5620" width="13.75" style="10" customWidth="1"/>
    <col min="5621" max="5621" width="8.875" style="10"/>
    <col min="5622" max="5622" width="12.375" style="10" customWidth="1"/>
    <col min="5623" max="5624" width="8.875" style="10"/>
    <col min="5625" max="5625" width="15.625" style="10" bestFit="1" customWidth="1"/>
    <col min="5626" max="5626" width="18.875" style="10" customWidth="1"/>
    <col min="5627" max="5869" width="8.875" style="10"/>
    <col min="5870" max="5870" width="9.625" style="10" customWidth="1"/>
    <col min="5871" max="5871" width="11.5" style="10" customWidth="1"/>
    <col min="5872" max="5872" width="9" style="10" customWidth="1"/>
    <col min="5873" max="5873" width="13.375" style="10" customWidth="1"/>
    <col min="5874" max="5874" width="10.5" style="10" customWidth="1"/>
    <col min="5875" max="5875" width="12.5" style="10" customWidth="1"/>
    <col min="5876" max="5876" width="13.75" style="10" customWidth="1"/>
    <col min="5877" max="5877" width="8.875" style="10"/>
    <col min="5878" max="5878" width="12.375" style="10" customWidth="1"/>
    <col min="5879" max="5880" width="8.875" style="10"/>
    <col min="5881" max="5881" width="15.625" style="10" bestFit="1" customWidth="1"/>
    <col min="5882" max="5882" width="18.875" style="10" customWidth="1"/>
    <col min="5883" max="6125" width="8.875" style="10"/>
    <col min="6126" max="6126" width="9.625" style="10" customWidth="1"/>
    <col min="6127" max="6127" width="11.5" style="10" customWidth="1"/>
    <col min="6128" max="6128" width="9" style="10" customWidth="1"/>
    <col min="6129" max="6129" width="13.375" style="10" customWidth="1"/>
    <col min="6130" max="6130" width="10.5" style="10" customWidth="1"/>
    <col min="6131" max="6131" width="12.5" style="10" customWidth="1"/>
    <col min="6132" max="6132" width="13.75" style="10" customWidth="1"/>
    <col min="6133" max="6133" width="8.875" style="10"/>
    <col min="6134" max="6134" width="12.375" style="10" customWidth="1"/>
    <col min="6135" max="6136" width="8.875" style="10"/>
    <col min="6137" max="6137" width="15.625" style="10" bestFit="1" customWidth="1"/>
    <col min="6138" max="6138" width="18.875" style="10" customWidth="1"/>
    <col min="6139" max="6381" width="8.875" style="10"/>
    <col min="6382" max="6382" width="9.625" style="10" customWidth="1"/>
    <col min="6383" max="6383" width="11.5" style="10" customWidth="1"/>
    <col min="6384" max="6384" width="9" style="10" customWidth="1"/>
    <col min="6385" max="6385" width="13.375" style="10" customWidth="1"/>
    <col min="6386" max="6386" width="10.5" style="10" customWidth="1"/>
    <col min="6387" max="6387" width="12.5" style="10" customWidth="1"/>
    <col min="6388" max="6388" width="13.75" style="10" customWidth="1"/>
    <col min="6389" max="6389" width="8.875" style="10"/>
    <col min="6390" max="6390" width="12.375" style="10" customWidth="1"/>
    <col min="6391" max="6392" width="8.875" style="10"/>
    <col min="6393" max="6393" width="15.625" style="10" bestFit="1" customWidth="1"/>
    <col min="6394" max="6394" width="18.875" style="10" customWidth="1"/>
    <col min="6395" max="6637" width="8.875" style="10"/>
    <col min="6638" max="6638" width="9.625" style="10" customWidth="1"/>
    <col min="6639" max="6639" width="11.5" style="10" customWidth="1"/>
    <col min="6640" max="6640" width="9" style="10" customWidth="1"/>
    <col min="6641" max="6641" width="13.375" style="10" customWidth="1"/>
    <col min="6642" max="6642" width="10.5" style="10" customWidth="1"/>
    <col min="6643" max="6643" width="12.5" style="10" customWidth="1"/>
    <col min="6644" max="6644" width="13.75" style="10" customWidth="1"/>
    <col min="6645" max="6645" width="8.875" style="10"/>
    <col min="6646" max="6646" width="12.375" style="10" customWidth="1"/>
    <col min="6647" max="6648" width="8.875" style="10"/>
    <col min="6649" max="6649" width="15.625" style="10" bestFit="1" customWidth="1"/>
    <col min="6650" max="6650" width="18.875" style="10" customWidth="1"/>
    <col min="6651" max="6893" width="8.875" style="10"/>
    <col min="6894" max="6894" width="9.625" style="10" customWidth="1"/>
    <col min="6895" max="6895" width="11.5" style="10" customWidth="1"/>
    <col min="6896" max="6896" width="9" style="10" customWidth="1"/>
    <col min="6897" max="6897" width="13.375" style="10" customWidth="1"/>
    <col min="6898" max="6898" width="10.5" style="10" customWidth="1"/>
    <col min="6899" max="6899" width="12.5" style="10" customWidth="1"/>
    <col min="6900" max="6900" width="13.75" style="10" customWidth="1"/>
    <col min="6901" max="6901" width="8.875" style="10"/>
    <col min="6902" max="6902" width="12.375" style="10" customWidth="1"/>
    <col min="6903" max="6904" width="8.875" style="10"/>
    <col min="6905" max="6905" width="15.625" style="10" bestFit="1" customWidth="1"/>
    <col min="6906" max="6906" width="18.875" style="10" customWidth="1"/>
    <col min="6907" max="7149" width="8.875" style="10"/>
    <col min="7150" max="7150" width="9.625" style="10" customWidth="1"/>
    <col min="7151" max="7151" width="11.5" style="10" customWidth="1"/>
    <col min="7152" max="7152" width="9" style="10" customWidth="1"/>
    <col min="7153" max="7153" width="13.375" style="10" customWidth="1"/>
    <col min="7154" max="7154" width="10.5" style="10" customWidth="1"/>
    <col min="7155" max="7155" width="12.5" style="10" customWidth="1"/>
    <col min="7156" max="7156" width="13.75" style="10" customWidth="1"/>
    <col min="7157" max="7157" width="8.875" style="10"/>
    <col min="7158" max="7158" width="12.375" style="10" customWidth="1"/>
    <col min="7159" max="7160" width="8.875" style="10"/>
    <col min="7161" max="7161" width="15.625" style="10" bestFit="1" customWidth="1"/>
    <col min="7162" max="7162" width="18.875" style="10" customWidth="1"/>
    <col min="7163" max="7405" width="8.875" style="10"/>
    <col min="7406" max="7406" width="9.625" style="10" customWidth="1"/>
    <col min="7407" max="7407" width="11.5" style="10" customWidth="1"/>
    <col min="7408" max="7408" width="9" style="10" customWidth="1"/>
    <col min="7409" max="7409" width="13.375" style="10" customWidth="1"/>
    <col min="7410" max="7410" width="10.5" style="10" customWidth="1"/>
    <col min="7411" max="7411" width="12.5" style="10" customWidth="1"/>
    <col min="7412" max="7412" width="13.75" style="10" customWidth="1"/>
    <col min="7413" max="7413" width="8.875" style="10"/>
    <col min="7414" max="7414" width="12.375" style="10" customWidth="1"/>
    <col min="7415" max="7416" width="8.875" style="10"/>
    <col min="7417" max="7417" width="15.625" style="10" bestFit="1" customWidth="1"/>
    <col min="7418" max="7418" width="18.875" style="10" customWidth="1"/>
    <col min="7419" max="7661" width="8.875" style="10"/>
    <col min="7662" max="7662" width="9.625" style="10" customWidth="1"/>
    <col min="7663" max="7663" width="11.5" style="10" customWidth="1"/>
    <col min="7664" max="7664" width="9" style="10" customWidth="1"/>
    <col min="7665" max="7665" width="13.375" style="10" customWidth="1"/>
    <col min="7666" max="7666" width="10.5" style="10" customWidth="1"/>
    <col min="7667" max="7667" width="12.5" style="10" customWidth="1"/>
    <col min="7668" max="7668" width="13.75" style="10" customWidth="1"/>
    <col min="7669" max="7669" width="8.875" style="10"/>
    <col min="7670" max="7670" width="12.375" style="10" customWidth="1"/>
    <col min="7671" max="7672" width="8.875" style="10"/>
    <col min="7673" max="7673" width="15.625" style="10" bestFit="1" customWidth="1"/>
    <col min="7674" max="7674" width="18.875" style="10" customWidth="1"/>
    <col min="7675" max="7917" width="8.875" style="10"/>
    <col min="7918" max="7918" width="9.625" style="10" customWidth="1"/>
    <col min="7919" max="7919" width="11.5" style="10" customWidth="1"/>
    <col min="7920" max="7920" width="9" style="10" customWidth="1"/>
    <col min="7921" max="7921" width="13.375" style="10" customWidth="1"/>
    <col min="7922" max="7922" width="10.5" style="10" customWidth="1"/>
    <col min="7923" max="7923" width="12.5" style="10" customWidth="1"/>
    <col min="7924" max="7924" width="13.75" style="10" customWidth="1"/>
    <col min="7925" max="7925" width="8.875" style="10"/>
    <col min="7926" max="7926" width="12.375" style="10" customWidth="1"/>
    <col min="7927" max="7928" width="8.875" style="10"/>
    <col min="7929" max="7929" width="15.625" style="10" bestFit="1" customWidth="1"/>
    <col min="7930" max="7930" width="18.875" style="10" customWidth="1"/>
    <col min="7931" max="8173" width="8.875" style="10"/>
    <col min="8174" max="8174" width="9.625" style="10" customWidth="1"/>
    <col min="8175" max="8175" width="11.5" style="10" customWidth="1"/>
    <col min="8176" max="8176" width="9" style="10" customWidth="1"/>
    <col min="8177" max="8177" width="13.375" style="10" customWidth="1"/>
    <col min="8178" max="8178" width="10.5" style="10" customWidth="1"/>
    <col min="8179" max="8179" width="12.5" style="10" customWidth="1"/>
    <col min="8180" max="8180" width="13.75" style="10" customWidth="1"/>
    <col min="8181" max="8181" width="8.875" style="10"/>
    <col min="8182" max="8182" width="12.375" style="10" customWidth="1"/>
    <col min="8183" max="8184" width="8.875" style="10"/>
    <col min="8185" max="8185" width="15.625" style="10" bestFit="1" customWidth="1"/>
    <col min="8186" max="8186" width="18.875" style="10" customWidth="1"/>
    <col min="8187" max="8429" width="8.875" style="10"/>
    <col min="8430" max="8430" width="9.625" style="10" customWidth="1"/>
    <col min="8431" max="8431" width="11.5" style="10" customWidth="1"/>
    <col min="8432" max="8432" width="9" style="10" customWidth="1"/>
    <col min="8433" max="8433" width="13.375" style="10" customWidth="1"/>
    <col min="8434" max="8434" width="10.5" style="10" customWidth="1"/>
    <col min="8435" max="8435" width="12.5" style="10" customWidth="1"/>
    <col min="8436" max="8436" width="13.75" style="10" customWidth="1"/>
    <col min="8437" max="8437" width="8.875" style="10"/>
    <col min="8438" max="8438" width="12.375" style="10" customWidth="1"/>
    <col min="8439" max="8440" width="8.875" style="10"/>
    <col min="8441" max="8441" width="15.625" style="10" bestFit="1" customWidth="1"/>
    <col min="8442" max="8442" width="18.875" style="10" customWidth="1"/>
    <col min="8443" max="8685" width="8.875" style="10"/>
    <col min="8686" max="8686" width="9.625" style="10" customWidth="1"/>
    <col min="8687" max="8687" width="11.5" style="10" customWidth="1"/>
    <col min="8688" max="8688" width="9" style="10" customWidth="1"/>
    <col min="8689" max="8689" width="13.375" style="10" customWidth="1"/>
    <col min="8690" max="8690" width="10.5" style="10" customWidth="1"/>
    <col min="8691" max="8691" width="12.5" style="10" customWidth="1"/>
    <col min="8692" max="8692" width="13.75" style="10" customWidth="1"/>
    <col min="8693" max="8693" width="8.875" style="10"/>
    <col min="8694" max="8694" width="12.375" style="10" customWidth="1"/>
    <col min="8695" max="8696" width="8.875" style="10"/>
    <col min="8697" max="8697" width="15.625" style="10" bestFit="1" customWidth="1"/>
    <col min="8698" max="8698" width="18.875" style="10" customWidth="1"/>
    <col min="8699" max="8941" width="8.875" style="10"/>
    <col min="8942" max="8942" width="9.625" style="10" customWidth="1"/>
    <col min="8943" max="8943" width="11.5" style="10" customWidth="1"/>
    <col min="8944" max="8944" width="9" style="10" customWidth="1"/>
    <col min="8945" max="8945" width="13.375" style="10" customWidth="1"/>
    <col min="8946" max="8946" width="10.5" style="10" customWidth="1"/>
    <col min="8947" max="8947" width="12.5" style="10" customWidth="1"/>
    <col min="8948" max="8948" width="13.75" style="10" customWidth="1"/>
    <col min="8949" max="8949" width="8.875" style="10"/>
    <col min="8950" max="8950" width="12.375" style="10" customWidth="1"/>
    <col min="8951" max="8952" width="8.875" style="10"/>
    <col min="8953" max="8953" width="15.625" style="10" bestFit="1" customWidth="1"/>
    <col min="8954" max="8954" width="18.875" style="10" customWidth="1"/>
    <col min="8955" max="9197" width="8.875" style="10"/>
    <col min="9198" max="9198" width="9.625" style="10" customWidth="1"/>
    <col min="9199" max="9199" width="11.5" style="10" customWidth="1"/>
    <col min="9200" max="9200" width="9" style="10" customWidth="1"/>
    <col min="9201" max="9201" width="13.375" style="10" customWidth="1"/>
    <col min="9202" max="9202" width="10.5" style="10" customWidth="1"/>
    <col min="9203" max="9203" width="12.5" style="10" customWidth="1"/>
    <col min="9204" max="9204" width="13.75" style="10" customWidth="1"/>
    <col min="9205" max="9205" width="8.875" style="10"/>
    <col min="9206" max="9206" width="12.375" style="10" customWidth="1"/>
    <col min="9207" max="9208" width="8.875" style="10"/>
    <col min="9209" max="9209" width="15.625" style="10" bestFit="1" customWidth="1"/>
    <col min="9210" max="9210" width="18.875" style="10" customWidth="1"/>
    <col min="9211" max="9453" width="8.875" style="10"/>
    <col min="9454" max="9454" width="9.625" style="10" customWidth="1"/>
    <col min="9455" max="9455" width="11.5" style="10" customWidth="1"/>
    <col min="9456" max="9456" width="9" style="10" customWidth="1"/>
    <col min="9457" max="9457" width="13.375" style="10" customWidth="1"/>
    <col min="9458" max="9458" width="10.5" style="10" customWidth="1"/>
    <col min="9459" max="9459" width="12.5" style="10" customWidth="1"/>
    <col min="9460" max="9460" width="13.75" style="10" customWidth="1"/>
    <col min="9461" max="9461" width="8.875" style="10"/>
    <col min="9462" max="9462" width="12.375" style="10" customWidth="1"/>
    <col min="9463" max="9464" width="8.875" style="10"/>
    <col min="9465" max="9465" width="15.625" style="10" bestFit="1" customWidth="1"/>
    <col min="9466" max="9466" width="18.875" style="10" customWidth="1"/>
    <col min="9467" max="9709" width="8.875" style="10"/>
    <col min="9710" max="9710" width="9.625" style="10" customWidth="1"/>
    <col min="9711" max="9711" width="11.5" style="10" customWidth="1"/>
    <col min="9712" max="9712" width="9" style="10" customWidth="1"/>
    <col min="9713" max="9713" width="13.375" style="10" customWidth="1"/>
    <col min="9714" max="9714" width="10.5" style="10" customWidth="1"/>
    <col min="9715" max="9715" width="12.5" style="10" customWidth="1"/>
    <col min="9716" max="9716" width="13.75" style="10" customWidth="1"/>
    <col min="9717" max="9717" width="8.875" style="10"/>
    <col min="9718" max="9718" width="12.375" style="10" customWidth="1"/>
    <col min="9719" max="9720" width="8.875" style="10"/>
    <col min="9721" max="9721" width="15.625" style="10" bestFit="1" customWidth="1"/>
    <col min="9722" max="9722" width="18.875" style="10" customWidth="1"/>
    <col min="9723" max="9965" width="8.875" style="10"/>
    <col min="9966" max="9966" width="9.625" style="10" customWidth="1"/>
    <col min="9967" max="9967" width="11.5" style="10" customWidth="1"/>
    <col min="9968" max="9968" width="9" style="10" customWidth="1"/>
    <col min="9969" max="9969" width="13.375" style="10" customWidth="1"/>
    <col min="9970" max="9970" width="10.5" style="10" customWidth="1"/>
    <col min="9971" max="9971" width="12.5" style="10" customWidth="1"/>
    <col min="9972" max="9972" width="13.75" style="10" customWidth="1"/>
    <col min="9973" max="9973" width="8.875" style="10"/>
    <col min="9974" max="9974" width="12.375" style="10" customWidth="1"/>
    <col min="9975" max="9976" width="8.875" style="10"/>
    <col min="9977" max="9977" width="15.625" style="10" bestFit="1" customWidth="1"/>
    <col min="9978" max="9978" width="18.875" style="10" customWidth="1"/>
    <col min="9979" max="10221" width="8.875" style="10"/>
    <col min="10222" max="10222" width="9.625" style="10" customWidth="1"/>
    <col min="10223" max="10223" width="11.5" style="10" customWidth="1"/>
    <col min="10224" max="10224" width="9" style="10" customWidth="1"/>
    <col min="10225" max="10225" width="13.375" style="10" customWidth="1"/>
    <col min="10226" max="10226" width="10.5" style="10" customWidth="1"/>
    <col min="10227" max="10227" width="12.5" style="10" customWidth="1"/>
    <col min="10228" max="10228" width="13.75" style="10" customWidth="1"/>
    <col min="10229" max="10229" width="8.875" style="10"/>
    <col min="10230" max="10230" width="12.375" style="10" customWidth="1"/>
    <col min="10231" max="10232" width="8.875" style="10"/>
    <col min="10233" max="10233" width="15.625" style="10" bestFit="1" customWidth="1"/>
    <col min="10234" max="10234" width="18.875" style="10" customWidth="1"/>
    <col min="10235" max="10477" width="8.875" style="10"/>
    <col min="10478" max="10478" width="9.625" style="10" customWidth="1"/>
    <col min="10479" max="10479" width="11.5" style="10" customWidth="1"/>
    <col min="10480" max="10480" width="9" style="10" customWidth="1"/>
    <col min="10481" max="10481" width="13.375" style="10" customWidth="1"/>
    <col min="10482" max="10482" width="10.5" style="10" customWidth="1"/>
    <col min="10483" max="10483" width="12.5" style="10" customWidth="1"/>
    <col min="10484" max="10484" width="13.75" style="10" customWidth="1"/>
    <col min="10485" max="10485" width="8.875" style="10"/>
    <col min="10486" max="10486" width="12.375" style="10" customWidth="1"/>
    <col min="10487" max="10488" width="8.875" style="10"/>
    <col min="10489" max="10489" width="15.625" style="10" bestFit="1" customWidth="1"/>
    <col min="10490" max="10490" width="18.875" style="10" customWidth="1"/>
    <col min="10491" max="10733" width="8.875" style="10"/>
    <col min="10734" max="10734" width="9.625" style="10" customWidth="1"/>
    <col min="10735" max="10735" width="11.5" style="10" customWidth="1"/>
    <col min="10736" max="10736" width="9" style="10" customWidth="1"/>
    <col min="10737" max="10737" width="13.375" style="10" customWidth="1"/>
    <col min="10738" max="10738" width="10.5" style="10" customWidth="1"/>
    <col min="10739" max="10739" width="12.5" style="10" customWidth="1"/>
    <col min="10740" max="10740" width="13.75" style="10" customWidth="1"/>
    <col min="10741" max="10741" width="8.875" style="10"/>
    <col min="10742" max="10742" width="12.375" style="10" customWidth="1"/>
    <col min="10743" max="10744" width="8.875" style="10"/>
    <col min="10745" max="10745" width="15.625" style="10" bestFit="1" customWidth="1"/>
    <col min="10746" max="10746" width="18.875" style="10" customWidth="1"/>
    <col min="10747" max="10989" width="8.875" style="10"/>
    <col min="10990" max="10990" width="9.625" style="10" customWidth="1"/>
    <col min="10991" max="10991" width="11.5" style="10" customWidth="1"/>
    <col min="10992" max="10992" width="9" style="10" customWidth="1"/>
    <col min="10993" max="10993" width="13.375" style="10" customWidth="1"/>
    <col min="10994" max="10994" width="10.5" style="10" customWidth="1"/>
    <col min="10995" max="10995" width="12.5" style="10" customWidth="1"/>
    <col min="10996" max="10996" width="13.75" style="10" customWidth="1"/>
    <col min="10997" max="10997" width="8.875" style="10"/>
    <col min="10998" max="10998" width="12.375" style="10" customWidth="1"/>
    <col min="10999" max="11000" width="8.875" style="10"/>
    <col min="11001" max="11001" width="15.625" style="10" bestFit="1" customWidth="1"/>
    <col min="11002" max="11002" width="18.875" style="10" customWidth="1"/>
    <col min="11003" max="11245" width="8.875" style="10"/>
    <col min="11246" max="11246" width="9.625" style="10" customWidth="1"/>
    <col min="11247" max="11247" width="11.5" style="10" customWidth="1"/>
    <col min="11248" max="11248" width="9" style="10" customWidth="1"/>
    <col min="11249" max="11249" width="13.375" style="10" customWidth="1"/>
    <col min="11250" max="11250" width="10.5" style="10" customWidth="1"/>
    <col min="11251" max="11251" width="12.5" style="10" customWidth="1"/>
    <col min="11252" max="11252" width="13.75" style="10" customWidth="1"/>
    <col min="11253" max="11253" width="8.875" style="10"/>
    <col min="11254" max="11254" width="12.375" style="10" customWidth="1"/>
    <col min="11255" max="11256" width="8.875" style="10"/>
    <col min="11257" max="11257" width="15.625" style="10" bestFit="1" customWidth="1"/>
    <col min="11258" max="11258" width="18.875" style="10" customWidth="1"/>
    <col min="11259" max="11501" width="8.875" style="10"/>
    <col min="11502" max="11502" width="9.625" style="10" customWidth="1"/>
    <col min="11503" max="11503" width="11.5" style="10" customWidth="1"/>
    <col min="11504" max="11504" width="9" style="10" customWidth="1"/>
    <col min="11505" max="11505" width="13.375" style="10" customWidth="1"/>
    <col min="11506" max="11506" width="10.5" style="10" customWidth="1"/>
    <col min="11507" max="11507" width="12.5" style="10" customWidth="1"/>
    <col min="11508" max="11508" width="13.75" style="10" customWidth="1"/>
    <col min="11509" max="11509" width="8.875" style="10"/>
    <col min="11510" max="11510" width="12.375" style="10" customWidth="1"/>
    <col min="11511" max="11512" width="8.875" style="10"/>
    <col min="11513" max="11513" width="15.625" style="10" bestFit="1" customWidth="1"/>
    <col min="11514" max="11514" width="18.875" style="10" customWidth="1"/>
    <col min="11515" max="11757" width="8.875" style="10"/>
    <col min="11758" max="11758" width="9.625" style="10" customWidth="1"/>
    <col min="11759" max="11759" width="11.5" style="10" customWidth="1"/>
    <col min="11760" max="11760" width="9" style="10" customWidth="1"/>
    <col min="11761" max="11761" width="13.375" style="10" customWidth="1"/>
    <col min="11762" max="11762" width="10.5" style="10" customWidth="1"/>
    <col min="11763" max="11763" width="12.5" style="10" customWidth="1"/>
    <col min="11764" max="11764" width="13.75" style="10" customWidth="1"/>
    <col min="11765" max="11765" width="8.875" style="10"/>
    <col min="11766" max="11766" width="12.375" style="10" customWidth="1"/>
    <col min="11767" max="11768" width="8.875" style="10"/>
    <col min="11769" max="11769" width="15.625" style="10" bestFit="1" customWidth="1"/>
    <col min="11770" max="11770" width="18.875" style="10" customWidth="1"/>
    <col min="11771" max="12013" width="8.875" style="10"/>
    <col min="12014" max="12014" width="9.625" style="10" customWidth="1"/>
    <col min="12015" max="12015" width="11.5" style="10" customWidth="1"/>
    <col min="12016" max="12016" width="9" style="10" customWidth="1"/>
    <col min="12017" max="12017" width="13.375" style="10" customWidth="1"/>
    <col min="12018" max="12018" width="10.5" style="10" customWidth="1"/>
    <col min="12019" max="12019" width="12.5" style="10" customWidth="1"/>
    <col min="12020" max="12020" width="13.75" style="10" customWidth="1"/>
    <col min="12021" max="12021" width="8.875" style="10"/>
    <col min="12022" max="12022" width="12.375" style="10" customWidth="1"/>
    <col min="12023" max="12024" width="8.875" style="10"/>
    <col min="12025" max="12025" width="15.625" style="10" bestFit="1" customWidth="1"/>
    <col min="12026" max="12026" width="18.875" style="10" customWidth="1"/>
    <col min="12027" max="12269" width="8.875" style="10"/>
    <col min="12270" max="12270" width="9.625" style="10" customWidth="1"/>
    <col min="12271" max="12271" width="11.5" style="10" customWidth="1"/>
    <col min="12272" max="12272" width="9" style="10" customWidth="1"/>
    <col min="12273" max="12273" width="13.375" style="10" customWidth="1"/>
    <col min="12274" max="12274" width="10.5" style="10" customWidth="1"/>
    <col min="12275" max="12275" width="12.5" style="10" customWidth="1"/>
    <col min="12276" max="12276" width="13.75" style="10" customWidth="1"/>
    <col min="12277" max="12277" width="8.875" style="10"/>
    <col min="12278" max="12278" width="12.375" style="10" customWidth="1"/>
    <col min="12279" max="12280" width="8.875" style="10"/>
    <col min="12281" max="12281" width="15.625" style="10" bestFit="1" customWidth="1"/>
    <col min="12282" max="12282" width="18.875" style="10" customWidth="1"/>
    <col min="12283" max="12525" width="8.875" style="10"/>
    <col min="12526" max="12526" width="9.625" style="10" customWidth="1"/>
    <col min="12527" max="12527" width="11.5" style="10" customWidth="1"/>
    <col min="12528" max="12528" width="9" style="10" customWidth="1"/>
    <col min="12529" max="12529" width="13.375" style="10" customWidth="1"/>
    <col min="12530" max="12530" width="10.5" style="10" customWidth="1"/>
    <col min="12531" max="12531" width="12.5" style="10" customWidth="1"/>
    <col min="12532" max="12532" width="13.75" style="10" customWidth="1"/>
    <col min="12533" max="12533" width="8.875" style="10"/>
    <col min="12534" max="12534" width="12.375" style="10" customWidth="1"/>
    <col min="12535" max="12536" width="8.875" style="10"/>
    <col min="12537" max="12537" width="15.625" style="10" bestFit="1" customWidth="1"/>
    <col min="12538" max="12538" width="18.875" style="10" customWidth="1"/>
    <col min="12539" max="12781" width="8.875" style="10"/>
    <col min="12782" max="12782" width="9.625" style="10" customWidth="1"/>
    <col min="12783" max="12783" width="11.5" style="10" customWidth="1"/>
    <col min="12784" max="12784" width="9" style="10" customWidth="1"/>
    <col min="12785" max="12785" width="13.375" style="10" customWidth="1"/>
    <col min="12786" max="12786" width="10.5" style="10" customWidth="1"/>
    <col min="12787" max="12787" width="12.5" style="10" customWidth="1"/>
    <col min="12788" max="12788" width="13.75" style="10" customWidth="1"/>
    <col min="12789" max="12789" width="8.875" style="10"/>
    <col min="12790" max="12790" width="12.375" style="10" customWidth="1"/>
    <col min="12791" max="12792" width="8.875" style="10"/>
    <col min="12793" max="12793" width="15.625" style="10" bestFit="1" customWidth="1"/>
    <col min="12794" max="12794" width="18.875" style="10" customWidth="1"/>
    <col min="12795" max="13037" width="8.875" style="10"/>
    <col min="13038" max="13038" width="9.625" style="10" customWidth="1"/>
    <col min="13039" max="13039" width="11.5" style="10" customWidth="1"/>
    <col min="13040" max="13040" width="9" style="10" customWidth="1"/>
    <col min="13041" max="13041" width="13.375" style="10" customWidth="1"/>
    <col min="13042" max="13042" width="10.5" style="10" customWidth="1"/>
    <col min="13043" max="13043" width="12.5" style="10" customWidth="1"/>
    <col min="13044" max="13044" width="13.75" style="10" customWidth="1"/>
    <col min="13045" max="13045" width="8.875" style="10"/>
    <col min="13046" max="13046" width="12.375" style="10" customWidth="1"/>
    <col min="13047" max="13048" width="8.875" style="10"/>
    <col min="13049" max="13049" width="15.625" style="10" bestFit="1" customWidth="1"/>
    <col min="13050" max="13050" width="18.875" style="10" customWidth="1"/>
    <col min="13051" max="13293" width="8.875" style="10"/>
    <col min="13294" max="13294" width="9.625" style="10" customWidth="1"/>
    <col min="13295" max="13295" width="11.5" style="10" customWidth="1"/>
    <col min="13296" max="13296" width="9" style="10" customWidth="1"/>
    <col min="13297" max="13297" width="13.375" style="10" customWidth="1"/>
    <col min="13298" max="13298" width="10.5" style="10" customWidth="1"/>
    <col min="13299" max="13299" width="12.5" style="10" customWidth="1"/>
    <col min="13300" max="13300" width="13.75" style="10" customWidth="1"/>
    <col min="13301" max="13301" width="8.875" style="10"/>
    <col min="13302" max="13302" width="12.375" style="10" customWidth="1"/>
    <col min="13303" max="13304" width="8.875" style="10"/>
    <col min="13305" max="13305" width="15.625" style="10" bestFit="1" customWidth="1"/>
    <col min="13306" max="13306" width="18.875" style="10" customWidth="1"/>
    <col min="13307" max="13549" width="8.875" style="10"/>
    <col min="13550" max="13550" width="9.625" style="10" customWidth="1"/>
    <col min="13551" max="13551" width="11.5" style="10" customWidth="1"/>
    <col min="13552" max="13552" width="9" style="10" customWidth="1"/>
    <col min="13553" max="13553" width="13.375" style="10" customWidth="1"/>
    <col min="13554" max="13554" width="10.5" style="10" customWidth="1"/>
    <col min="13555" max="13555" width="12.5" style="10" customWidth="1"/>
    <col min="13556" max="13556" width="13.75" style="10" customWidth="1"/>
    <col min="13557" max="13557" width="8.875" style="10"/>
    <col min="13558" max="13558" width="12.375" style="10" customWidth="1"/>
    <col min="13559" max="13560" width="8.875" style="10"/>
    <col min="13561" max="13561" width="15.625" style="10" bestFit="1" customWidth="1"/>
    <col min="13562" max="13562" width="18.875" style="10" customWidth="1"/>
    <col min="13563" max="13805" width="8.875" style="10"/>
    <col min="13806" max="13806" width="9.625" style="10" customWidth="1"/>
    <col min="13807" max="13807" width="11.5" style="10" customWidth="1"/>
    <col min="13808" max="13808" width="9" style="10" customWidth="1"/>
    <col min="13809" max="13809" width="13.375" style="10" customWidth="1"/>
    <col min="13810" max="13810" width="10.5" style="10" customWidth="1"/>
    <col min="13811" max="13811" width="12.5" style="10" customWidth="1"/>
    <col min="13812" max="13812" width="13.75" style="10" customWidth="1"/>
    <col min="13813" max="13813" width="8.875" style="10"/>
    <col min="13814" max="13814" width="12.375" style="10" customWidth="1"/>
    <col min="13815" max="13816" width="8.875" style="10"/>
    <col min="13817" max="13817" width="15.625" style="10" bestFit="1" customWidth="1"/>
    <col min="13818" max="13818" width="18.875" style="10" customWidth="1"/>
    <col min="13819" max="14061" width="8.875" style="10"/>
    <col min="14062" max="14062" width="9.625" style="10" customWidth="1"/>
    <col min="14063" max="14063" width="11.5" style="10" customWidth="1"/>
    <col min="14064" max="14064" width="9" style="10" customWidth="1"/>
    <col min="14065" max="14065" width="13.375" style="10" customWidth="1"/>
    <col min="14066" max="14066" width="10.5" style="10" customWidth="1"/>
    <col min="14067" max="14067" width="12.5" style="10" customWidth="1"/>
    <col min="14068" max="14068" width="13.75" style="10" customWidth="1"/>
    <col min="14069" max="14069" width="8.875" style="10"/>
    <col min="14070" max="14070" width="12.375" style="10" customWidth="1"/>
    <col min="14071" max="14072" width="8.875" style="10"/>
    <col min="14073" max="14073" width="15.625" style="10" bestFit="1" customWidth="1"/>
    <col min="14074" max="14074" width="18.875" style="10" customWidth="1"/>
    <col min="14075" max="14317" width="8.875" style="10"/>
    <col min="14318" max="14318" width="9.625" style="10" customWidth="1"/>
    <col min="14319" max="14319" width="11.5" style="10" customWidth="1"/>
    <col min="14320" max="14320" width="9" style="10" customWidth="1"/>
    <col min="14321" max="14321" width="13.375" style="10" customWidth="1"/>
    <col min="14322" max="14322" width="10.5" style="10" customWidth="1"/>
    <col min="14323" max="14323" width="12.5" style="10" customWidth="1"/>
    <col min="14324" max="14324" width="13.75" style="10" customWidth="1"/>
    <col min="14325" max="14325" width="8.875" style="10"/>
    <col min="14326" max="14326" width="12.375" style="10" customWidth="1"/>
    <col min="14327" max="14328" width="8.875" style="10"/>
    <col min="14329" max="14329" width="15.625" style="10" bestFit="1" customWidth="1"/>
    <col min="14330" max="14330" width="18.875" style="10" customWidth="1"/>
    <col min="14331" max="14573" width="8.875" style="10"/>
    <col min="14574" max="14574" width="9.625" style="10" customWidth="1"/>
    <col min="14575" max="14575" width="11.5" style="10" customWidth="1"/>
    <col min="14576" max="14576" width="9" style="10" customWidth="1"/>
    <col min="14577" max="14577" width="13.375" style="10" customWidth="1"/>
    <col min="14578" max="14578" width="10.5" style="10" customWidth="1"/>
    <col min="14579" max="14579" width="12.5" style="10" customWidth="1"/>
    <col min="14580" max="14580" width="13.75" style="10" customWidth="1"/>
    <col min="14581" max="14581" width="8.875" style="10"/>
    <col min="14582" max="14582" width="12.375" style="10" customWidth="1"/>
    <col min="14583" max="14584" width="8.875" style="10"/>
    <col min="14585" max="14585" width="15.625" style="10" bestFit="1" customWidth="1"/>
    <col min="14586" max="14586" width="18.875" style="10" customWidth="1"/>
    <col min="14587" max="14829" width="8.875" style="10"/>
    <col min="14830" max="14830" width="9.625" style="10" customWidth="1"/>
    <col min="14831" max="14831" width="11.5" style="10" customWidth="1"/>
    <col min="14832" max="14832" width="9" style="10" customWidth="1"/>
    <col min="14833" max="14833" width="13.375" style="10" customWidth="1"/>
    <col min="14834" max="14834" width="10.5" style="10" customWidth="1"/>
    <col min="14835" max="14835" width="12.5" style="10" customWidth="1"/>
    <col min="14836" max="14836" width="13.75" style="10" customWidth="1"/>
    <col min="14837" max="14837" width="8.875" style="10"/>
    <col min="14838" max="14838" width="12.375" style="10" customWidth="1"/>
    <col min="14839" max="14840" width="8.875" style="10"/>
    <col min="14841" max="14841" width="15.625" style="10" bestFit="1" customWidth="1"/>
    <col min="14842" max="14842" width="18.875" style="10" customWidth="1"/>
    <col min="14843" max="15085" width="8.875" style="10"/>
    <col min="15086" max="15086" width="9.625" style="10" customWidth="1"/>
    <col min="15087" max="15087" width="11.5" style="10" customWidth="1"/>
    <col min="15088" max="15088" width="9" style="10" customWidth="1"/>
    <col min="15089" max="15089" width="13.375" style="10" customWidth="1"/>
    <col min="15090" max="15090" width="10.5" style="10" customWidth="1"/>
    <col min="15091" max="15091" width="12.5" style="10" customWidth="1"/>
    <col min="15092" max="15092" width="13.75" style="10" customWidth="1"/>
    <col min="15093" max="15093" width="8.875" style="10"/>
    <col min="15094" max="15094" width="12.375" style="10" customWidth="1"/>
    <col min="15095" max="15096" width="8.875" style="10"/>
    <col min="15097" max="15097" width="15.625" style="10" bestFit="1" customWidth="1"/>
    <col min="15098" max="15098" width="18.875" style="10" customWidth="1"/>
    <col min="15099" max="15341" width="8.875" style="10"/>
    <col min="15342" max="15342" width="9.625" style="10" customWidth="1"/>
    <col min="15343" max="15343" width="11.5" style="10" customWidth="1"/>
    <col min="15344" max="15344" width="9" style="10" customWidth="1"/>
    <col min="15345" max="15345" width="13.375" style="10" customWidth="1"/>
    <col min="15346" max="15346" width="10.5" style="10" customWidth="1"/>
    <col min="15347" max="15347" width="12.5" style="10" customWidth="1"/>
    <col min="15348" max="15348" width="13.75" style="10" customWidth="1"/>
    <col min="15349" max="15349" width="8.875" style="10"/>
    <col min="15350" max="15350" width="12.375" style="10" customWidth="1"/>
    <col min="15351" max="15352" width="8.875" style="10"/>
    <col min="15353" max="15353" width="15.625" style="10" bestFit="1" customWidth="1"/>
    <col min="15354" max="15354" width="18.875" style="10" customWidth="1"/>
    <col min="15355" max="15597" width="8.875" style="10"/>
    <col min="15598" max="15598" width="9.625" style="10" customWidth="1"/>
    <col min="15599" max="15599" width="11.5" style="10" customWidth="1"/>
    <col min="15600" max="15600" width="9" style="10" customWidth="1"/>
    <col min="15601" max="15601" width="13.375" style="10" customWidth="1"/>
    <col min="15602" max="15602" width="10.5" style="10" customWidth="1"/>
    <col min="15603" max="15603" width="12.5" style="10" customWidth="1"/>
    <col min="15604" max="15604" width="13.75" style="10" customWidth="1"/>
    <col min="15605" max="15605" width="8.875" style="10"/>
    <col min="15606" max="15606" width="12.375" style="10" customWidth="1"/>
    <col min="15607" max="15608" width="8.875" style="10"/>
    <col min="15609" max="15609" width="15.625" style="10" bestFit="1" customWidth="1"/>
    <col min="15610" max="15610" width="18.875" style="10" customWidth="1"/>
    <col min="15611" max="15853" width="8.875" style="10"/>
    <col min="15854" max="15854" width="9.625" style="10" customWidth="1"/>
    <col min="15855" max="15855" width="11.5" style="10" customWidth="1"/>
    <col min="15856" max="15856" width="9" style="10" customWidth="1"/>
    <col min="15857" max="15857" width="13.375" style="10" customWidth="1"/>
    <col min="15858" max="15858" width="10.5" style="10" customWidth="1"/>
    <col min="15859" max="15859" width="12.5" style="10" customWidth="1"/>
    <col min="15860" max="15860" width="13.75" style="10" customWidth="1"/>
    <col min="15861" max="15861" width="8.875" style="10"/>
    <col min="15862" max="15862" width="12.375" style="10" customWidth="1"/>
    <col min="15863" max="15864" width="8.875" style="10"/>
    <col min="15865" max="15865" width="15.625" style="10" bestFit="1" customWidth="1"/>
    <col min="15866" max="15866" width="18.875" style="10" customWidth="1"/>
    <col min="15867" max="16109" width="8.875" style="10"/>
    <col min="16110" max="16110" width="9.625" style="10" customWidth="1"/>
    <col min="16111" max="16111" width="11.5" style="10" customWidth="1"/>
    <col min="16112" max="16112" width="9" style="10" customWidth="1"/>
    <col min="16113" max="16113" width="13.375" style="10" customWidth="1"/>
    <col min="16114" max="16114" width="10.5" style="10" customWidth="1"/>
    <col min="16115" max="16115" width="12.5" style="10" customWidth="1"/>
    <col min="16116" max="16116" width="13.75" style="10" customWidth="1"/>
    <col min="16117" max="16117" width="8.875" style="10"/>
    <col min="16118" max="16118" width="12.375" style="10" customWidth="1"/>
    <col min="16119" max="16120" width="8.875" style="10"/>
    <col min="16121" max="16121" width="15.625" style="10" bestFit="1" customWidth="1"/>
    <col min="16122" max="16122" width="18.875" style="10" customWidth="1"/>
    <col min="16123" max="16384" width="8.875" style="10"/>
  </cols>
  <sheetData>
    <row r="1" spans="1:8" s="9" customFormat="1" x14ac:dyDescent="0.15">
      <c r="A1" s="9" t="s">
        <v>1</v>
      </c>
      <c r="B1" s="9" t="s">
        <v>53</v>
      </c>
      <c r="F1" s="23"/>
    </row>
    <row r="2" spans="1:8" s="9" customFormat="1" x14ac:dyDescent="0.15">
      <c r="A2" s="9" t="s">
        <v>39</v>
      </c>
      <c r="D2" s="9" t="s">
        <v>40</v>
      </c>
      <c r="E2" s="9" t="s">
        <v>85</v>
      </c>
      <c r="F2" s="23" t="s">
        <v>41</v>
      </c>
      <c r="G2" s="9" t="s">
        <v>67</v>
      </c>
      <c r="H2" s="9" t="s">
        <v>64</v>
      </c>
    </row>
    <row r="3" spans="1:8" s="9" customFormat="1" x14ac:dyDescent="0.15">
      <c r="A3" s="9" t="s">
        <v>42</v>
      </c>
      <c r="D3" s="9" t="s">
        <v>43</v>
      </c>
      <c r="E3" s="9" t="s">
        <v>86</v>
      </c>
      <c r="F3" s="23" t="s">
        <v>66</v>
      </c>
      <c r="G3" s="9" t="s">
        <v>88</v>
      </c>
      <c r="H3" s="9" t="s">
        <v>63</v>
      </c>
    </row>
    <row r="4" spans="1:8" s="9" customFormat="1" x14ac:dyDescent="0.15">
      <c r="F4" s="23" t="s">
        <v>65</v>
      </c>
      <c r="G4" s="9" t="s">
        <v>68</v>
      </c>
      <c r="H4" s="9" t="s">
        <v>105</v>
      </c>
    </row>
    <row r="6" spans="1:8" x14ac:dyDescent="0.15">
      <c r="A6" s="9" t="s">
        <v>2</v>
      </c>
      <c r="C6" s="10" t="s">
        <v>246</v>
      </c>
      <c r="D6" s="10">
        <v>101</v>
      </c>
      <c r="F6" s="24" t="s">
        <v>146</v>
      </c>
      <c r="G6" s="10">
        <v>109</v>
      </c>
      <c r="H6" s="10" t="s">
        <v>727</v>
      </c>
    </row>
    <row r="7" spans="1:8" x14ac:dyDescent="0.15">
      <c r="A7" s="9" t="s">
        <v>2</v>
      </c>
      <c r="C7" s="10" t="s">
        <v>628</v>
      </c>
      <c r="D7" s="10">
        <v>102</v>
      </c>
      <c r="F7" s="24" t="s">
        <v>243</v>
      </c>
      <c r="G7" s="10">
        <v>0</v>
      </c>
      <c r="H7" s="10" t="s">
        <v>627</v>
      </c>
    </row>
    <row r="8" spans="1:8" x14ac:dyDescent="0.15">
      <c r="A8" s="9" t="s">
        <v>2</v>
      </c>
      <c r="C8" s="10" t="s">
        <v>529</v>
      </c>
      <c r="D8" s="10">
        <v>103</v>
      </c>
      <c r="F8" s="24" t="s">
        <v>243</v>
      </c>
      <c r="G8" s="10">
        <v>0</v>
      </c>
      <c r="H8" s="10" t="s">
        <v>545</v>
      </c>
    </row>
    <row r="9" spans="1:8" x14ac:dyDescent="0.15">
      <c r="A9" s="9" t="s">
        <v>2</v>
      </c>
      <c r="C9" s="10" t="s">
        <v>629</v>
      </c>
      <c r="D9" s="10">
        <v>104</v>
      </c>
      <c r="F9" s="24" t="s">
        <v>243</v>
      </c>
      <c r="G9" s="10">
        <v>0</v>
      </c>
      <c r="H9" s="10" t="s">
        <v>604</v>
      </c>
    </row>
    <row r="11" spans="1:8" x14ac:dyDescent="0.15">
      <c r="A11" s="9" t="s">
        <v>2</v>
      </c>
      <c r="C11" s="10" t="s">
        <v>631</v>
      </c>
      <c r="D11" s="10">
        <v>201</v>
      </c>
      <c r="F11" s="24" t="s">
        <v>146</v>
      </c>
      <c r="G11" s="10">
        <v>0</v>
      </c>
      <c r="H11" s="10" t="s">
        <v>705</v>
      </c>
    </row>
    <row r="12" spans="1:8" x14ac:dyDescent="0.15">
      <c r="A12" s="9" t="s">
        <v>2</v>
      </c>
      <c r="C12" s="10" t="s">
        <v>635</v>
      </c>
      <c r="D12" s="10">
        <v>202</v>
      </c>
      <c r="F12" s="24" t="s">
        <v>146</v>
      </c>
      <c r="G12" s="10">
        <v>110</v>
      </c>
      <c r="H12" s="10" t="s">
        <v>636</v>
      </c>
    </row>
    <row r="14" spans="1:8" x14ac:dyDescent="0.15">
      <c r="A14" s="9" t="s">
        <v>44</v>
      </c>
      <c r="D14" s="10">
        <v>401</v>
      </c>
      <c r="H14" s="10" t="s">
        <v>145</v>
      </c>
    </row>
    <row r="16" spans="1:8" x14ac:dyDescent="0.15">
      <c r="A16" s="9" t="s">
        <v>27</v>
      </c>
      <c r="C16" s="10" t="s">
        <v>223</v>
      </c>
      <c r="D16" s="10">
        <v>404</v>
      </c>
      <c r="F16" s="26" t="s">
        <v>226</v>
      </c>
      <c r="G16" s="10">
        <v>0</v>
      </c>
      <c r="H16" s="10" t="s">
        <v>704</v>
      </c>
    </row>
    <row r="18" spans="1:8" x14ac:dyDescent="0.15">
      <c r="B18" s="10" t="s">
        <v>224</v>
      </c>
    </row>
    <row r="19" spans="1:8" x14ac:dyDescent="0.15">
      <c r="A19" s="9" t="s">
        <v>2</v>
      </c>
      <c r="C19" s="10" t="s">
        <v>228</v>
      </c>
      <c r="D19" s="10">
        <v>1001</v>
      </c>
      <c r="F19" s="26" t="s">
        <v>230</v>
      </c>
      <c r="G19" s="10">
        <v>0</v>
      </c>
      <c r="H19" s="10" t="s">
        <v>229</v>
      </c>
    </row>
    <row r="20" spans="1:8" x14ac:dyDescent="0.15">
      <c r="A20" s="9" t="s">
        <v>2</v>
      </c>
      <c r="C20" s="10" t="s">
        <v>272</v>
      </c>
      <c r="D20" s="10">
        <v>1002</v>
      </c>
      <c r="F20" s="26" t="s">
        <v>230</v>
      </c>
      <c r="G20" s="10">
        <v>0</v>
      </c>
      <c r="H20" s="10" t="s">
        <v>274</v>
      </c>
    </row>
    <row r="21" spans="1:8" x14ac:dyDescent="0.15">
      <c r="A21" s="9" t="s">
        <v>270</v>
      </c>
      <c r="C21" s="10" t="s">
        <v>273</v>
      </c>
      <c r="D21" s="10">
        <v>1003</v>
      </c>
      <c r="F21" s="26" t="s">
        <v>271</v>
      </c>
      <c r="G21" s="10">
        <v>0</v>
      </c>
      <c r="H21" s="10" t="s">
        <v>275</v>
      </c>
    </row>
    <row r="22" spans="1:8" x14ac:dyDescent="0.15">
      <c r="F22" s="26"/>
    </row>
    <row r="23" spans="1:8" x14ac:dyDescent="0.15">
      <c r="F23" s="26"/>
    </row>
    <row r="25" spans="1:8" x14ac:dyDescent="0.15">
      <c r="A25" s="9" t="s">
        <v>45</v>
      </c>
    </row>
    <row r="26" spans="1:8" x14ac:dyDescent="0.15">
      <c r="A26" s="9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234"/>
  <sheetViews>
    <sheetView topLeftCell="A80" zoomScale="85" zoomScaleNormal="85" workbookViewId="0">
      <selection activeCell="J105" sqref="J105"/>
    </sheetView>
  </sheetViews>
  <sheetFormatPr defaultColWidth="8.875" defaultRowHeight="16.5" x14ac:dyDescent="0.15"/>
  <cols>
    <col min="1" max="1" width="8.875" style="11"/>
    <col min="2" max="2" width="8.875" style="15"/>
    <col min="3" max="3" width="19.5" style="15" customWidth="1"/>
    <col min="4" max="4" width="6.5" style="15" bestFit="1" customWidth="1"/>
    <col min="5" max="5" width="12.75" style="15" customWidth="1"/>
    <col min="6" max="6" width="17.25" style="16" bestFit="1" customWidth="1"/>
    <col min="7" max="9" width="15" style="16" bestFit="1" customWidth="1"/>
    <col min="10" max="11" width="16.125" style="15" bestFit="1" customWidth="1"/>
    <col min="12" max="12" width="11.125" style="15" bestFit="1" customWidth="1"/>
    <col min="13" max="13" width="17.25" style="15" customWidth="1"/>
    <col min="14" max="15" width="8.875" style="15"/>
    <col min="16" max="16" width="15.125" style="15" bestFit="1" customWidth="1"/>
    <col min="17" max="16384" width="8.875" style="15"/>
  </cols>
  <sheetData>
    <row r="1" spans="1:27" s="11" customFormat="1" x14ac:dyDescent="0.15">
      <c r="A1" s="11" t="s">
        <v>32</v>
      </c>
      <c r="B1" s="11" t="s">
        <v>33</v>
      </c>
      <c r="F1" s="12"/>
      <c r="G1" s="12"/>
      <c r="H1" s="12"/>
      <c r="I1" s="12"/>
    </row>
    <row r="2" spans="1:27" s="11" customFormat="1" x14ac:dyDescent="0.15">
      <c r="C2" s="11" t="s">
        <v>144</v>
      </c>
      <c r="F2" s="12"/>
      <c r="G2" s="12"/>
      <c r="H2" s="12"/>
      <c r="I2" s="12"/>
      <c r="L2" s="11" t="s">
        <v>98</v>
      </c>
    </row>
    <row r="3" spans="1:27" s="11" customFormat="1" x14ac:dyDescent="0.15">
      <c r="A3" s="11" t="s">
        <v>34</v>
      </c>
      <c r="D3" s="11" t="s">
        <v>35</v>
      </c>
      <c r="E3" s="11" t="s">
        <v>6</v>
      </c>
      <c r="F3" s="12" t="s">
        <v>57</v>
      </c>
      <c r="G3" s="12" t="s">
        <v>57</v>
      </c>
      <c r="H3" s="12" t="s">
        <v>57</v>
      </c>
      <c r="I3" s="12" t="s">
        <v>57</v>
      </c>
      <c r="J3" s="12" t="s">
        <v>57</v>
      </c>
      <c r="K3" s="12" t="s">
        <v>57</v>
      </c>
      <c r="L3" s="12" t="s">
        <v>25</v>
      </c>
      <c r="M3" s="12" t="s">
        <v>25</v>
      </c>
      <c r="N3" s="12" t="s">
        <v>25</v>
      </c>
      <c r="O3" s="12" t="s">
        <v>25</v>
      </c>
      <c r="P3" s="12" t="s">
        <v>25</v>
      </c>
      <c r="Q3" s="12" t="s">
        <v>25</v>
      </c>
      <c r="R3" s="12" t="s">
        <v>25</v>
      </c>
      <c r="S3" s="12" t="s">
        <v>25</v>
      </c>
      <c r="T3" s="12" t="s">
        <v>25</v>
      </c>
      <c r="U3" s="12" t="s">
        <v>25</v>
      </c>
      <c r="V3" s="12" t="s">
        <v>25</v>
      </c>
      <c r="W3" s="12" t="s">
        <v>25</v>
      </c>
      <c r="X3" s="12" t="s">
        <v>25</v>
      </c>
      <c r="Y3" s="12" t="s">
        <v>25</v>
      </c>
    </row>
    <row r="4" spans="1:27" s="11" customFormat="1" x14ac:dyDescent="0.15">
      <c r="A4" s="11" t="s">
        <v>36</v>
      </c>
      <c r="D4" s="11" t="s">
        <v>37</v>
      </c>
      <c r="E4" s="11" t="s">
        <v>18</v>
      </c>
      <c r="F4" s="12" t="s">
        <v>54</v>
      </c>
      <c r="G4" s="12" t="s">
        <v>55</v>
      </c>
      <c r="H4" s="12" t="s">
        <v>56</v>
      </c>
      <c r="I4" s="12" t="s">
        <v>59</v>
      </c>
      <c r="J4" s="12" t="s">
        <v>94</v>
      </c>
      <c r="K4" s="12" t="s">
        <v>95</v>
      </c>
      <c r="L4" s="12" t="s">
        <v>206</v>
      </c>
      <c r="M4" s="12" t="s">
        <v>207</v>
      </c>
      <c r="N4" s="12" t="s">
        <v>208</v>
      </c>
      <c r="O4" s="12" t="s">
        <v>209</v>
      </c>
      <c r="P4" s="12" t="s">
        <v>210</v>
      </c>
      <c r="Q4" s="12" t="s">
        <v>585</v>
      </c>
      <c r="R4" s="12" t="s">
        <v>586</v>
      </c>
      <c r="S4" s="12" t="s">
        <v>587</v>
      </c>
      <c r="T4" s="12" t="s">
        <v>588</v>
      </c>
      <c r="U4" s="12" t="s">
        <v>589</v>
      </c>
      <c r="V4" s="12" t="s">
        <v>590</v>
      </c>
      <c r="W4" s="12" t="s">
        <v>591</v>
      </c>
      <c r="X4" s="12" t="s">
        <v>592</v>
      </c>
      <c r="Y4" s="12" t="s">
        <v>593</v>
      </c>
    </row>
    <row r="5" spans="1:27" s="13" customFormat="1" ht="66" x14ac:dyDescent="0.15">
      <c r="E5" s="13" t="s">
        <v>38</v>
      </c>
      <c r="F5" s="14" t="s">
        <v>58</v>
      </c>
      <c r="G5" s="14" t="s">
        <v>60</v>
      </c>
      <c r="H5" s="14" t="s">
        <v>61</v>
      </c>
      <c r="I5" s="14" t="s">
        <v>62</v>
      </c>
      <c r="J5" s="14" t="s">
        <v>96</v>
      </c>
      <c r="K5" s="14" t="s">
        <v>97</v>
      </c>
      <c r="L5" s="14" t="s">
        <v>211</v>
      </c>
      <c r="M5" s="14" t="s">
        <v>212</v>
      </c>
      <c r="N5" s="14" t="s">
        <v>213</v>
      </c>
      <c r="O5" s="14" t="s">
        <v>214</v>
      </c>
      <c r="P5" s="14" t="s">
        <v>215</v>
      </c>
      <c r="Q5" s="14" t="s">
        <v>594</v>
      </c>
      <c r="R5" s="14" t="s">
        <v>595</v>
      </c>
      <c r="S5" s="14" t="s">
        <v>596</v>
      </c>
      <c r="T5" s="14" t="s">
        <v>597</v>
      </c>
      <c r="U5" s="14" t="s">
        <v>598</v>
      </c>
      <c r="V5" s="14" t="s">
        <v>599</v>
      </c>
      <c r="W5" s="14" t="s">
        <v>600</v>
      </c>
      <c r="X5" s="14" t="s">
        <v>601</v>
      </c>
      <c r="Y5" s="14" t="s">
        <v>602</v>
      </c>
    </row>
    <row r="6" spans="1:27" s="25" customFormat="1" ht="20.100000000000001" customHeight="1" x14ac:dyDescent="0.15">
      <c r="A6" s="11" t="str">
        <f>IF(D6="","","DATA")</f>
        <v>DATA</v>
      </c>
      <c r="D6" s="15">
        <f>IF(掉落_design!C6="","",掉落_design!C6)</f>
        <v>0</v>
      </c>
      <c r="E6" s="15">
        <f>IF(A6="","",掉落_design!D6)</f>
        <v>1</v>
      </c>
      <c r="F6" s="16" t="str">
        <f ca="1">IF(OFFSET(掉落_design!$E6,0,掉落_design!E$2,1,1)="","",OFFSET(掉落_design!$E6,0,掉落_design!E$2,1,1)&amp;";"&amp;OFFSET(掉落_design!$E6,0,掉落_design!E$2+1,1,1)&amp;";"&amp;OFFSET(掉落_design!$E6,0,掉落_design!E$2+2,1,1)&amp;";"&amp;OFFSET(掉落_design!$E6,0,掉落_design!E$2+3,1,1))</f>
        <v>1001;0;0;10000</v>
      </c>
      <c r="G6" s="16" t="str">
        <f ca="1">IF(OFFSET(掉落_design!$E6,0,掉落_design!F$2,1,1)="","",OFFSET(掉落_design!$E6,0,掉落_design!F$2,1,1)&amp;";"&amp;OFFSET(掉落_design!$E6,0,掉落_design!F$2+1,1,1)&amp;";"&amp;OFFSET(掉落_design!$E6,0,掉落_design!F$2+2,1,1)&amp;";"&amp;OFFSET(掉落_design!$E6,0,掉落_design!F$2+3,1,1))</f>
        <v/>
      </c>
      <c r="H6" s="16" t="str">
        <f ca="1">IF(OFFSET(掉落_design!$E6,0,掉落_design!G$2,1,1)="","",OFFSET(掉落_design!$E6,0,掉落_design!G$2,1,1)&amp;";"&amp;OFFSET(掉落_design!$E6,0,掉落_design!G$2+1,1,1)&amp;";"&amp;OFFSET(掉落_design!$E6,0,掉落_design!G$2+2,1,1)&amp;";"&amp;OFFSET(掉落_design!$E6,0,掉落_design!G$2+3,1,1))</f>
        <v/>
      </c>
      <c r="I6" s="16" t="str">
        <f ca="1">IF(OFFSET(掉落_design!$E6,0,掉落_design!H$2,1,1)="","",OFFSET(掉落_design!$E6,0,掉落_design!H$2,1,1)&amp;";"&amp;OFFSET(掉落_design!$E6,0,掉落_design!H$2+1,1,1)&amp;";"&amp;OFFSET(掉落_design!$E6,0,掉落_design!H$2+2,1,1)&amp;";"&amp;OFFSET(掉落_design!$E6,0,掉落_design!H$2+3,1,1))</f>
        <v/>
      </c>
      <c r="J6" s="16" t="str">
        <f ca="1">IF(OFFSET(掉落_design!$E6,0,掉落_design!I$2,1,1)="","",OFFSET(掉落_design!$E6,0,掉落_design!I$2,1,1)&amp;";"&amp;OFFSET(掉落_design!$E6,0,掉落_design!I$2+1,1,1)&amp;";"&amp;OFFSET(掉落_design!$E6,0,掉落_design!I$2+2,1,1)&amp;";"&amp;OFFSET(掉落_design!$E6,0,掉落_design!I$2+3,1,1))</f>
        <v/>
      </c>
      <c r="K6" s="16" t="str">
        <f ca="1">IF(OFFSET(掉落_design!$E6,0,掉落_design!J$2,1,1)="","",OFFSET(掉落_design!$E6,0,掉落_design!J$2,1,1)&amp;";"&amp;OFFSET(掉落_design!$E6,0,掉落_design!J$2+1,1,1)&amp;";"&amp;OFFSET(掉落_design!$E6,0,掉落_design!J$2+2,1,1)&amp;";"&amp;OFFSET(掉落_design!$E6,0,掉落_design!J$2+3,1,1))</f>
        <v/>
      </c>
      <c r="L6" s="16" t="str">
        <f ca="1">IF(OFFSET(掉落_design!$E6,0,掉落_design!K$2,1,1)="","",OFFSET(掉落_design!$E6,0,掉落_design!K$2,1,1)&amp;";"&amp;OFFSET(掉落_design!$E6,0,掉落_design!K$2+1,1,1)&amp;";"&amp;OFFSET(掉落_design!$E6,0,掉落_design!K$2+2,1,1)&amp;";"&amp;OFFSET(掉落_design!$E6,0,掉落_design!K$2+3,1,1))</f>
        <v/>
      </c>
      <c r="M6" s="16" t="str">
        <f ca="1">IF(OFFSET(掉落_design!$E6,0,掉落_design!L$2,1,1)="","",OFFSET(掉落_design!$E6,0,掉落_design!L$2,1,1)&amp;";"&amp;OFFSET(掉落_design!$E6,0,掉落_design!L$2+1,1,1)&amp;";"&amp;OFFSET(掉落_design!$E6,0,掉落_design!L$2+2,1,1)&amp;";"&amp;OFFSET(掉落_design!$E6,0,掉落_design!L$2+3,1,1))</f>
        <v/>
      </c>
      <c r="N6" s="16" t="str">
        <f ca="1">IF(OFFSET(掉落_design!$E6,0,掉落_design!M$2,1,1)="","",OFFSET(掉落_design!$E6,0,掉落_design!M$2,1,1)&amp;";"&amp;OFFSET(掉落_design!$E6,0,掉落_design!M$2+1,1,1)&amp;";"&amp;OFFSET(掉落_design!$E6,0,掉落_design!M$2+2,1,1)&amp;";"&amp;OFFSET(掉落_design!$E6,0,掉落_design!M$2+3,1,1))</f>
        <v/>
      </c>
      <c r="O6" s="16" t="str">
        <f ca="1">IF(OFFSET(掉落_design!$E6,0,掉落_design!N$2,1,1)="","",OFFSET(掉落_design!$E6,0,掉落_design!N$2,1,1)&amp;";"&amp;OFFSET(掉落_design!$E6,0,掉落_design!N$2+1,1,1)&amp;";"&amp;OFFSET(掉落_design!$E6,0,掉落_design!N$2+2,1,1)&amp;";"&amp;OFFSET(掉落_design!$E6,0,掉落_design!N$2+3,1,1))</f>
        <v/>
      </c>
      <c r="P6" s="16" t="str">
        <f ca="1">IF(OFFSET(掉落_design!$E6,0,掉落_design!O$2,1,1)="","",OFFSET(掉落_design!$E6,0,掉落_design!O$2,1,1)&amp;";"&amp;OFFSET(掉落_design!$E6,0,掉落_design!O$2+1,1,1)&amp;";"&amp;OFFSET(掉落_design!$E6,0,掉落_design!O$2+2,1,1)&amp;";"&amp;OFFSET(掉落_design!$E6,0,掉落_design!O$2+3,1,1))</f>
        <v/>
      </c>
      <c r="Q6" s="16" t="str">
        <f ca="1">IF(OFFSET(掉落_design!$E6,0,掉落_design!P$2,1,1)="","",OFFSET(掉落_design!$E6,0,掉落_design!P$2,1,1)&amp;";"&amp;OFFSET(掉落_design!$E6,0,掉落_design!P$2+1,1,1)&amp;";"&amp;OFFSET(掉落_design!$E6,0,掉落_design!P$2+2,1,1)&amp;";"&amp;OFFSET(掉落_design!$E6,0,掉落_design!P$2+3,1,1))</f>
        <v/>
      </c>
      <c r="R6" s="16" t="str">
        <f ca="1">IF(OFFSET(掉落_design!$E6,0,掉落_design!Q$2,1,1)="","",OFFSET(掉落_design!$E6,0,掉落_design!Q$2,1,1)&amp;";"&amp;OFFSET(掉落_design!$E6,0,掉落_design!Q$2+1,1,1)&amp;";"&amp;OFFSET(掉落_design!$E6,0,掉落_design!Q$2+2,1,1)&amp;";"&amp;OFFSET(掉落_design!$E6,0,掉落_design!Q$2+3,1,1))</f>
        <v/>
      </c>
      <c r="S6" s="16" t="str">
        <f ca="1">IF(OFFSET(掉落_design!$E6,0,掉落_design!R$2,1,1)="","",OFFSET(掉落_design!$E6,0,掉落_design!R$2,1,1)&amp;";"&amp;OFFSET(掉落_design!$E6,0,掉落_design!R$2+1,1,1)&amp;";"&amp;OFFSET(掉落_design!$E6,0,掉落_design!R$2+2,1,1)&amp;";"&amp;OFFSET(掉落_design!$E6,0,掉落_design!R$2+3,1,1))</f>
        <v/>
      </c>
      <c r="T6" s="16" t="str">
        <f ca="1">IF(OFFSET(掉落_design!$E6,0,掉落_design!S$2,1,1)="","",OFFSET(掉落_design!$E6,0,掉落_design!S$2,1,1)&amp;";"&amp;OFFSET(掉落_design!$E6,0,掉落_design!S$2+1,1,1)&amp;";"&amp;OFFSET(掉落_design!$E6,0,掉落_design!S$2+2,1,1)&amp;";"&amp;OFFSET(掉落_design!$E6,0,掉落_design!S$2+3,1,1))</f>
        <v/>
      </c>
      <c r="U6" s="16" t="str">
        <f ca="1">IF(OFFSET(掉落_design!$E6,0,掉落_design!T$2,1,1)="","",OFFSET(掉落_design!$E6,0,掉落_design!T$2,1,1)&amp;";"&amp;OFFSET(掉落_design!$E6,0,掉落_design!T$2+1,1,1)&amp;";"&amp;OFFSET(掉落_design!$E6,0,掉落_design!T$2+2,1,1)&amp;";"&amp;OFFSET(掉落_design!$E6,0,掉落_design!T$2+3,1,1))</f>
        <v/>
      </c>
      <c r="V6" s="16" t="str">
        <f ca="1">IF(OFFSET(掉落_design!$E6,0,掉落_design!U$2,1,1)="","",OFFSET(掉落_design!$E6,0,掉落_design!U$2,1,1)&amp;";"&amp;OFFSET(掉落_design!$E6,0,掉落_design!U$2+1,1,1)&amp;";"&amp;OFFSET(掉落_design!$E6,0,掉落_design!U$2+2,1,1)&amp;";"&amp;OFFSET(掉落_design!$E6,0,掉落_design!U$2+3,1,1))</f>
        <v/>
      </c>
      <c r="W6" s="16" t="str">
        <f ca="1">IF(OFFSET(掉落_design!$E6,0,掉落_design!V$2,1,1)="","",OFFSET(掉落_design!$E6,0,掉落_design!V$2,1,1)&amp;";"&amp;OFFSET(掉落_design!$E6,0,掉落_design!V$2+1,1,1)&amp;";"&amp;OFFSET(掉落_design!$E6,0,掉落_design!V$2+2,1,1)&amp;";"&amp;OFFSET(掉落_design!$E6,0,掉落_design!V$2+3,1,1))</f>
        <v/>
      </c>
      <c r="X6" s="16" t="str">
        <f ca="1">IF(OFFSET(掉落_design!$E6,0,掉落_design!W$2,1,1)="","",OFFSET(掉落_design!$E6,0,掉落_design!W$2,1,1)&amp;";"&amp;OFFSET(掉落_design!$E6,0,掉落_design!W$2+1,1,1)&amp;";"&amp;OFFSET(掉落_design!$E6,0,掉落_design!W$2+2,1,1)&amp;";"&amp;OFFSET(掉落_design!$E6,0,掉落_design!W$2+3,1,1))</f>
        <v/>
      </c>
      <c r="Y6" s="16" t="str">
        <f ca="1">IF(OFFSET(掉落_design!$E6,0,掉落_design!X$2,1,1)="","",OFFSET(掉落_design!$E6,0,掉落_design!X$2,1,1)&amp;";"&amp;OFFSET(掉落_design!$E6,0,掉落_design!X$2+1,1,1)&amp;";"&amp;OFFSET(掉落_design!$E6,0,掉落_design!X$2+2,1,1)&amp;";"&amp;OFFSET(掉落_design!$E6,0,掉落_design!X$2+3,1,1))</f>
        <v/>
      </c>
    </row>
    <row r="7" spans="1:27" s="25" customFormat="1" ht="20.100000000000001" customHeight="1" x14ac:dyDescent="0.15">
      <c r="A7" s="11" t="str">
        <f t="shared" ref="A7:A65" si="0">IF(D7="","","DATA")</f>
        <v>DATA</v>
      </c>
      <c r="D7" s="15">
        <f>IF(掉落_design!C7="","",掉落_design!C7)</f>
        <v>1</v>
      </c>
      <c r="E7" s="15">
        <f>IF(A7="","",掉落_design!D7)</f>
        <v>1</v>
      </c>
      <c r="F7" s="16" t="str">
        <f ca="1">IF(OFFSET(掉落_design!$E7,0,掉落_design!E$2,1,1)="","",OFFSET(掉落_design!$E7,0,掉落_design!E$2,1,1)&amp;";"&amp;OFFSET(掉落_design!$E7,0,掉落_design!E$2+1,1,1)&amp;";"&amp;OFFSET(掉落_design!$E7,0,掉落_design!E$2+2,1,1)&amp;";"&amp;OFFSET(掉落_design!$E7,0,掉落_design!E$2+3,1,1))</f>
        <v>1001;999999;999999;10000</v>
      </c>
      <c r="G7" s="16" t="str">
        <f ca="1">IF(OFFSET(掉落_design!$E7,0,掉落_design!F$2,1,1)="","",OFFSET(掉落_design!$E7,0,掉落_design!F$2,1,1)&amp;";"&amp;OFFSET(掉落_design!$E7,0,掉落_design!F$2+1,1,1)&amp;";"&amp;OFFSET(掉落_design!$E7,0,掉落_design!F$2+2,1,1)&amp;";"&amp;OFFSET(掉落_design!$E7,0,掉落_design!F$2+3,1,1))</f>
        <v>1000;999999;999999;10000</v>
      </c>
      <c r="H7" s="16" t="str">
        <f ca="1">IF(OFFSET(掉落_design!$E7,0,掉落_design!G$2,1,1)="","",OFFSET(掉落_design!$E7,0,掉落_design!G$2,1,1)&amp;";"&amp;OFFSET(掉落_design!$E7,0,掉落_design!G$2+1,1,1)&amp;";"&amp;OFFSET(掉落_design!$E7,0,掉落_design!G$2+2,1,1)&amp;";"&amp;OFFSET(掉落_design!$E7,0,掉落_design!G$2+3,1,1))</f>
        <v/>
      </c>
      <c r="I7" s="16" t="str">
        <f ca="1">IF(OFFSET(掉落_design!$E7,0,掉落_design!H$2,1,1)="","",OFFSET(掉落_design!$E7,0,掉落_design!H$2,1,1)&amp;";"&amp;OFFSET(掉落_design!$E7,0,掉落_design!H$2+1,1,1)&amp;";"&amp;OFFSET(掉落_design!$E7,0,掉落_design!H$2+2,1,1)&amp;";"&amp;OFFSET(掉落_design!$E7,0,掉落_design!H$2+3,1,1))</f>
        <v/>
      </c>
      <c r="J7" s="16" t="str">
        <f ca="1">IF(OFFSET(掉落_design!$E7,0,掉落_design!I$2,1,1)="","",OFFSET(掉落_design!$E7,0,掉落_design!I$2,1,1)&amp;";"&amp;OFFSET(掉落_design!$E7,0,掉落_design!I$2+1,1,1)&amp;";"&amp;OFFSET(掉落_design!$E7,0,掉落_design!I$2+2,1,1)&amp;";"&amp;OFFSET(掉落_design!$E7,0,掉落_design!I$2+3,1,1))</f>
        <v/>
      </c>
      <c r="K7" s="16" t="str">
        <f ca="1">IF(OFFSET(掉落_design!$E7,0,掉落_design!J$2,1,1)="","",OFFSET(掉落_design!$E7,0,掉落_design!J$2,1,1)&amp;";"&amp;OFFSET(掉落_design!$E7,0,掉落_design!J$2+1,1,1)&amp;";"&amp;OFFSET(掉落_design!$E7,0,掉落_design!J$2+2,1,1)&amp;";"&amp;OFFSET(掉落_design!$E7,0,掉落_design!J$2+3,1,1))</f>
        <v/>
      </c>
      <c r="L7" s="16" t="str">
        <f ca="1">IF(OFFSET(掉落_design!$E7,0,掉落_design!K$2,1,1)="","",OFFSET(掉落_design!$E7,0,掉落_design!K$2,1,1)&amp;";"&amp;OFFSET(掉落_design!$E7,0,掉落_design!K$2+1,1,1)&amp;";"&amp;OFFSET(掉落_design!$E7,0,掉落_design!K$2+2,1,1)&amp;";"&amp;OFFSET(掉落_design!$E7,0,掉落_design!K$2+3,1,1))</f>
        <v/>
      </c>
      <c r="M7" s="16" t="str">
        <f ca="1">IF(OFFSET(掉落_design!$E7,0,掉落_design!L$2,1,1)="","",OFFSET(掉落_design!$E7,0,掉落_design!L$2,1,1)&amp;";"&amp;OFFSET(掉落_design!$E7,0,掉落_design!L$2+1,1,1)&amp;";"&amp;OFFSET(掉落_design!$E7,0,掉落_design!L$2+2,1,1)&amp;";"&amp;OFFSET(掉落_design!$E7,0,掉落_design!L$2+3,1,1))</f>
        <v/>
      </c>
      <c r="N7" s="16" t="str">
        <f ca="1">IF(OFFSET(掉落_design!$E7,0,掉落_design!M$2,1,1)="","",OFFSET(掉落_design!$E7,0,掉落_design!M$2,1,1)&amp;";"&amp;OFFSET(掉落_design!$E7,0,掉落_design!M$2+1,1,1)&amp;";"&amp;OFFSET(掉落_design!$E7,0,掉落_design!M$2+2,1,1)&amp;";"&amp;OFFSET(掉落_design!$E7,0,掉落_design!M$2+3,1,1))</f>
        <v/>
      </c>
      <c r="O7" s="16" t="str">
        <f ca="1">IF(OFFSET(掉落_design!$E7,0,掉落_design!N$2,1,1)="","",OFFSET(掉落_design!$E7,0,掉落_design!N$2,1,1)&amp;";"&amp;OFFSET(掉落_design!$E7,0,掉落_design!N$2+1,1,1)&amp;";"&amp;OFFSET(掉落_design!$E7,0,掉落_design!N$2+2,1,1)&amp;";"&amp;OFFSET(掉落_design!$E7,0,掉落_design!N$2+3,1,1))</f>
        <v/>
      </c>
      <c r="P7" s="16" t="str">
        <f ca="1">IF(OFFSET(掉落_design!$E7,0,掉落_design!O$2,1,1)="","",OFFSET(掉落_design!$E7,0,掉落_design!O$2,1,1)&amp;";"&amp;OFFSET(掉落_design!$E7,0,掉落_design!O$2+1,1,1)&amp;";"&amp;OFFSET(掉落_design!$E7,0,掉落_design!O$2+2,1,1)&amp;";"&amp;OFFSET(掉落_design!$E7,0,掉落_design!O$2+3,1,1))</f>
        <v/>
      </c>
      <c r="Q7" s="16" t="str">
        <f ca="1">IF(OFFSET(掉落_design!$E7,0,掉落_design!P$2,1,1)="","",OFFSET(掉落_design!$E7,0,掉落_design!P$2,1,1)&amp;";"&amp;OFFSET(掉落_design!$E7,0,掉落_design!P$2+1,1,1)&amp;";"&amp;OFFSET(掉落_design!$E7,0,掉落_design!P$2+2,1,1)&amp;";"&amp;OFFSET(掉落_design!$E7,0,掉落_design!P$2+3,1,1))</f>
        <v/>
      </c>
      <c r="R7" s="16" t="str">
        <f ca="1">IF(OFFSET(掉落_design!$E7,0,掉落_design!Q$2,1,1)="","",OFFSET(掉落_design!$E7,0,掉落_design!Q$2,1,1)&amp;";"&amp;OFFSET(掉落_design!$E7,0,掉落_design!Q$2+1,1,1)&amp;";"&amp;OFFSET(掉落_design!$E7,0,掉落_design!Q$2+2,1,1)&amp;";"&amp;OFFSET(掉落_design!$E7,0,掉落_design!Q$2+3,1,1))</f>
        <v/>
      </c>
      <c r="S7" s="16" t="str">
        <f ca="1">IF(OFFSET(掉落_design!$E7,0,掉落_design!R$2,1,1)="","",OFFSET(掉落_design!$E7,0,掉落_design!R$2,1,1)&amp;";"&amp;OFFSET(掉落_design!$E7,0,掉落_design!R$2+1,1,1)&amp;";"&amp;OFFSET(掉落_design!$E7,0,掉落_design!R$2+2,1,1)&amp;";"&amp;OFFSET(掉落_design!$E7,0,掉落_design!R$2+3,1,1))</f>
        <v/>
      </c>
      <c r="T7" s="16" t="str">
        <f ca="1">IF(OFFSET(掉落_design!$E7,0,掉落_design!S$2,1,1)="","",OFFSET(掉落_design!$E7,0,掉落_design!S$2,1,1)&amp;";"&amp;OFFSET(掉落_design!$E7,0,掉落_design!S$2+1,1,1)&amp;";"&amp;OFFSET(掉落_design!$E7,0,掉落_design!S$2+2,1,1)&amp;";"&amp;OFFSET(掉落_design!$E7,0,掉落_design!S$2+3,1,1))</f>
        <v/>
      </c>
      <c r="U7" s="16" t="str">
        <f ca="1">IF(OFFSET(掉落_design!$E7,0,掉落_design!T$2,1,1)="","",OFFSET(掉落_design!$E7,0,掉落_design!T$2,1,1)&amp;";"&amp;OFFSET(掉落_design!$E7,0,掉落_design!T$2+1,1,1)&amp;";"&amp;OFFSET(掉落_design!$E7,0,掉落_design!T$2+2,1,1)&amp;";"&amp;OFFSET(掉落_design!$E7,0,掉落_design!T$2+3,1,1))</f>
        <v/>
      </c>
      <c r="V7" s="16" t="str">
        <f ca="1">IF(OFFSET(掉落_design!$E7,0,掉落_design!U$2,1,1)="","",OFFSET(掉落_design!$E7,0,掉落_design!U$2,1,1)&amp;";"&amp;OFFSET(掉落_design!$E7,0,掉落_design!U$2+1,1,1)&amp;";"&amp;OFFSET(掉落_design!$E7,0,掉落_design!U$2+2,1,1)&amp;";"&amp;OFFSET(掉落_design!$E7,0,掉落_design!U$2+3,1,1))</f>
        <v/>
      </c>
      <c r="W7" s="16" t="str">
        <f ca="1">IF(OFFSET(掉落_design!$E7,0,掉落_design!V$2,1,1)="","",OFFSET(掉落_design!$E7,0,掉落_design!V$2,1,1)&amp;";"&amp;OFFSET(掉落_design!$E7,0,掉落_design!V$2+1,1,1)&amp;";"&amp;OFFSET(掉落_design!$E7,0,掉落_design!V$2+2,1,1)&amp;";"&amp;OFFSET(掉落_design!$E7,0,掉落_design!V$2+3,1,1))</f>
        <v/>
      </c>
      <c r="X7" s="16" t="str">
        <f ca="1">IF(OFFSET(掉落_design!$E7,0,掉落_design!W$2,1,1)="","",OFFSET(掉落_design!$E7,0,掉落_design!W$2,1,1)&amp;";"&amp;OFFSET(掉落_design!$E7,0,掉落_design!W$2+1,1,1)&amp;";"&amp;OFFSET(掉落_design!$E7,0,掉落_design!W$2+2,1,1)&amp;";"&amp;OFFSET(掉落_design!$E7,0,掉落_design!W$2+3,1,1))</f>
        <v/>
      </c>
      <c r="Y7" s="16" t="str">
        <f ca="1">IF(OFFSET(掉落_design!$E7,0,掉落_design!X$2,1,1)="","",OFFSET(掉落_design!$E7,0,掉落_design!X$2,1,1)&amp;";"&amp;OFFSET(掉落_design!$E7,0,掉落_design!X$2+1,1,1)&amp;";"&amp;OFFSET(掉落_design!$E7,0,掉落_design!X$2+2,1,1)&amp;";"&amp;OFFSET(掉落_design!$E7,0,掉落_design!X$2+3,1,1))</f>
        <v/>
      </c>
    </row>
    <row r="8" spans="1:27" s="25" customFormat="1" ht="20.100000000000001" customHeight="1" x14ac:dyDescent="0.15">
      <c r="A8" s="11" t="str">
        <f t="shared" si="0"/>
        <v>DATA</v>
      </c>
      <c r="D8" s="15">
        <f>IF(掉落_design!C8="","",掉落_design!C8)</f>
        <v>101</v>
      </c>
      <c r="E8" s="15">
        <f>IF(A8="","",掉落_design!D8)</f>
        <v>2</v>
      </c>
      <c r="F8" s="16" t="str">
        <f ca="1">IF(OFFSET(掉落_design!$E8,0,掉落_design!E$2,1,1)="","",OFFSET(掉落_design!$E8,0,掉落_design!E$2,1,1)&amp;";"&amp;OFFSET(掉落_design!$E8,0,掉落_design!E$2+1,1,1)&amp;";"&amp;OFFSET(掉落_design!$E8,0,掉落_design!E$2+2,1,1)&amp;";"&amp;OFFSET(掉落_design!$E8,0,掉落_design!E$2+3,1,1))</f>
        <v>1101;1;1;1</v>
      </c>
      <c r="G8" s="16" t="str">
        <f ca="1">IF(OFFSET(掉落_design!$E8,0,掉落_design!F$2,1,1)="","",OFFSET(掉落_design!$E8,0,掉落_design!F$2,1,1)&amp;";"&amp;OFFSET(掉落_design!$E8,0,掉落_design!F$2+1,1,1)&amp;";"&amp;OFFSET(掉落_design!$E8,0,掉落_design!F$2+2,1,1)&amp;";"&amp;OFFSET(掉落_design!$E8,0,掉落_design!F$2+3,1,1))</f>
        <v>1102;1;1;1</v>
      </c>
      <c r="H8" s="16" t="str">
        <f ca="1">IF(OFFSET(掉落_design!$E8,0,掉落_design!G$2,1,1)="","",OFFSET(掉落_design!$E8,0,掉落_design!G$2,1,1)&amp;";"&amp;OFFSET(掉落_design!$E8,0,掉落_design!G$2+1,1,1)&amp;";"&amp;OFFSET(掉落_design!$E8,0,掉落_design!G$2+2,1,1)&amp;";"&amp;OFFSET(掉落_design!$E8,0,掉落_design!G$2+3,1,1))</f>
        <v>1103;1;1;1</v>
      </c>
      <c r="I8" s="16" t="str">
        <f ca="1">IF(OFFSET(掉落_design!$E8,0,掉落_design!H$2,1,1)="","",OFFSET(掉落_design!$E8,0,掉落_design!H$2,1,1)&amp;";"&amp;OFFSET(掉落_design!$E8,0,掉落_design!H$2+1,1,1)&amp;";"&amp;OFFSET(掉落_design!$E8,0,掉落_design!H$2+2,1,1)&amp;";"&amp;OFFSET(掉落_design!$E8,0,掉落_design!H$2+3,1,1))</f>
        <v>1104;1;1;1</v>
      </c>
      <c r="J8" s="16" t="str">
        <f ca="1">IF(OFFSET(掉落_design!$E8,0,掉落_design!I$2,1,1)="","",OFFSET(掉落_design!$E8,0,掉落_design!I$2,1,1)&amp;";"&amp;OFFSET(掉落_design!$E8,0,掉落_design!I$2+1,1,1)&amp;";"&amp;OFFSET(掉落_design!$E8,0,掉落_design!I$2+2,1,1)&amp;";"&amp;OFFSET(掉落_design!$E8,0,掉落_design!I$2+3,1,1))</f>
        <v>1105;1;1;1</v>
      </c>
      <c r="K8" s="16" t="str">
        <f ca="1">IF(OFFSET(掉落_design!$E8,0,掉落_design!J$2,1,1)="","",OFFSET(掉落_design!$E8,0,掉落_design!J$2,1,1)&amp;";"&amp;OFFSET(掉落_design!$E8,0,掉落_design!J$2+1,1,1)&amp;";"&amp;OFFSET(掉落_design!$E8,0,掉落_design!J$2+2,1,1)&amp;";"&amp;OFFSET(掉落_design!$E8,0,掉落_design!J$2+3,1,1))</f>
        <v/>
      </c>
      <c r="L8" s="16" t="str">
        <f ca="1">IF(OFFSET(掉落_design!$E8,0,掉落_design!K$2,1,1)="","",OFFSET(掉落_design!$E8,0,掉落_design!K$2,1,1)&amp;";"&amp;OFFSET(掉落_design!$E8,0,掉落_design!K$2+1,1,1)&amp;";"&amp;OFFSET(掉落_design!$E8,0,掉落_design!K$2+2,1,1)&amp;";"&amp;OFFSET(掉落_design!$E8,0,掉落_design!K$2+3,1,1))</f>
        <v/>
      </c>
      <c r="M8" s="16" t="str">
        <f ca="1">IF(OFFSET(掉落_design!$E8,0,掉落_design!L$2,1,1)="","",OFFSET(掉落_design!$E8,0,掉落_design!L$2,1,1)&amp;";"&amp;OFFSET(掉落_design!$E8,0,掉落_design!L$2+1,1,1)&amp;";"&amp;OFFSET(掉落_design!$E8,0,掉落_design!L$2+2,1,1)&amp;";"&amp;OFFSET(掉落_design!$E8,0,掉落_design!L$2+3,1,1))</f>
        <v/>
      </c>
      <c r="N8" s="16" t="str">
        <f ca="1">IF(OFFSET(掉落_design!$E8,0,掉落_design!M$2,1,1)="","",OFFSET(掉落_design!$E8,0,掉落_design!M$2,1,1)&amp;";"&amp;OFFSET(掉落_design!$E8,0,掉落_design!M$2+1,1,1)&amp;";"&amp;OFFSET(掉落_design!$E8,0,掉落_design!M$2+2,1,1)&amp;";"&amp;OFFSET(掉落_design!$E8,0,掉落_design!M$2+3,1,1))</f>
        <v/>
      </c>
      <c r="O8" s="16" t="str">
        <f ca="1">IF(OFFSET(掉落_design!$E8,0,掉落_design!N$2,1,1)="","",OFFSET(掉落_design!$E8,0,掉落_design!N$2,1,1)&amp;";"&amp;OFFSET(掉落_design!$E8,0,掉落_design!N$2+1,1,1)&amp;";"&amp;OFFSET(掉落_design!$E8,0,掉落_design!N$2+2,1,1)&amp;";"&amp;OFFSET(掉落_design!$E8,0,掉落_design!N$2+3,1,1))</f>
        <v/>
      </c>
      <c r="P8" s="16" t="str">
        <f ca="1">IF(OFFSET(掉落_design!$E8,0,掉落_design!O$2,1,1)="","",OFFSET(掉落_design!$E8,0,掉落_design!O$2,1,1)&amp;";"&amp;OFFSET(掉落_design!$E8,0,掉落_design!O$2+1,1,1)&amp;";"&amp;OFFSET(掉落_design!$E8,0,掉落_design!O$2+2,1,1)&amp;";"&amp;OFFSET(掉落_design!$E8,0,掉落_design!O$2+3,1,1))</f>
        <v/>
      </c>
      <c r="Q8" s="16" t="str">
        <f ca="1">IF(OFFSET(掉落_design!$E8,0,掉落_design!P$2,1,1)="","",OFFSET(掉落_design!$E8,0,掉落_design!P$2,1,1)&amp;";"&amp;OFFSET(掉落_design!$E8,0,掉落_design!P$2+1,1,1)&amp;";"&amp;OFFSET(掉落_design!$E8,0,掉落_design!P$2+2,1,1)&amp;";"&amp;OFFSET(掉落_design!$E8,0,掉落_design!P$2+3,1,1))</f>
        <v/>
      </c>
      <c r="R8" s="16" t="str">
        <f ca="1">IF(OFFSET(掉落_design!$E8,0,掉落_design!Q$2,1,1)="","",OFFSET(掉落_design!$E8,0,掉落_design!Q$2,1,1)&amp;";"&amp;OFFSET(掉落_design!$E8,0,掉落_design!Q$2+1,1,1)&amp;";"&amp;OFFSET(掉落_design!$E8,0,掉落_design!Q$2+2,1,1)&amp;";"&amp;OFFSET(掉落_design!$E8,0,掉落_design!Q$2+3,1,1))</f>
        <v/>
      </c>
      <c r="S8" s="16" t="str">
        <f ca="1">IF(OFFSET(掉落_design!$E8,0,掉落_design!R$2,1,1)="","",OFFSET(掉落_design!$E8,0,掉落_design!R$2,1,1)&amp;";"&amp;OFFSET(掉落_design!$E8,0,掉落_design!R$2+1,1,1)&amp;";"&amp;OFFSET(掉落_design!$E8,0,掉落_design!R$2+2,1,1)&amp;";"&amp;OFFSET(掉落_design!$E8,0,掉落_design!R$2+3,1,1))</f>
        <v/>
      </c>
      <c r="T8" s="16" t="str">
        <f ca="1">IF(OFFSET(掉落_design!$E8,0,掉落_design!S$2,1,1)="","",OFFSET(掉落_design!$E8,0,掉落_design!S$2,1,1)&amp;";"&amp;OFFSET(掉落_design!$E8,0,掉落_design!S$2+1,1,1)&amp;";"&amp;OFFSET(掉落_design!$E8,0,掉落_design!S$2+2,1,1)&amp;";"&amp;OFFSET(掉落_design!$E8,0,掉落_design!S$2+3,1,1))</f>
        <v/>
      </c>
      <c r="U8" s="16" t="str">
        <f ca="1">IF(OFFSET(掉落_design!$E8,0,掉落_design!T$2,1,1)="","",OFFSET(掉落_design!$E8,0,掉落_design!T$2,1,1)&amp;";"&amp;OFFSET(掉落_design!$E8,0,掉落_design!T$2+1,1,1)&amp;";"&amp;OFFSET(掉落_design!$E8,0,掉落_design!T$2+2,1,1)&amp;";"&amp;OFFSET(掉落_design!$E8,0,掉落_design!T$2+3,1,1))</f>
        <v/>
      </c>
      <c r="V8" s="16" t="str">
        <f ca="1">IF(OFFSET(掉落_design!$E8,0,掉落_design!U$2,1,1)="","",OFFSET(掉落_design!$E8,0,掉落_design!U$2,1,1)&amp;";"&amp;OFFSET(掉落_design!$E8,0,掉落_design!U$2+1,1,1)&amp;";"&amp;OFFSET(掉落_design!$E8,0,掉落_design!U$2+2,1,1)&amp;";"&amp;OFFSET(掉落_design!$E8,0,掉落_design!U$2+3,1,1))</f>
        <v/>
      </c>
      <c r="W8" s="16" t="str">
        <f ca="1">IF(OFFSET(掉落_design!$E8,0,掉落_design!V$2,1,1)="","",OFFSET(掉落_design!$E8,0,掉落_design!V$2,1,1)&amp;";"&amp;OFFSET(掉落_design!$E8,0,掉落_design!V$2+1,1,1)&amp;";"&amp;OFFSET(掉落_design!$E8,0,掉落_design!V$2+2,1,1)&amp;";"&amp;OFFSET(掉落_design!$E8,0,掉落_design!V$2+3,1,1))</f>
        <v/>
      </c>
      <c r="X8" s="16" t="str">
        <f ca="1">IF(OFFSET(掉落_design!$E8,0,掉落_design!W$2,1,1)="","",OFFSET(掉落_design!$E8,0,掉落_design!W$2,1,1)&amp;";"&amp;OFFSET(掉落_design!$E8,0,掉落_design!W$2+1,1,1)&amp;";"&amp;OFFSET(掉落_design!$E8,0,掉落_design!W$2+2,1,1)&amp;";"&amp;OFFSET(掉落_design!$E8,0,掉落_design!W$2+3,1,1))</f>
        <v/>
      </c>
      <c r="Y8" s="16" t="str">
        <f ca="1">IF(OFFSET(掉落_design!$E8,0,掉落_design!X$2,1,1)="","",OFFSET(掉落_design!$E8,0,掉落_design!X$2,1,1)&amp;";"&amp;OFFSET(掉落_design!$E8,0,掉落_design!X$2+1,1,1)&amp;";"&amp;OFFSET(掉落_design!$E8,0,掉落_design!X$2+2,1,1)&amp;";"&amp;OFFSET(掉落_design!$E8,0,掉落_design!X$2+3,1,1))</f>
        <v/>
      </c>
    </row>
    <row r="9" spans="1:27" s="25" customFormat="1" ht="20.100000000000001" customHeight="1" x14ac:dyDescent="0.15">
      <c r="A9" s="11" t="str">
        <f t="shared" si="0"/>
        <v/>
      </c>
      <c r="D9" s="15" t="str">
        <f>IF(掉落_design!C9="","",掉落_design!C9)</f>
        <v/>
      </c>
      <c r="E9" s="15" t="str">
        <f>IF(A9="","",掉落_design!D9)</f>
        <v/>
      </c>
      <c r="F9" s="16" t="str">
        <f ca="1">IF(OFFSET(掉落_design!$E9,0,掉落_design!E$2,1,1)="","",OFFSET(掉落_design!$E9,0,掉落_design!E$2,1,1)&amp;";"&amp;OFFSET(掉落_design!$E9,0,掉落_design!E$2+1,1,1)&amp;";"&amp;OFFSET(掉落_design!$E9,0,掉落_design!E$2+2,1,1)&amp;";"&amp;OFFSET(掉落_design!$E9,0,掉落_design!E$2+3,1,1))</f>
        <v/>
      </c>
      <c r="G9" s="16" t="str">
        <f ca="1">IF(OFFSET(掉落_design!$E9,0,掉落_design!F$2,1,1)="","",OFFSET(掉落_design!$E9,0,掉落_design!F$2,1,1)&amp;";"&amp;OFFSET(掉落_design!$E9,0,掉落_design!F$2+1,1,1)&amp;";"&amp;OFFSET(掉落_design!$E9,0,掉落_design!F$2+2,1,1)&amp;";"&amp;OFFSET(掉落_design!$E9,0,掉落_design!F$2+3,1,1))</f>
        <v/>
      </c>
      <c r="H9" s="16" t="str">
        <f ca="1">IF(OFFSET(掉落_design!$E9,0,掉落_design!G$2,1,1)="","",OFFSET(掉落_design!$E9,0,掉落_design!G$2,1,1)&amp;";"&amp;OFFSET(掉落_design!$E9,0,掉落_design!G$2+1,1,1)&amp;";"&amp;OFFSET(掉落_design!$E9,0,掉落_design!G$2+2,1,1)&amp;";"&amp;OFFSET(掉落_design!$E9,0,掉落_design!G$2+3,1,1))</f>
        <v/>
      </c>
      <c r="I9" s="16" t="str">
        <f ca="1">IF(OFFSET(掉落_design!$E9,0,掉落_design!H$2,1,1)="","",OFFSET(掉落_design!$E9,0,掉落_design!H$2,1,1)&amp;";"&amp;OFFSET(掉落_design!$E9,0,掉落_design!H$2+1,1,1)&amp;";"&amp;OFFSET(掉落_design!$E9,0,掉落_design!H$2+2,1,1)&amp;";"&amp;OFFSET(掉落_design!$E9,0,掉落_design!H$2+3,1,1))</f>
        <v/>
      </c>
      <c r="J9" s="16" t="str">
        <f ca="1">IF(OFFSET(掉落_design!$E9,0,掉落_design!I$2,1,1)="","",OFFSET(掉落_design!$E9,0,掉落_design!I$2,1,1)&amp;";"&amp;OFFSET(掉落_design!$E9,0,掉落_design!I$2+1,1,1)&amp;";"&amp;OFFSET(掉落_design!$E9,0,掉落_design!I$2+2,1,1)&amp;";"&amp;OFFSET(掉落_design!$E9,0,掉落_design!I$2+3,1,1))</f>
        <v/>
      </c>
      <c r="K9" s="16" t="str">
        <f ca="1">IF(OFFSET(掉落_design!$E9,0,掉落_design!J$2,1,1)="","",OFFSET(掉落_design!$E9,0,掉落_design!J$2,1,1)&amp;";"&amp;OFFSET(掉落_design!$E9,0,掉落_design!J$2+1,1,1)&amp;";"&amp;OFFSET(掉落_design!$E9,0,掉落_design!J$2+2,1,1)&amp;";"&amp;OFFSET(掉落_design!$E9,0,掉落_design!J$2+3,1,1))</f>
        <v/>
      </c>
      <c r="L9" s="16" t="str">
        <f ca="1">IF(OFFSET(掉落_design!$E9,0,掉落_design!K$2,1,1)="","",OFFSET(掉落_design!$E9,0,掉落_design!K$2,1,1)&amp;";"&amp;OFFSET(掉落_design!$E9,0,掉落_design!K$2+1,1,1)&amp;";"&amp;OFFSET(掉落_design!$E9,0,掉落_design!K$2+2,1,1)&amp;";"&amp;OFFSET(掉落_design!$E9,0,掉落_design!K$2+3,1,1))</f>
        <v/>
      </c>
      <c r="M9" s="16" t="str">
        <f ca="1">IF(OFFSET(掉落_design!$E9,0,掉落_design!L$2,1,1)="","",OFFSET(掉落_design!$E9,0,掉落_design!L$2,1,1)&amp;";"&amp;OFFSET(掉落_design!$E9,0,掉落_design!L$2+1,1,1)&amp;";"&amp;OFFSET(掉落_design!$E9,0,掉落_design!L$2+2,1,1)&amp;";"&amp;OFFSET(掉落_design!$E9,0,掉落_design!L$2+3,1,1))</f>
        <v/>
      </c>
      <c r="N9" s="16" t="str">
        <f ca="1">IF(OFFSET(掉落_design!$E9,0,掉落_design!M$2,1,1)="","",OFFSET(掉落_design!$E9,0,掉落_design!M$2,1,1)&amp;";"&amp;OFFSET(掉落_design!$E9,0,掉落_design!M$2+1,1,1)&amp;";"&amp;OFFSET(掉落_design!$E9,0,掉落_design!M$2+2,1,1)&amp;";"&amp;OFFSET(掉落_design!$E9,0,掉落_design!M$2+3,1,1))</f>
        <v/>
      </c>
      <c r="O9" s="16" t="str">
        <f ca="1">IF(OFFSET(掉落_design!$E9,0,掉落_design!N$2,1,1)="","",OFFSET(掉落_design!$E9,0,掉落_design!N$2,1,1)&amp;";"&amp;OFFSET(掉落_design!$E9,0,掉落_design!N$2+1,1,1)&amp;";"&amp;OFFSET(掉落_design!$E9,0,掉落_design!N$2+2,1,1)&amp;";"&amp;OFFSET(掉落_design!$E9,0,掉落_design!N$2+3,1,1))</f>
        <v/>
      </c>
      <c r="P9" s="16" t="str">
        <f ca="1">IF(OFFSET(掉落_design!$E9,0,掉落_design!O$2,1,1)="","",OFFSET(掉落_design!$E9,0,掉落_design!O$2,1,1)&amp;";"&amp;OFFSET(掉落_design!$E9,0,掉落_design!O$2+1,1,1)&amp;";"&amp;OFFSET(掉落_design!$E9,0,掉落_design!O$2+2,1,1)&amp;";"&amp;OFFSET(掉落_design!$E9,0,掉落_design!O$2+3,1,1))</f>
        <v/>
      </c>
      <c r="Q9" s="16" t="str">
        <f ca="1">IF(OFFSET(掉落_design!$E9,0,掉落_design!P$2,1,1)="","",OFFSET(掉落_design!$E9,0,掉落_design!P$2,1,1)&amp;";"&amp;OFFSET(掉落_design!$E9,0,掉落_design!P$2+1,1,1)&amp;";"&amp;OFFSET(掉落_design!$E9,0,掉落_design!P$2+2,1,1)&amp;";"&amp;OFFSET(掉落_design!$E9,0,掉落_design!P$2+3,1,1))</f>
        <v/>
      </c>
      <c r="R9" s="16" t="str">
        <f ca="1">IF(OFFSET(掉落_design!$E9,0,掉落_design!Q$2,1,1)="","",OFFSET(掉落_design!$E9,0,掉落_design!Q$2,1,1)&amp;";"&amp;OFFSET(掉落_design!$E9,0,掉落_design!Q$2+1,1,1)&amp;";"&amp;OFFSET(掉落_design!$E9,0,掉落_design!Q$2+2,1,1)&amp;";"&amp;OFFSET(掉落_design!$E9,0,掉落_design!Q$2+3,1,1))</f>
        <v/>
      </c>
      <c r="S9" s="16" t="str">
        <f ca="1">IF(OFFSET(掉落_design!$E9,0,掉落_design!R$2,1,1)="","",OFFSET(掉落_design!$E9,0,掉落_design!R$2,1,1)&amp;";"&amp;OFFSET(掉落_design!$E9,0,掉落_design!R$2+1,1,1)&amp;";"&amp;OFFSET(掉落_design!$E9,0,掉落_design!R$2+2,1,1)&amp;";"&amp;OFFSET(掉落_design!$E9,0,掉落_design!R$2+3,1,1))</f>
        <v/>
      </c>
      <c r="T9" s="16" t="str">
        <f ca="1">IF(OFFSET(掉落_design!$E9,0,掉落_design!S$2,1,1)="","",OFFSET(掉落_design!$E9,0,掉落_design!S$2,1,1)&amp;";"&amp;OFFSET(掉落_design!$E9,0,掉落_design!S$2+1,1,1)&amp;";"&amp;OFFSET(掉落_design!$E9,0,掉落_design!S$2+2,1,1)&amp;";"&amp;OFFSET(掉落_design!$E9,0,掉落_design!S$2+3,1,1))</f>
        <v/>
      </c>
      <c r="U9" s="16" t="str">
        <f ca="1">IF(OFFSET(掉落_design!$E9,0,掉落_design!T$2,1,1)="","",OFFSET(掉落_design!$E9,0,掉落_design!T$2,1,1)&amp;";"&amp;OFFSET(掉落_design!$E9,0,掉落_design!T$2+1,1,1)&amp;";"&amp;OFFSET(掉落_design!$E9,0,掉落_design!T$2+2,1,1)&amp;";"&amp;OFFSET(掉落_design!$E9,0,掉落_design!T$2+3,1,1))</f>
        <v/>
      </c>
      <c r="V9" s="16" t="str">
        <f ca="1">IF(OFFSET(掉落_design!$E9,0,掉落_design!U$2,1,1)="","",OFFSET(掉落_design!$E9,0,掉落_design!U$2,1,1)&amp;";"&amp;OFFSET(掉落_design!$E9,0,掉落_design!U$2+1,1,1)&amp;";"&amp;OFFSET(掉落_design!$E9,0,掉落_design!U$2+2,1,1)&amp;";"&amp;OFFSET(掉落_design!$E9,0,掉落_design!U$2+3,1,1))</f>
        <v/>
      </c>
      <c r="W9" s="16" t="str">
        <f ca="1">IF(OFFSET(掉落_design!$E9,0,掉落_design!V$2,1,1)="","",OFFSET(掉落_design!$E9,0,掉落_design!V$2,1,1)&amp;";"&amp;OFFSET(掉落_design!$E9,0,掉落_design!V$2+1,1,1)&amp;";"&amp;OFFSET(掉落_design!$E9,0,掉落_design!V$2+2,1,1)&amp;";"&amp;OFFSET(掉落_design!$E9,0,掉落_design!V$2+3,1,1))</f>
        <v/>
      </c>
      <c r="X9" s="16" t="str">
        <f ca="1">IF(OFFSET(掉落_design!$E9,0,掉落_design!W$2,1,1)="","",OFFSET(掉落_design!$E9,0,掉落_design!W$2,1,1)&amp;";"&amp;OFFSET(掉落_design!$E9,0,掉落_design!W$2+1,1,1)&amp;";"&amp;OFFSET(掉落_design!$E9,0,掉落_design!W$2+2,1,1)&amp;";"&amp;OFFSET(掉落_design!$E9,0,掉落_design!W$2+3,1,1))</f>
        <v/>
      </c>
      <c r="Y9" s="16" t="str">
        <f ca="1">IF(OFFSET(掉落_design!$E9,0,掉落_design!X$2,1,1)="","",OFFSET(掉落_design!$E9,0,掉落_design!X$2,1,1)&amp;";"&amp;OFFSET(掉落_design!$E9,0,掉落_design!X$2+1,1,1)&amp;";"&amp;OFFSET(掉落_design!$E9,0,掉落_design!X$2+2,1,1)&amp;";"&amp;OFFSET(掉落_design!$E9,0,掉落_design!X$2+3,1,1))</f>
        <v/>
      </c>
    </row>
    <row r="10" spans="1:27" s="25" customFormat="1" ht="20.100000000000001" customHeight="1" x14ac:dyDescent="0.15">
      <c r="A10" s="11" t="str">
        <f t="shared" si="0"/>
        <v/>
      </c>
      <c r="D10" s="15" t="str">
        <f>IF(掉落_design!C10="","",掉落_design!C10)</f>
        <v/>
      </c>
      <c r="E10" s="15" t="str">
        <f>IF(A10="","",掉落_design!D10)</f>
        <v/>
      </c>
      <c r="F10" s="16" t="str">
        <f ca="1">IF(OFFSET(掉落_design!$E10,0,掉落_design!E$2,1,1)="","",OFFSET(掉落_design!$E10,0,掉落_design!E$2,1,1)&amp;";"&amp;OFFSET(掉落_design!$E10,0,掉落_design!E$2+1,1,1)&amp;";"&amp;OFFSET(掉落_design!$E10,0,掉落_design!E$2+2,1,1)&amp;";"&amp;OFFSET(掉落_design!$E10,0,掉落_design!E$2+3,1,1))</f>
        <v/>
      </c>
      <c r="G10" s="16" t="str">
        <f ca="1">IF(OFFSET(掉落_design!$E10,0,掉落_design!F$2,1,1)="","",OFFSET(掉落_design!$E10,0,掉落_design!F$2,1,1)&amp;";"&amp;OFFSET(掉落_design!$E10,0,掉落_design!F$2+1,1,1)&amp;";"&amp;OFFSET(掉落_design!$E10,0,掉落_design!F$2+2,1,1)&amp;";"&amp;OFFSET(掉落_design!$E10,0,掉落_design!F$2+3,1,1))</f>
        <v/>
      </c>
      <c r="H10" s="16" t="str">
        <f ca="1">IF(OFFSET(掉落_design!$E10,0,掉落_design!G$2,1,1)="","",OFFSET(掉落_design!$E10,0,掉落_design!G$2,1,1)&amp;";"&amp;OFFSET(掉落_design!$E10,0,掉落_design!G$2+1,1,1)&amp;";"&amp;OFFSET(掉落_design!$E10,0,掉落_design!G$2+2,1,1)&amp;";"&amp;OFFSET(掉落_design!$E10,0,掉落_design!G$2+3,1,1))</f>
        <v/>
      </c>
      <c r="I10" s="16" t="str">
        <f ca="1">IF(OFFSET(掉落_design!$E10,0,掉落_design!H$2,1,1)="","",OFFSET(掉落_design!$E10,0,掉落_design!H$2,1,1)&amp;";"&amp;OFFSET(掉落_design!$E10,0,掉落_design!H$2+1,1,1)&amp;";"&amp;OFFSET(掉落_design!$E10,0,掉落_design!H$2+2,1,1)&amp;";"&amp;OFFSET(掉落_design!$E10,0,掉落_design!H$2+3,1,1))</f>
        <v/>
      </c>
      <c r="J10" s="16" t="str">
        <f ca="1">IF(OFFSET(掉落_design!$E10,0,掉落_design!I$2,1,1)="","",OFFSET(掉落_design!$E10,0,掉落_design!I$2,1,1)&amp;";"&amp;OFFSET(掉落_design!$E10,0,掉落_design!I$2+1,1,1)&amp;";"&amp;OFFSET(掉落_design!$E10,0,掉落_design!I$2+2,1,1)&amp;";"&amp;OFFSET(掉落_design!$E10,0,掉落_design!I$2+3,1,1))</f>
        <v/>
      </c>
      <c r="K10" s="16" t="str">
        <f ca="1">IF(OFFSET(掉落_design!$E10,0,掉落_design!J$2,1,1)="","",OFFSET(掉落_design!$E10,0,掉落_design!J$2,1,1)&amp;";"&amp;OFFSET(掉落_design!$E10,0,掉落_design!J$2+1,1,1)&amp;";"&amp;OFFSET(掉落_design!$E10,0,掉落_design!J$2+2,1,1)&amp;";"&amp;OFFSET(掉落_design!$E10,0,掉落_design!J$2+3,1,1))</f>
        <v/>
      </c>
      <c r="L10" s="16" t="str">
        <f ca="1">IF(OFFSET(掉落_design!$E10,0,掉落_design!K$2,1,1)="","",OFFSET(掉落_design!$E10,0,掉落_design!K$2,1,1)&amp;";"&amp;OFFSET(掉落_design!$E10,0,掉落_design!K$2+1,1,1)&amp;";"&amp;OFFSET(掉落_design!$E10,0,掉落_design!K$2+2,1,1)&amp;";"&amp;OFFSET(掉落_design!$E10,0,掉落_design!K$2+3,1,1))</f>
        <v/>
      </c>
      <c r="M10" s="16" t="str">
        <f ca="1">IF(OFFSET(掉落_design!$E10,0,掉落_design!L$2,1,1)="","",OFFSET(掉落_design!$E10,0,掉落_design!L$2,1,1)&amp;";"&amp;OFFSET(掉落_design!$E10,0,掉落_design!L$2+1,1,1)&amp;";"&amp;OFFSET(掉落_design!$E10,0,掉落_design!L$2+2,1,1)&amp;";"&amp;OFFSET(掉落_design!$E10,0,掉落_design!L$2+3,1,1))</f>
        <v/>
      </c>
      <c r="N10" s="16" t="str">
        <f ca="1">IF(OFFSET(掉落_design!$E10,0,掉落_design!M$2,1,1)="","",OFFSET(掉落_design!$E10,0,掉落_design!M$2,1,1)&amp;";"&amp;OFFSET(掉落_design!$E10,0,掉落_design!M$2+1,1,1)&amp;";"&amp;OFFSET(掉落_design!$E10,0,掉落_design!M$2+2,1,1)&amp;";"&amp;OFFSET(掉落_design!$E10,0,掉落_design!M$2+3,1,1))</f>
        <v/>
      </c>
      <c r="O10" s="16" t="str">
        <f ca="1">IF(OFFSET(掉落_design!$E10,0,掉落_design!N$2,1,1)="","",OFFSET(掉落_design!$E10,0,掉落_design!N$2,1,1)&amp;";"&amp;OFFSET(掉落_design!$E10,0,掉落_design!N$2+1,1,1)&amp;";"&amp;OFFSET(掉落_design!$E10,0,掉落_design!N$2+2,1,1)&amp;";"&amp;OFFSET(掉落_design!$E10,0,掉落_design!N$2+3,1,1))</f>
        <v/>
      </c>
      <c r="P10" s="16" t="str">
        <f ca="1">IF(OFFSET(掉落_design!$E10,0,掉落_design!O$2,1,1)="","",OFFSET(掉落_design!$E10,0,掉落_design!O$2,1,1)&amp;";"&amp;OFFSET(掉落_design!$E10,0,掉落_design!O$2+1,1,1)&amp;";"&amp;OFFSET(掉落_design!$E10,0,掉落_design!O$2+2,1,1)&amp;";"&amp;OFFSET(掉落_design!$E10,0,掉落_design!O$2+3,1,1))</f>
        <v/>
      </c>
      <c r="Q10" s="16" t="str">
        <f ca="1">IF(OFFSET(掉落_design!$E10,0,掉落_design!P$2,1,1)="","",OFFSET(掉落_design!$E10,0,掉落_design!P$2,1,1)&amp;";"&amp;OFFSET(掉落_design!$E10,0,掉落_design!P$2+1,1,1)&amp;";"&amp;OFFSET(掉落_design!$E10,0,掉落_design!P$2+2,1,1)&amp;";"&amp;OFFSET(掉落_design!$E10,0,掉落_design!P$2+3,1,1))</f>
        <v/>
      </c>
      <c r="R10" s="16" t="str">
        <f ca="1">IF(OFFSET(掉落_design!$E10,0,掉落_design!Q$2,1,1)="","",OFFSET(掉落_design!$E10,0,掉落_design!Q$2,1,1)&amp;";"&amp;OFFSET(掉落_design!$E10,0,掉落_design!Q$2+1,1,1)&amp;";"&amp;OFFSET(掉落_design!$E10,0,掉落_design!Q$2+2,1,1)&amp;";"&amp;OFFSET(掉落_design!$E10,0,掉落_design!Q$2+3,1,1))</f>
        <v/>
      </c>
      <c r="S10" s="16" t="str">
        <f ca="1">IF(OFFSET(掉落_design!$E10,0,掉落_design!R$2,1,1)="","",OFFSET(掉落_design!$E10,0,掉落_design!R$2,1,1)&amp;";"&amp;OFFSET(掉落_design!$E10,0,掉落_design!R$2+1,1,1)&amp;";"&amp;OFFSET(掉落_design!$E10,0,掉落_design!R$2+2,1,1)&amp;";"&amp;OFFSET(掉落_design!$E10,0,掉落_design!R$2+3,1,1))</f>
        <v/>
      </c>
      <c r="T10" s="16" t="str">
        <f ca="1">IF(OFFSET(掉落_design!$E10,0,掉落_design!S$2,1,1)="","",OFFSET(掉落_design!$E10,0,掉落_design!S$2,1,1)&amp;";"&amp;OFFSET(掉落_design!$E10,0,掉落_design!S$2+1,1,1)&amp;";"&amp;OFFSET(掉落_design!$E10,0,掉落_design!S$2+2,1,1)&amp;";"&amp;OFFSET(掉落_design!$E10,0,掉落_design!S$2+3,1,1))</f>
        <v/>
      </c>
      <c r="U10" s="16" t="str">
        <f ca="1">IF(OFFSET(掉落_design!$E10,0,掉落_design!T$2,1,1)="","",OFFSET(掉落_design!$E10,0,掉落_design!T$2,1,1)&amp;";"&amp;OFFSET(掉落_design!$E10,0,掉落_design!T$2+1,1,1)&amp;";"&amp;OFFSET(掉落_design!$E10,0,掉落_design!T$2+2,1,1)&amp;";"&amp;OFFSET(掉落_design!$E10,0,掉落_design!T$2+3,1,1))</f>
        <v/>
      </c>
      <c r="V10" s="16" t="str">
        <f ca="1">IF(OFFSET(掉落_design!$E10,0,掉落_design!U$2,1,1)="","",OFFSET(掉落_design!$E10,0,掉落_design!U$2,1,1)&amp;";"&amp;OFFSET(掉落_design!$E10,0,掉落_design!U$2+1,1,1)&amp;";"&amp;OFFSET(掉落_design!$E10,0,掉落_design!U$2+2,1,1)&amp;";"&amp;OFFSET(掉落_design!$E10,0,掉落_design!U$2+3,1,1))</f>
        <v/>
      </c>
      <c r="W10" s="16" t="str">
        <f ca="1">IF(OFFSET(掉落_design!$E10,0,掉落_design!V$2,1,1)="","",OFFSET(掉落_design!$E10,0,掉落_design!V$2,1,1)&amp;";"&amp;OFFSET(掉落_design!$E10,0,掉落_design!V$2+1,1,1)&amp;";"&amp;OFFSET(掉落_design!$E10,0,掉落_design!V$2+2,1,1)&amp;";"&amp;OFFSET(掉落_design!$E10,0,掉落_design!V$2+3,1,1))</f>
        <v/>
      </c>
      <c r="X10" s="16" t="str">
        <f ca="1">IF(OFFSET(掉落_design!$E10,0,掉落_design!W$2,1,1)="","",OFFSET(掉落_design!$E10,0,掉落_design!W$2,1,1)&amp;";"&amp;OFFSET(掉落_design!$E10,0,掉落_design!W$2+1,1,1)&amp;";"&amp;OFFSET(掉落_design!$E10,0,掉落_design!W$2+2,1,1)&amp;";"&amp;OFFSET(掉落_design!$E10,0,掉落_design!W$2+3,1,1))</f>
        <v/>
      </c>
      <c r="Y10" s="16" t="str">
        <f ca="1">IF(OFFSET(掉落_design!$E10,0,掉落_design!X$2,1,1)="","",OFFSET(掉落_design!$E10,0,掉落_design!X$2,1,1)&amp;";"&amp;OFFSET(掉落_design!$E10,0,掉落_design!X$2+1,1,1)&amp;";"&amp;OFFSET(掉落_design!$E10,0,掉落_design!X$2+2,1,1)&amp;";"&amp;OFFSET(掉落_design!$E10,0,掉落_design!X$2+3,1,1))</f>
        <v/>
      </c>
    </row>
    <row r="11" spans="1:27" s="25" customFormat="1" ht="20.100000000000001" customHeight="1" x14ac:dyDescent="0.15">
      <c r="A11" s="11" t="str">
        <f t="shared" si="0"/>
        <v>DATA</v>
      </c>
      <c r="D11" s="15">
        <f>IF(掉落_design!C11="","",掉落_design!C11)</f>
        <v>40101</v>
      </c>
      <c r="E11" s="15">
        <f>IF(A11="","",掉落_design!D11)</f>
        <v>2</v>
      </c>
      <c r="F11" s="16" t="str">
        <f ca="1">IF(OFFSET(掉落_design!$E11,0,掉落_design!E$2,1,1)="","",OFFSET(掉落_design!$E11,0,掉落_design!E$2,1,1)&amp;";"&amp;OFFSET(掉落_design!$E11,0,掉落_design!E$2+1,1,1)&amp;";"&amp;OFFSET(掉落_design!$E11,0,掉落_design!E$2+2,1,1)&amp;";"&amp;OFFSET(掉落_design!$E11,0,掉落_design!E$2+3,1,1))</f>
        <v>1001;100;200;20</v>
      </c>
      <c r="G11" s="16" t="str">
        <f ca="1">IF(OFFSET(掉落_design!$E11,0,掉落_design!F$2,1,1)="","",OFFSET(掉落_design!$E11,0,掉落_design!F$2,1,1)&amp;";"&amp;OFFSET(掉落_design!$E11,0,掉落_design!F$2+1,1,1)&amp;";"&amp;OFFSET(掉落_design!$E11,0,掉落_design!F$2+2,1,1)&amp;";"&amp;OFFSET(掉落_design!$E11,0,掉落_design!F$2+3,1,1))</f>
        <v>1200;1;1;11</v>
      </c>
      <c r="H11" s="16" t="str">
        <f ca="1">IF(OFFSET(掉落_design!$E11,0,掉落_design!G$2,1,1)="","",OFFSET(掉落_design!$E11,0,掉落_design!G$2,1,1)&amp;";"&amp;OFFSET(掉落_design!$E11,0,掉落_design!G$2+1,1,1)&amp;";"&amp;OFFSET(掉落_design!$E11,0,掉落_design!G$2+2,1,1)&amp;";"&amp;OFFSET(掉落_design!$E11,0,掉落_design!G$2+3,1,1))</f>
        <v>1201;1;1;1</v>
      </c>
      <c r="I11" s="16" t="str">
        <f ca="1">IF(OFFSET(掉落_design!$E11,0,掉落_design!H$2,1,1)="","",OFFSET(掉落_design!$E11,0,掉落_design!H$2,1,1)&amp;";"&amp;OFFSET(掉落_design!$E11,0,掉落_design!H$2+1,1,1)&amp;";"&amp;OFFSET(掉落_design!$E11,0,掉落_design!H$2+2,1,1)&amp;";"&amp;OFFSET(掉落_design!$E11,0,掉落_design!H$2+3,1,1))</f>
        <v>1202;1;1;1</v>
      </c>
      <c r="J11" s="16" t="str">
        <f ca="1">IF(OFFSET(掉落_design!$E11,0,掉落_design!I$2,1,1)="","",OFFSET(掉落_design!$E11,0,掉落_design!I$2,1,1)&amp;";"&amp;OFFSET(掉落_design!$E11,0,掉落_design!I$2+1,1,1)&amp;";"&amp;OFFSET(掉落_design!$E11,0,掉落_design!I$2+2,1,1)&amp;";"&amp;OFFSET(掉落_design!$E11,0,掉落_design!I$2+3,1,1))</f>
        <v>1100;1;1;1</v>
      </c>
      <c r="K11" s="16" t="str">
        <f ca="1">IF(OFFSET(掉落_design!$E11,0,掉落_design!J$2,1,1)="","",OFFSET(掉落_design!$E11,0,掉落_design!J$2,1,1)&amp;";"&amp;OFFSET(掉落_design!$E11,0,掉落_design!J$2+1,1,1)&amp;";"&amp;OFFSET(掉落_design!$E11,0,掉落_design!J$2+2,1,1)&amp;";"&amp;OFFSET(掉落_design!$E11,0,掉落_design!J$2+3,1,1))</f>
        <v>1101;1;1;1</v>
      </c>
      <c r="L11" s="16" t="str">
        <f ca="1">IF(OFFSET(掉落_design!$E11,0,掉落_design!K$2,1,1)="","",OFFSET(掉落_design!$E11,0,掉落_design!K$2,1,1)&amp;";"&amp;OFFSET(掉落_design!$E11,0,掉落_design!K$2+1,1,1)&amp;";"&amp;OFFSET(掉落_design!$E11,0,掉落_design!K$2+2,1,1)&amp;";"&amp;OFFSET(掉落_design!$E11,0,掉落_design!K$2+3,1,1))</f>
        <v/>
      </c>
      <c r="M11" s="16" t="str">
        <f ca="1">IF(OFFSET(掉落_design!$E11,0,掉落_design!L$2,1,1)="","",OFFSET(掉落_design!$E11,0,掉落_design!L$2,1,1)&amp;";"&amp;OFFSET(掉落_design!$E11,0,掉落_design!L$2+1,1,1)&amp;";"&amp;OFFSET(掉落_design!$E11,0,掉落_design!L$2+2,1,1)&amp;";"&amp;OFFSET(掉落_design!$E11,0,掉落_design!L$2+3,1,1))</f>
        <v/>
      </c>
      <c r="N11" s="16" t="str">
        <f ca="1">IF(OFFSET(掉落_design!$E11,0,掉落_design!M$2,1,1)="","",OFFSET(掉落_design!$E11,0,掉落_design!M$2,1,1)&amp;";"&amp;OFFSET(掉落_design!$E11,0,掉落_design!M$2+1,1,1)&amp;";"&amp;OFFSET(掉落_design!$E11,0,掉落_design!M$2+2,1,1)&amp;";"&amp;OFFSET(掉落_design!$E11,0,掉落_design!M$2+3,1,1))</f>
        <v/>
      </c>
      <c r="O11" s="16" t="str">
        <f ca="1">IF(OFFSET(掉落_design!$E11,0,掉落_design!N$2,1,1)="","",OFFSET(掉落_design!$E11,0,掉落_design!N$2,1,1)&amp;";"&amp;OFFSET(掉落_design!$E11,0,掉落_design!N$2+1,1,1)&amp;";"&amp;OFFSET(掉落_design!$E11,0,掉落_design!N$2+2,1,1)&amp;";"&amp;OFFSET(掉落_design!$E11,0,掉落_design!N$2+3,1,1))</f>
        <v/>
      </c>
      <c r="P11" s="16" t="str">
        <f ca="1">IF(OFFSET(掉落_design!$E11,0,掉落_design!O$2,1,1)="","",OFFSET(掉落_design!$E11,0,掉落_design!O$2,1,1)&amp;";"&amp;OFFSET(掉落_design!$E11,0,掉落_design!O$2+1,1,1)&amp;";"&amp;OFFSET(掉落_design!$E11,0,掉落_design!O$2+2,1,1)&amp;";"&amp;OFFSET(掉落_design!$E11,0,掉落_design!O$2+3,1,1))</f>
        <v/>
      </c>
      <c r="Q11" s="16" t="str">
        <f ca="1">IF(OFFSET(掉落_design!$E11,0,掉落_design!P$2,1,1)="","",OFFSET(掉落_design!$E11,0,掉落_design!P$2,1,1)&amp;";"&amp;OFFSET(掉落_design!$E11,0,掉落_design!P$2+1,1,1)&amp;";"&amp;OFFSET(掉落_design!$E11,0,掉落_design!P$2+2,1,1)&amp;";"&amp;OFFSET(掉落_design!$E11,0,掉落_design!P$2+3,1,1))</f>
        <v/>
      </c>
      <c r="R11" s="16" t="str">
        <f ca="1">IF(OFFSET(掉落_design!$E11,0,掉落_design!Q$2,1,1)="","",OFFSET(掉落_design!$E11,0,掉落_design!Q$2,1,1)&amp;";"&amp;OFFSET(掉落_design!$E11,0,掉落_design!Q$2+1,1,1)&amp;";"&amp;OFFSET(掉落_design!$E11,0,掉落_design!Q$2+2,1,1)&amp;";"&amp;OFFSET(掉落_design!$E11,0,掉落_design!Q$2+3,1,1))</f>
        <v/>
      </c>
      <c r="S11" s="16" t="str">
        <f ca="1">IF(OFFSET(掉落_design!$E11,0,掉落_design!R$2,1,1)="","",OFFSET(掉落_design!$E11,0,掉落_design!R$2,1,1)&amp;";"&amp;OFFSET(掉落_design!$E11,0,掉落_design!R$2+1,1,1)&amp;";"&amp;OFFSET(掉落_design!$E11,0,掉落_design!R$2+2,1,1)&amp;";"&amp;OFFSET(掉落_design!$E11,0,掉落_design!R$2+3,1,1))</f>
        <v/>
      </c>
      <c r="T11" s="16" t="str">
        <f ca="1">IF(OFFSET(掉落_design!$E11,0,掉落_design!S$2,1,1)="","",OFFSET(掉落_design!$E11,0,掉落_design!S$2,1,1)&amp;";"&amp;OFFSET(掉落_design!$E11,0,掉落_design!S$2+1,1,1)&amp;";"&amp;OFFSET(掉落_design!$E11,0,掉落_design!S$2+2,1,1)&amp;";"&amp;OFFSET(掉落_design!$E11,0,掉落_design!S$2+3,1,1))</f>
        <v/>
      </c>
      <c r="U11" s="16" t="str">
        <f ca="1">IF(OFFSET(掉落_design!$E11,0,掉落_design!T$2,1,1)="","",OFFSET(掉落_design!$E11,0,掉落_design!T$2,1,1)&amp;";"&amp;OFFSET(掉落_design!$E11,0,掉落_design!T$2+1,1,1)&amp;";"&amp;OFFSET(掉落_design!$E11,0,掉落_design!T$2+2,1,1)&amp;";"&amp;OFFSET(掉落_design!$E11,0,掉落_design!T$2+3,1,1))</f>
        <v/>
      </c>
      <c r="V11" s="16" t="str">
        <f ca="1">IF(OFFSET(掉落_design!$E11,0,掉落_design!U$2,1,1)="","",OFFSET(掉落_design!$E11,0,掉落_design!U$2,1,1)&amp;";"&amp;OFFSET(掉落_design!$E11,0,掉落_design!U$2+1,1,1)&amp;";"&amp;OFFSET(掉落_design!$E11,0,掉落_design!U$2+2,1,1)&amp;";"&amp;OFFSET(掉落_design!$E11,0,掉落_design!U$2+3,1,1))</f>
        <v/>
      </c>
      <c r="W11" s="16" t="str">
        <f ca="1">IF(OFFSET(掉落_design!$E11,0,掉落_design!V$2,1,1)="","",OFFSET(掉落_design!$E11,0,掉落_design!V$2,1,1)&amp;";"&amp;OFFSET(掉落_design!$E11,0,掉落_design!V$2+1,1,1)&amp;";"&amp;OFFSET(掉落_design!$E11,0,掉落_design!V$2+2,1,1)&amp;";"&amp;OFFSET(掉落_design!$E11,0,掉落_design!V$2+3,1,1))</f>
        <v/>
      </c>
      <c r="X11" s="16" t="str">
        <f ca="1">IF(OFFSET(掉落_design!$E11,0,掉落_design!W$2,1,1)="","",OFFSET(掉落_design!$E11,0,掉落_design!W$2,1,1)&amp;";"&amp;OFFSET(掉落_design!$E11,0,掉落_design!W$2+1,1,1)&amp;";"&amp;OFFSET(掉落_design!$E11,0,掉落_design!W$2+2,1,1)&amp;";"&amp;OFFSET(掉落_design!$E11,0,掉落_design!W$2+3,1,1))</f>
        <v/>
      </c>
      <c r="Y11" s="16" t="str">
        <f ca="1">IF(OFFSET(掉落_design!$E11,0,掉落_design!X$2,1,1)="","",OFFSET(掉落_design!$E11,0,掉落_design!X$2,1,1)&amp;";"&amp;OFFSET(掉落_design!$E11,0,掉落_design!X$2+1,1,1)&amp;";"&amp;OFFSET(掉落_design!$E11,0,掉落_design!X$2+2,1,1)&amp;";"&amp;OFFSET(掉落_design!$E11,0,掉落_design!X$2+3,1,1))</f>
        <v/>
      </c>
    </row>
    <row r="12" spans="1:27" x14ac:dyDescent="0.15">
      <c r="A12" s="11" t="str">
        <f t="shared" si="0"/>
        <v>DATA</v>
      </c>
      <c r="B12" s="25"/>
      <c r="C12" s="25"/>
      <c r="D12" s="15">
        <f>IF(掉落_design!C12="","",掉落_design!C12)</f>
        <v>40102</v>
      </c>
      <c r="E12" s="15">
        <f>IF(A12="","",掉落_design!D12)</f>
        <v>2</v>
      </c>
      <c r="F12" s="16" t="str">
        <f ca="1">IF(OFFSET(掉落_design!$E12,0,掉落_design!E$2,1,1)="","",OFFSET(掉落_design!$E12,0,掉落_design!E$2,1,1)&amp;";"&amp;OFFSET(掉落_design!$E12,0,掉落_design!E$2+1,1,1)&amp;";"&amp;OFFSET(掉落_design!$E12,0,掉落_design!E$2+2,1,1)&amp;";"&amp;OFFSET(掉落_design!$E12,0,掉落_design!E$2+3,1,1))</f>
        <v>1001;100;200;20</v>
      </c>
      <c r="G12" s="16" t="str">
        <f ca="1">IF(OFFSET(掉落_design!$E12,0,掉落_design!F$2,1,1)="","",OFFSET(掉落_design!$E12,0,掉落_design!F$2,1,1)&amp;";"&amp;OFFSET(掉落_design!$E12,0,掉落_design!F$2+1,1,1)&amp;";"&amp;OFFSET(掉落_design!$E12,0,掉落_design!F$2+2,1,1)&amp;";"&amp;OFFSET(掉落_design!$E12,0,掉落_design!F$2+3,1,1))</f>
        <v>1200;1;1;11</v>
      </c>
      <c r="H12" s="16" t="str">
        <f ca="1">IF(OFFSET(掉落_design!$E12,0,掉落_design!G$2,1,1)="","",OFFSET(掉落_design!$E12,0,掉落_design!G$2,1,1)&amp;";"&amp;OFFSET(掉落_design!$E12,0,掉落_design!G$2+1,1,1)&amp;";"&amp;OFFSET(掉落_design!$E12,0,掉落_design!G$2+2,1,1)&amp;";"&amp;OFFSET(掉落_design!$E12,0,掉落_design!G$2+3,1,1))</f>
        <v>1201;1;1;1</v>
      </c>
      <c r="I12" s="16" t="str">
        <f ca="1">IF(OFFSET(掉落_design!$E12,0,掉落_design!H$2,1,1)="","",OFFSET(掉落_design!$E12,0,掉落_design!H$2,1,1)&amp;";"&amp;OFFSET(掉落_design!$E12,0,掉落_design!H$2+1,1,1)&amp;";"&amp;OFFSET(掉落_design!$E12,0,掉落_design!H$2+2,1,1)&amp;";"&amp;OFFSET(掉落_design!$E12,0,掉落_design!H$2+3,1,1))</f>
        <v>1202;1;1;1</v>
      </c>
      <c r="J12" s="16" t="str">
        <f ca="1">IF(OFFSET(掉落_design!$E12,0,掉落_design!I$2,1,1)="","",OFFSET(掉落_design!$E12,0,掉落_design!I$2,1,1)&amp;";"&amp;OFFSET(掉落_design!$E12,0,掉落_design!I$2+1,1,1)&amp;";"&amp;OFFSET(掉落_design!$E12,0,掉落_design!I$2+2,1,1)&amp;";"&amp;OFFSET(掉落_design!$E12,0,掉落_design!I$2+3,1,1))</f>
        <v>1100;1;1;1</v>
      </c>
      <c r="K12" s="16" t="str">
        <f ca="1">IF(OFFSET(掉落_design!$E12,0,掉落_design!J$2,1,1)="","",OFFSET(掉落_design!$E12,0,掉落_design!J$2,1,1)&amp;";"&amp;OFFSET(掉落_design!$E12,0,掉落_design!J$2+1,1,1)&amp;";"&amp;OFFSET(掉落_design!$E12,0,掉落_design!J$2+2,1,1)&amp;";"&amp;OFFSET(掉落_design!$E12,0,掉落_design!J$2+3,1,1))</f>
        <v>1101;1;1;1</v>
      </c>
      <c r="L12" s="16" t="str">
        <f ca="1">IF(OFFSET(掉落_design!$E12,0,掉落_design!K$2,1,1)="","",OFFSET(掉落_design!$E12,0,掉落_design!K$2,1,1)&amp;";"&amp;OFFSET(掉落_design!$E12,0,掉落_design!K$2+1,1,1)&amp;";"&amp;OFFSET(掉落_design!$E12,0,掉落_design!K$2+2,1,1)&amp;";"&amp;OFFSET(掉落_design!$E12,0,掉落_design!K$2+3,1,1))</f>
        <v/>
      </c>
      <c r="M12" s="16" t="str">
        <f ca="1">IF(OFFSET(掉落_design!$E12,0,掉落_design!L$2,1,1)="","",OFFSET(掉落_design!$E12,0,掉落_design!L$2,1,1)&amp;";"&amp;OFFSET(掉落_design!$E12,0,掉落_design!L$2+1,1,1)&amp;";"&amp;OFFSET(掉落_design!$E12,0,掉落_design!L$2+2,1,1)&amp;";"&amp;OFFSET(掉落_design!$E12,0,掉落_design!L$2+3,1,1))</f>
        <v/>
      </c>
      <c r="N12" s="16" t="str">
        <f ca="1">IF(OFFSET(掉落_design!$E12,0,掉落_design!M$2,1,1)="","",OFFSET(掉落_design!$E12,0,掉落_design!M$2,1,1)&amp;";"&amp;OFFSET(掉落_design!$E12,0,掉落_design!M$2+1,1,1)&amp;";"&amp;OFFSET(掉落_design!$E12,0,掉落_design!M$2+2,1,1)&amp;";"&amp;OFFSET(掉落_design!$E12,0,掉落_design!M$2+3,1,1))</f>
        <v/>
      </c>
      <c r="O12" s="16" t="str">
        <f ca="1">IF(OFFSET(掉落_design!$E12,0,掉落_design!N$2,1,1)="","",OFFSET(掉落_design!$E12,0,掉落_design!N$2,1,1)&amp;";"&amp;OFFSET(掉落_design!$E12,0,掉落_design!N$2+1,1,1)&amp;";"&amp;OFFSET(掉落_design!$E12,0,掉落_design!N$2+2,1,1)&amp;";"&amp;OFFSET(掉落_design!$E12,0,掉落_design!N$2+3,1,1))</f>
        <v/>
      </c>
      <c r="P12" s="16" t="str">
        <f ca="1">IF(OFFSET(掉落_design!$E12,0,掉落_design!O$2,1,1)="","",OFFSET(掉落_design!$E12,0,掉落_design!O$2,1,1)&amp;";"&amp;OFFSET(掉落_design!$E12,0,掉落_design!O$2+1,1,1)&amp;";"&amp;OFFSET(掉落_design!$E12,0,掉落_design!O$2+2,1,1)&amp;";"&amp;OFFSET(掉落_design!$E12,0,掉落_design!O$2+3,1,1))</f>
        <v/>
      </c>
      <c r="Q12" s="16" t="str">
        <f ca="1">IF(OFFSET(掉落_design!$E12,0,掉落_design!P$2,1,1)="","",OFFSET(掉落_design!$E12,0,掉落_design!P$2,1,1)&amp;";"&amp;OFFSET(掉落_design!$E12,0,掉落_design!P$2+1,1,1)&amp;";"&amp;OFFSET(掉落_design!$E12,0,掉落_design!P$2+2,1,1)&amp;";"&amp;OFFSET(掉落_design!$E12,0,掉落_design!P$2+3,1,1))</f>
        <v/>
      </c>
      <c r="R12" s="16" t="str">
        <f ca="1">IF(OFFSET(掉落_design!$E12,0,掉落_design!Q$2,1,1)="","",OFFSET(掉落_design!$E12,0,掉落_design!Q$2,1,1)&amp;";"&amp;OFFSET(掉落_design!$E12,0,掉落_design!Q$2+1,1,1)&amp;";"&amp;OFFSET(掉落_design!$E12,0,掉落_design!Q$2+2,1,1)&amp;";"&amp;OFFSET(掉落_design!$E12,0,掉落_design!Q$2+3,1,1))</f>
        <v/>
      </c>
      <c r="S12" s="16" t="str">
        <f ca="1">IF(OFFSET(掉落_design!$E12,0,掉落_design!R$2,1,1)="","",OFFSET(掉落_design!$E12,0,掉落_design!R$2,1,1)&amp;";"&amp;OFFSET(掉落_design!$E12,0,掉落_design!R$2+1,1,1)&amp;";"&amp;OFFSET(掉落_design!$E12,0,掉落_design!R$2+2,1,1)&amp;";"&amp;OFFSET(掉落_design!$E12,0,掉落_design!R$2+3,1,1))</f>
        <v/>
      </c>
      <c r="T12" s="16" t="str">
        <f ca="1">IF(OFFSET(掉落_design!$E12,0,掉落_design!S$2,1,1)="","",OFFSET(掉落_design!$E12,0,掉落_design!S$2,1,1)&amp;";"&amp;OFFSET(掉落_design!$E12,0,掉落_design!S$2+1,1,1)&amp;";"&amp;OFFSET(掉落_design!$E12,0,掉落_design!S$2+2,1,1)&amp;";"&amp;OFFSET(掉落_design!$E12,0,掉落_design!S$2+3,1,1))</f>
        <v/>
      </c>
      <c r="U12" s="16" t="str">
        <f ca="1">IF(OFFSET(掉落_design!$E12,0,掉落_design!T$2,1,1)="","",OFFSET(掉落_design!$E12,0,掉落_design!T$2,1,1)&amp;";"&amp;OFFSET(掉落_design!$E12,0,掉落_design!T$2+1,1,1)&amp;";"&amp;OFFSET(掉落_design!$E12,0,掉落_design!T$2+2,1,1)&amp;";"&amp;OFFSET(掉落_design!$E12,0,掉落_design!T$2+3,1,1))</f>
        <v/>
      </c>
      <c r="V12" s="16" t="str">
        <f ca="1">IF(OFFSET(掉落_design!$E12,0,掉落_design!U$2,1,1)="","",OFFSET(掉落_design!$E12,0,掉落_design!U$2,1,1)&amp;";"&amp;OFFSET(掉落_design!$E12,0,掉落_design!U$2+1,1,1)&amp;";"&amp;OFFSET(掉落_design!$E12,0,掉落_design!U$2+2,1,1)&amp;";"&amp;OFFSET(掉落_design!$E12,0,掉落_design!U$2+3,1,1))</f>
        <v/>
      </c>
      <c r="W12" s="16" t="str">
        <f ca="1">IF(OFFSET(掉落_design!$E12,0,掉落_design!V$2,1,1)="","",OFFSET(掉落_design!$E12,0,掉落_design!V$2,1,1)&amp;";"&amp;OFFSET(掉落_design!$E12,0,掉落_design!V$2+1,1,1)&amp;";"&amp;OFFSET(掉落_design!$E12,0,掉落_design!V$2+2,1,1)&amp;";"&amp;OFFSET(掉落_design!$E12,0,掉落_design!V$2+3,1,1))</f>
        <v/>
      </c>
      <c r="X12" s="16" t="str">
        <f ca="1">IF(OFFSET(掉落_design!$E12,0,掉落_design!W$2,1,1)="","",OFFSET(掉落_design!$E12,0,掉落_design!W$2,1,1)&amp;";"&amp;OFFSET(掉落_design!$E12,0,掉落_design!W$2+1,1,1)&amp;";"&amp;OFFSET(掉落_design!$E12,0,掉落_design!W$2+2,1,1)&amp;";"&amp;OFFSET(掉落_design!$E12,0,掉落_design!W$2+3,1,1))</f>
        <v/>
      </c>
      <c r="Y12" s="16" t="str">
        <f ca="1">IF(OFFSET(掉落_design!$E12,0,掉落_design!X$2,1,1)="","",OFFSET(掉落_design!$E12,0,掉落_design!X$2,1,1)&amp;";"&amp;OFFSET(掉落_design!$E12,0,掉落_design!X$2+1,1,1)&amp;";"&amp;OFFSET(掉落_design!$E12,0,掉落_design!X$2+2,1,1)&amp;";"&amp;OFFSET(掉落_design!$E12,0,掉落_design!X$2+3,1,1))</f>
        <v/>
      </c>
    </row>
    <row r="13" spans="1:27" x14ac:dyDescent="0.15">
      <c r="A13" s="11" t="str">
        <f t="shared" si="0"/>
        <v>DATA</v>
      </c>
      <c r="B13" s="25"/>
      <c r="C13" s="25"/>
      <c r="D13" s="15">
        <f>IF(掉落_design!C13="","",掉落_design!C13)</f>
        <v>40103</v>
      </c>
      <c r="E13" s="15">
        <f>IF(A13="","",掉落_design!D13)</f>
        <v>2</v>
      </c>
      <c r="F13" s="16" t="str">
        <f ca="1">IF(OFFSET(掉落_design!$E13,0,掉落_design!E$2,1,1)="","",OFFSET(掉落_design!$E13,0,掉落_design!E$2,1,1)&amp;";"&amp;OFFSET(掉落_design!$E13,0,掉落_design!E$2+1,1,1)&amp;";"&amp;OFFSET(掉落_design!$E13,0,掉落_design!E$2+2,1,1)&amp;";"&amp;OFFSET(掉落_design!$E13,0,掉落_design!E$2+3,1,1))</f>
        <v>1001;1;1;1</v>
      </c>
      <c r="G13" s="16" t="str">
        <f ca="1">IF(OFFSET(掉落_design!$E13,0,掉落_design!F$2,1,1)="","",OFFSET(掉落_design!$E13,0,掉落_design!F$2,1,1)&amp;";"&amp;OFFSET(掉落_design!$E13,0,掉落_design!F$2+1,1,1)&amp;";"&amp;OFFSET(掉落_design!$E13,0,掉落_design!F$2+2,1,1)&amp;";"&amp;OFFSET(掉落_design!$E13,0,掉落_design!F$2+3,1,1))</f>
        <v>1203;1;1;1</v>
      </c>
      <c r="H13" s="16" t="str">
        <f ca="1">IF(OFFSET(掉落_design!$E13,0,掉落_design!G$2,1,1)="","",OFFSET(掉落_design!$E13,0,掉落_design!G$2,1,1)&amp;";"&amp;OFFSET(掉落_design!$E13,0,掉落_design!G$2+1,1,1)&amp;";"&amp;OFFSET(掉落_design!$E13,0,掉落_design!G$2+2,1,1)&amp;";"&amp;OFFSET(掉落_design!$E13,0,掉落_design!G$2+3,1,1))</f>
        <v/>
      </c>
      <c r="I13" s="16" t="str">
        <f ca="1">IF(OFFSET(掉落_design!$E13,0,掉落_design!H$2,1,1)="","",OFFSET(掉落_design!$E13,0,掉落_design!H$2,1,1)&amp;";"&amp;OFFSET(掉落_design!$E13,0,掉落_design!H$2+1,1,1)&amp;";"&amp;OFFSET(掉落_design!$E13,0,掉落_design!H$2+2,1,1)&amp;";"&amp;OFFSET(掉落_design!$E13,0,掉落_design!H$2+3,1,1))</f>
        <v/>
      </c>
      <c r="J13" s="16" t="str">
        <f ca="1">IF(OFFSET(掉落_design!$E13,0,掉落_design!I$2,1,1)="","",OFFSET(掉落_design!$E13,0,掉落_design!I$2,1,1)&amp;";"&amp;OFFSET(掉落_design!$E13,0,掉落_design!I$2+1,1,1)&amp;";"&amp;OFFSET(掉落_design!$E13,0,掉落_design!I$2+2,1,1)&amp;";"&amp;OFFSET(掉落_design!$E13,0,掉落_design!I$2+3,1,1))</f>
        <v/>
      </c>
      <c r="K13" s="16" t="str">
        <f ca="1">IF(OFFSET(掉落_design!$E13,0,掉落_design!J$2,1,1)="","",OFFSET(掉落_design!$E13,0,掉落_design!J$2,1,1)&amp;";"&amp;OFFSET(掉落_design!$E13,0,掉落_design!J$2+1,1,1)&amp;";"&amp;OFFSET(掉落_design!$E13,0,掉落_design!J$2+2,1,1)&amp;";"&amp;OFFSET(掉落_design!$E13,0,掉落_design!J$2+3,1,1))</f>
        <v/>
      </c>
      <c r="L13" s="16" t="str">
        <f ca="1">IF(OFFSET(掉落_design!$E13,0,掉落_design!K$2,1,1)="","",OFFSET(掉落_design!$E13,0,掉落_design!K$2,1,1)&amp;";"&amp;OFFSET(掉落_design!$E13,0,掉落_design!K$2+1,1,1)&amp;";"&amp;OFFSET(掉落_design!$E13,0,掉落_design!K$2+2,1,1)&amp;";"&amp;OFFSET(掉落_design!$E13,0,掉落_design!K$2+3,1,1))</f>
        <v/>
      </c>
      <c r="M13" s="16" t="str">
        <f ca="1">IF(OFFSET(掉落_design!$E13,0,掉落_design!L$2,1,1)="","",OFFSET(掉落_design!$E13,0,掉落_design!L$2,1,1)&amp;";"&amp;OFFSET(掉落_design!$E13,0,掉落_design!L$2+1,1,1)&amp;";"&amp;OFFSET(掉落_design!$E13,0,掉落_design!L$2+2,1,1)&amp;";"&amp;OFFSET(掉落_design!$E13,0,掉落_design!L$2+3,1,1))</f>
        <v/>
      </c>
      <c r="N13" s="16" t="str">
        <f ca="1">IF(OFFSET(掉落_design!$E13,0,掉落_design!M$2,1,1)="","",OFFSET(掉落_design!$E13,0,掉落_design!M$2,1,1)&amp;";"&amp;OFFSET(掉落_design!$E13,0,掉落_design!M$2+1,1,1)&amp;";"&amp;OFFSET(掉落_design!$E13,0,掉落_design!M$2+2,1,1)&amp;";"&amp;OFFSET(掉落_design!$E13,0,掉落_design!M$2+3,1,1))</f>
        <v/>
      </c>
      <c r="O13" s="16" t="str">
        <f ca="1">IF(OFFSET(掉落_design!$E13,0,掉落_design!N$2,1,1)="","",OFFSET(掉落_design!$E13,0,掉落_design!N$2,1,1)&amp;";"&amp;OFFSET(掉落_design!$E13,0,掉落_design!N$2+1,1,1)&amp;";"&amp;OFFSET(掉落_design!$E13,0,掉落_design!N$2+2,1,1)&amp;";"&amp;OFFSET(掉落_design!$E13,0,掉落_design!N$2+3,1,1))</f>
        <v/>
      </c>
      <c r="P13" s="16" t="str">
        <f ca="1">IF(OFFSET(掉落_design!$E13,0,掉落_design!O$2,1,1)="","",OFFSET(掉落_design!$E13,0,掉落_design!O$2,1,1)&amp;";"&amp;OFFSET(掉落_design!$E13,0,掉落_design!O$2+1,1,1)&amp;";"&amp;OFFSET(掉落_design!$E13,0,掉落_design!O$2+2,1,1)&amp;";"&amp;OFFSET(掉落_design!$E13,0,掉落_design!O$2+3,1,1))</f>
        <v/>
      </c>
      <c r="Q13" s="16" t="str">
        <f ca="1">IF(OFFSET(掉落_design!$E13,0,掉落_design!P$2,1,1)="","",OFFSET(掉落_design!$E13,0,掉落_design!P$2,1,1)&amp;";"&amp;OFFSET(掉落_design!$E13,0,掉落_design!P$2+1,1,1)&amp;";"&amp;OFFSET(掉落_design!$E13,0,掉落_design!P$2+2,1,1)&amp;";"&amp;OFFSET(掉落_design!$E13,0,掉落_design!P$2+3,1,1))</f>
        <v/>
      </c>
      <c r="R13" s="16" t="str">
        <f ca="1">IF(OFFSET(掉落_design!$E13,0,掉落_design!Q$2,1,1)="","",OFFSET(掉落_design!$E13,0,掉落_design!Q$2,1,1)&amp;";"&amp;OFFSET(掉落_design!$E13,0,掉落_design!Q$2+1,1,1)&amp;";"&amp;OFFSET(掉落_design!$E13,0,掉落_design!Q$2+2,1,1)&amp;";"&amp;OFFSET(掉落_design!$E13,0,掉落_design!Q$2+3,1,1))</f>
        <v/>
      </c>
      <c r="S13" s="16" t="str">
        <f ca="1">IF(OFFSET(掉落_design!$E13,0,掉落_design!R$2,1,1)="","",OFFSET(掉落_design!$E13,0,掉落_design!R$2,1,1)&amp;";"&amp;OFFSET(掉落_design!$E13,0,掉落_design!R$2+1,1,1)&amp;";"&amp;OFFSET(掉落_design!$E13,0,掉落_design!R$2+2,1,1)&amp;";"&amp;OFFSET(掉落_design!$E13,0,掉落_design!R$2+3,1,1))</f>
        <v/>
      </c>
      <c r="T13" s="16" t="str">
        <f ca="1">IF(OFFSET(掉落_design!$E13,0,掉落_design!S$2,1,1)="","",OFFSET(掉落_design!$E13,0,掉落_design!S$2,1,1)&amp;";"&amp;OFFSET(掉落_design!$E13,0,掉落_design!S$2+1,1,1)&amp;";"&amp;OFFSET(掉落_design!$E13,0,掉落_design!S$2+2,1,1)&amp;";"&amp;OFFSET(掉落_design!$E13,0,掉落_design!S$2+3,1,1))</f>
        <v/>
      </c>
      <c r="U13" s="16" t="str">
        <f ca="1">IF(OFFSET(掉落_design!$E13,0,掉落_design!T$2,1,1)="","",OFFSET(掉落_design!$E13,0,掉落_design!T$2,1,1)&amp;";"&amp;OFFSET(掉落_design!$E13,0,掉落_design!T$2+1,1,1)&amp;";"&amp;OFFSET(掉落_design!$E13,0,掉落_design!T$2+2,1,1)&amp;";"&amp;OFFSET(掉落_design!$E13,0,掉落_design!T$2+3,1,1))</f>
        <v/>
      </c>
      <c r="V13" s="16" t="str">
        <f ca="1">IF(OFFSET(掉落_design!$E13,0,掉落_design!U$2,1,1)="","",OFFSET(掉落_design!$E13,0,掉落_design!U$2,1,1)&amp;";"&amp;OFFSET(掉落_design!$E13,0,掉落_design!U$2+1,1,1)&amp;";"&amp;OFFSET(掉落_design!$E13,0,掉落_design!U$2+2,1,1)&amp;";"&amp;OFFSET(掉落_design!$E13,0,掉落_design!U$2+3,1,1))</f>
        <v/>
      </c>
      <c r="W13" s="16" t="str">
        <f ca="1">IF(OFFSET(掉落_design!$E13,0,掉落_design!V$2,1,1)="","",OFFSET(掉落_design!$E13,0,掉落_design!V$2,1,1)&amp;";"&amp;OFFSET(掉落_design!$E13,0,掉落_design!V$2+1,1,1)&amp;";"&amp;OFFSET(掉落_design!$E13,0,掉落_design!V$2+2,1,1)&amp;";"&amp;OFFSET(掉落_design!$E13,0,掉落_design!V$2+3,1,1))</f>
        <v/>
      </c>
      <c r="X13" s="16" t="str">
        <f ca="1">IF(OFFSET(掉落_design!$E13,0,掉落_design!W$2,1,1)="","",OFFSET(掉落_design!$E13,0,掉落_design!W$2,1,1)&amp;";"&amp;OFFSET(掉落_design!$E13,0,掉落_design!W$2+1,1,1)&amp;";"&amp;OFFSET(掉落_design!$E13,0,掉落_design!W$2+2,1,1)&amp;";"&amp;OFFSET(掉落_design!$E13,0,掉落_design!W$2+3,1,1))</f>
        <v/>
      </c>
      <c r="Y13" s="16" t="str">
        <f ca="1">IF(OFFSET(掉落_design!$E13,0,掉落_design!X$2,1,1)="","",OFFSET(掉落_design!$E13,0,掉落_design!X$2,1,1)&amp;";"&amp;OFFSET(掉落_design!$E13,0,掉落_design!X$2+1,1,1)&amp;";"&amp;OFFSET(掉落_design!$E13,0,掉落_design!X$2+2,1,1)&amp;";"&amp;OFFSET(掉落_design!$E13,0,掉落_design!X$2+3,1,1))</f>
        <v/>
      </c>
    </row>
    <row r="14" spans="1:27" x14ac:dyDescent="0.15">
      <c r="A14" s="11" t="str">
        <f t="shared" ref="A14" si="1">IF(D14="","","DATA")</f>
        <v/>
      </c>
      <c r="B14" s="11" t="str">
        <f t="shared" ref="B14" si="2">IF(E14="","","DATA")</f>
        <v/>
      </c>
      <c r="C14" s="11" t="str">
        <f t="shared" ref="C14" si="3">IF(F14="","","DATA")</f>
        <v/>
      </c>
      <c r="D14" s="11" t="str">
        <f t="shared" ref="D14" si="4">IF(G14="","","DATA")</f>
        <v/>
      </c>
      <c r="E14" s="11" t="str">
        <f t="shared" ref="E14" si="5">IF(H14="","","DATA")</f>
        <v/>
      </c>
      <c r="F14" s="11" t="str">
        <f t="shared" ref="F14" si="6">IF(I14="","","DATA")</f>
        <v/>
      </c>
      <c r="G14" s="11" t="str">
        <f t="shared" ref="G14" si="7">IF(J14="","","DATA")</f>
        <v/>
      </c>
      <c r="H14" s="11" t="str">
        <f t="shared" ref="H14" si="8">IF(K14="","","DATA")</f>
        <v/>
      </c>
      <c r="I14" s="11" t="str">
        <f t="shared" ref="I14" si="9">IF(L14="","","DATA")</f>
        <v/>
      </c>
      <c r="J14" s="11" t="str">
        <f t="shared" ref="J14" si="10">IF(M14="","","DATA")</f>
        <v/>
      </c>
      <c r="K14" s="11" t="str">
        <f t="shared" ref="K14" si="11">IF(N14="","","DATA")</f>
        <v/>
      </c>
      <c r="L14" s="11" t="str">
        <f t="shared" ref="L14" si="12">IF(O14="","","DATA")</f>
        <v/>
      </c>
      <c r="M14" s="11" t="str">
        <f t="shared" ref="M14" si="13">IF(P14="","","DATA")</f>
        <v/>
      </c>
      <c r="N14" s="11" t="str">
        <f t="shared" ref="N14" si="14">IF(Q14="","","DATA")</f>
        <v/>
      </c>
      <c r="O14" s="11" t="str">
        <f t="shared" ref="O14" si="15">IF(R14="","","DATA")</f>
        <v/>
      </c>
      <c r="P14" s="11" t="str">
        <f t="shared" ref="P14" si="16">IF(S14="","","DATA")</f>
        <v/>
      </c>
      <c r="Q14" s="11" t="str">
        <f t="shared" ref="Q14" si="17">IF(T14="","","DATA")</f>
        <v/>
      </c>
      <c r="R14" s="11" t="str">
        <f t="shared" ref="R14" si="18">IF(U14="","","DATA")</f>
        <v/>
      </c>
      <c r="S14" s="11" t="str">
        <f t="shared" ref="S14" si="19">IF(V14="","","DATA")</f>
        <v/>
      </c>
      <c r="T14" s="11" t="str">
        <f t="shared" ref="T14" si="20">IF(W14="","","DATA")</f>
        <v/>
      </c>
      <c r="U14" s="11" t="str">
        <f t="shared" ref="U14" si="21">IF(X14="","","DATA")</f>
        <v/>
      </c>
      <c r="V14" s="11" t="str">
        <f t="shared" ref="V14" si="22">IF(Y14="","","DATA")</f>
        <v/>
      </c>
      <c r="W14" s="11" t="str">
        <f t="shared" ref="W14" si="23">IF(Z14="","","DATA")</f>
        <v/>
      </c>
      <c r="X14" s="11" t="str">
        <f t="shared" ref="X14" si="24">IF(AA14="","","DATA")</f>
        <v/>
      </c>
      <c r="Y14" s="11" t="str">
        <f t="shared" ref="Y14" si="25">IF(AB14="","","DATA")</f>
        <v/>
      </c>
      <c r="Z14" s="11" t="str">
        <f t="shared" ref="Z14" si="26">IF(AC14="","","DATA")</f>
        <v/>
      </c>
      <c r="AA14" s="11" t="str">
        <f t="shared" ref="AA14" si="27">IF(AD14="","","DATA")</f>
        <v/>
      </c>
    </row>
    <row r="15" spans="1:27" x14ac:dyDescent="0.15">
      <c r="A15" s="11" t="str">
        <f t="shared" si="0"/>
        <v>DATA</v>
      </c>
      <c r="B15" s="25"/>
      <c r="C15" s="25"/>
      <c r="D15" s="15">
        <f>IF(掉落_design!C15="","",掉落_design!C15)</f>
        <v>40201</v>
      </c>
      <c r="E15" s="15">
        <f>IF(A15="","",掉落_design!D15)</f>
        <v>2</v>
      </c>
      <c r="F15" s="16" t="str">
        <f ca="1">IF(OFFSET(掉落_design!$E15,0,掉落_design!E$2,1,1)="","",OFFSET(掉落_design!$E15,0,掉落_design!E$2,1,1)&amp;";"&amp;OFFSET(掉落_design!$E15,0,掉落_design!E$2+1,1,1)&amp;";"&amp;OFFSET(掉落_design!$E15,0,掉落_design!E$2+2,1,1)&amp;";"&amp;OFFSET(掉落_design!$E15,0,掉落_design!E$2+3,1,1))</f>
        <v>1001;200;400;20</v>
      </c>
      <c r="G15" s="16" t="str">
        <f ca="1">IF(OFFSET(掉落_design!$E15,0,掉落_design!F$2,1,1)="","",OFFSET(掉落_design!$E15,0,掉落_design!F$2,1,1)&amp;";"&amp;OFFSET(掉落_design!$E15,0,掉落_design!F$2+1,1,1)&amp;";"&amp;OFFSET(掉落_design!$E15,0,掉落_design!F$2+2,1,1)&amp;";"&amp;OFFSET(掉落_design!$E15,0,掉落_design!F$2+3,1,1))</f>
        <v>1200;1;1;11</v>
      </c>
      <c r="H15" s="16" t="str">
        <f ca="1">IF(OFFSET(掉落_design!$E15,0,掉落_design!G$2,1,1)="","",OFFSET(掉落_design!$E15,0,掉落_design!G$2,1,1)&amp;";"&amp;OFFSET(掉落_design!$E15,0,掉落_design!G$2+1,1,1)&amp;";"&amp;OFFSET(掉落_design!$E15,0,掉落_design!G$2+2,1,1)&amp;";"&amp;OFFSET(掉落_design!$E15,0,掉落_design!G$2+3,1,1))</f>
        <v>1201;1;1;1</v>
      </c>
      <c r="I15" s="16" t="str">
        <f ca="1">IF(OFFSET(掉落_design!$E15,0,掉落_design!H$2,1,1)="","",OFFSET(掉落_design!$E15,0,掉落_design!H$2,1,1)&amp;";"&amp;OFFSET(掉落_design!$E15,0,掉落_design!H$2+1,1,1)&amp;";"&amp;OFFSET(掉落_design!$E15,0,掉落_design!H$2+2,1,1)&amp;";"&amp;OFFSET(掉落_design!$E15,0,掉落_design!H$2+3,1,1))</f>
        <v>1202;1;1;1</v>
      </c>
      <c r="J15" s="16" t="str">
        <f ca="1">IF(OFFSET(掉落_design!$E15,0,掉落_design!I$2,1,1)="","",OFFSET(掉落_design!$E15,0,掉落_design!I$2,1,1)&amp;";"&amp;OFFSET(掉落_design!$E15,0,掉落_design!I$2+1,1,1)&amp;";"&amp;OFFSET(掉落_design!$E15,0,掉落_design!I$2+2,1,1)&amp;";"&amp;OFFSET(掉落_design!$E15,0,掉落_design!I$2+3,1,1))</f>
        <v>1100;1;1;1</v>
      </c>
      <c r="K15" s="16" t="str">
        <f ca="1">IF(OFFSET(掉落_design!$E15,0,掉落_design!J$2,1,1)="","",OFFSET(掉落_design!$E15,0,掉落_design!J$2,1,1)&amp;";"&amp;OFFSET(掉落_design!$E15,0,掉落_design!J$2+1,1,1)&amp;";"&amp;OFFSET(掉落_design!$E15,0,掉落_design!J$2+2,1,1)&amp;";"&amp;OFFSET(掉落_design!$E15,0,掉落_design!J$2+3,1,1))</f>
        <v>1101;1;1;1</v>
      </c>
      <c r="L15" s="16" t="str">
        <f ca="1">IF(OFFSET(掉落_design!$E15,0,掉落_design!K$2,1,1)="","",OFFSET(掉落_design!$E15,0,掉落_design!K$2,1,1)&amp;";"&amp;OFFSET(掉落_design!$E15,0,掉落_design!K$2+1,1,1)&amp;";"&amp;OFFSET(掉落_design!$E15,0,掉落_design!K$2+2,1,1)&amp;";"&amp;OFFSET(掉落_design!$E15,0,掉落_design!K$2+3,1,1))</f>
        <v/>
      </c>
      <c r="M15" s="16" t="str">
        <f ca="1">IF(OFFSET(掉落_design!$E15,0,掉落_design!L$2,1,1)="","",OFFSET(掉落_design!$E15,0,掉落_design!L$2,1,1)&amp;";"&amp;OFFSET(掉落_design!$E15,0,掉落_design!L$2+1,1,1)&amp;";"&amp;OFFSET(掉落_design!$E15,0,掉落_design!L$2+2,1,1)&amp;";"&amp;OFFSET(掉落_design!$E15,0,掉落_design!L$2+3,1,1))</f>
        <v/>
      </c>
      <c r="N15" s="16" t="str">
        <f ca="1">IF(OFFSET(掉落_design!$E15,0,掉落_design!M$2,1,1)="","",OFFSET(掉落_design!$E15,0,掉落_design!M$2,1,1)&amp;";"&amp;OFFSET(掉落_design!$E15,0,掉落_design!M$2+1,1,1)&amp;";"&amp;OFFSET(掉落_design!$E15,0,掉落_design!M$2+2,1,1)&amp;";"&amp;OFFSET(掉落_design!$E15,0,掉落_design!M$2+3,1,1))</f>
        <v/>
      </c>
      <c r="O15" s="16" t="str">
        <f ca="1">IF(OFFSET(掉落_design!$E15,0,掉落_design!N$2,1,1)="","",OFFSET(掉落_design!$E15,0,掉落_design!N$2,1,1)&amp;";"&amp;OFFSET(掉落_design!$E15,0,掉落_design!N$2+1,1,1)&amp;";"&amp;OFFSET(掉落_design!$E15,0,掉落_design!N$2+2,1,1)&amp;";"&amp;OFFSET(掉落_design!$E15,0,掉落_design!N$2+3,1,1))</f>
        <v/>
      </c>
      <c r="P15" s="16" t="str">
        <f ca="1">IF(OFFSET(掉落_design!$E15,0,掉落_design!O$2,1,1)="","",OFFSET(掉落_design!$E15,0,掉落_design!O$2,1,1)&amp;";"&amp;OFFSET(掉落_design!$E15,0,掉落_design!O$2+1,1,1)&amp;";"&amp;OFFSET(掉落_design!$E15,0,掉落_design!O$2+2,1,1)&amp;";"&amp;OFFSET(掉落_design!$E15,0,掉落_design!O$2+3,1,1))</f>
        <v/>
      </c>
      <c r="Q15" s="16" t="str">
        <f ca="1">IF(OFFSET(掉落_design!$E15,0,掉落_design!P$2,1,1)="","",OFFSET(掉落_design!$E15,0,掉落_design!P$2,1,1)&amp;";"&amp;OFFSET(掉落_design!$E15,0,掉落_design!P$2+1,1,1)&amp;";"&amp;OFFSET(掉落_design!$E15,0,掉落_design!P$2+2,1,1)&amp;";"&amp;OFFSET(掉落_design!$E15,0,掉落_design!P$2+3,1,1))</f>
        <v/>
      </c>
      <c r="R15" s="16" t="str">
        <f ca="1">IF(OFFSET(掉落_design!$E15,0,掉落_design!Q$2,1,1)="","",OFFSET(掉落_design!$E15,0,掉落_design!Q$2,1,1)&amp;";"&amp;OFFSET(掉落_design!$E15,0,掉落_design!Q$2+1,1,1)&amp;";"&amp;OFFSET(掉落_design!$E15,0,掉落_design!Q$2+2,1,1)&amp;";"&amp;OFFSET(掉落_design!$E15,0,掉落_design!Q$2+3,1,1))</f>
        <v/>
      </c>
      <c r="S15" s="16" t="str">
        <f ca="1">IF(OFFSET(掉落_design!$E15,0,掉落_design!R$2,1,1)="","",OFFSET(掉落_design!$E15,0,掉落_design!R$2,1,1)&amp;";"&amp;OFFSET(掉落_design!$E15,0,掉落_design!R$2+1,1,1)&amp;";"&amp;OFFSET(掉落_design!$E15,0,掉落_design!R$2+2,1,1)&amp;";"&amp;OFFSET(掉落_design!$E15,0,掉落_design!R$2+3,1,1))</f>
        <v/>
      </c>
      <c r="T15" s="16" t="str">
        <f ca="1">IF(OFFSET(掉落_design!$E15,0,掉落_design!S$2,1,1)="","",OFFSET(掉落_design!$E15,0,掉落_design!S$2,1,1)&amp;";"&amp;OFFSET(掉落_design!$E15,0,掉落_design!S$2+1,1,1)&amp;";"&amp;OFFSET(掉落_design!$E15,0,掉落_design!S$2+2,1,1)&amp;";"&amp;OFFSET(掉落_design!$E15,0,掉落_design!S$2+3,1,1))</f>
        <v/>
      </c>
      <c r="U15" s="16" t="str">
        <f ca="1">IF(OFFSET(掉落_design!$E15,0,掉落_design!T$2,1,1)="","",OFFSET(掉落_design!$E15,0,掉落_design!T$2,1,1)&amp;";"&amp;OFFSET(掉落_design!$E15,0,掉落_design!T$2+1,1,1)&amp;";"&amp;OFFSET(掉落_design!$E15,0,掉落_design!T$2+2,1,1)&amp;";"&amp;OFFSET(掉落_design!$E15,0,掉落_design!T$2+3,1,1))</f>
        <v/>
      </c>
      <c r="V15" s="16" t="str">
        <f ca="1">IF(OFFSET(掉落_design!$E15,0,掉落_design!U$2,1,1)="","",OFFSET(掉落_design!$E15,0,掉落_design!U$2,1,1)&amp;";"&amp;OFFSET(掉落_design!$E15,0,掉落_design!U$2+1,1,1)&amp;";"&amp;OFFSET(掉落_design!$E15,0,掉落_design!U$2+2,1,1)&amp;";"&amp;OFFSET(掉落_design!$E15,0,掉落_design!U$2+3,1,1))</f>
        <v/>
      </c>
      <c r="W15" s="16" t="str">
        <f ca="1">IF(OFFSET(掉落_design!$E15,0,掉落_design!V$2,1,1)="","",OFFSET(掉落_design!$E15,0,掉落_design!V$2,1,1)&amp;";"&amp;OFFSET(掉落_design!$E15,0,掉落_design!V$2+1,1,1)&amp;";"&amp;OFFSET(掉落_design!$E15,0,掉落_design!V$2+2,1,1)&amp;";"&amp;OFFSET(掉落_design!$E15,0,掉落_design!V$2+3,1,1))</f>
        <v/>
      </c>
      <c r="X15" s="16" t="str">
        <f ca="1">IF(OFFSET(掉落_design!$E15,0,掉落_design!W$2,1,1)="","",OFFSET(掉落_design!$E15,0,掉落_design!W$2,1,1)&amp;";"&amp;OFFSET(掉落_design!$E15,0,掉落_design!W$2+1,1,1)&amp;";"&amp;OFFSET(掉落_design!$E15,0,掉落_design!W$2+2,1,1)&amp;";"&amp;OFFSET(掉落_design!$E15,0,掉落_design!W$2+3,1,1))</f>
        <v/>
      </c>
      <c r="Y15" s="16" t="str">
        <f ca="1">IF(OFFSET(掉落_design!$E15,0,掉落_design!X$2,1,1)="","",OFFSET(掉落_design!$E15,0,掉落_design!X$2,1,1)&amp;";"&amp;OFFSET(掉落_design!$E15,0,掉落_design!X$2+1,1,1)&amp;";"&amp;OFFSET(掉落_design!$E15,0,掉落_design!X$2+2,1,1)&amp;";"&amp;OFFSET(掉落_design!$E15,0,掉落_design!X$2+3,1,1))</f>
        <v/>
      </c>
    </row>
    <row r="16" spans="1:27" x14ac:dyDescent="0.15">
      <c r="A16" s="11" t="str">
        <f t="shared" si="0"/>
        <v>DATA</v>
      </c>
      <c r="B16" s="25"/>
      <c r="C16" s="25"/>
      <c r="D16" s="15">
        <f>IF(掉落_design!C16="","",掉落_design!C16)</f>
        <v>40202</v>
      </c>
      <c r="E16" s="15">
        <f>IF(A16="","",掉落_design!D16)</f>
        <v>2</v>
      </c>
      <c r="F16" s="16" t="str">
        <f ca="1">IF(OFFSET(掉落_design!$E16,0,掉落_design!E$2,1,1)="","",OFFSET(掉落_design!$E16,0,掉落_design!E$2,1,1)&amp;";"&amp;OFFSET(掉落_design!$E16,0,掉落_design!E$2+1,1,1)&amp;";"&amp;OFFSET(掉落_design!$E16,0,掉落_design!E$2+2,1,1)&amp;";"&amp;OFFSET(掉落_design!$E16,0,掉落_design!E$2+3,1,1))</f>
        <v>1001;200;400;20</v>
      </c>
      <c r="G16" s="16" t="str">
        <f ca="1">IF(OFFSET(掉落_design!$E16,0,掉落_design!F$2,1,1)="","",OFFSET(掉落_design!$E16,0,掉落_design!F$2,1,1)&amp;";"&amp;OFFSET(掉落_design!$E16,0,掉落_design!F$2+1,1,1)&amp;";"&amp;OFFSET(掉落_design!$E16,0,掉落_design!F$2+2,1,1)&amp;";"&amp;OFFSET(掉落_design!$E16,0,掉落_design!F$2+3,1,1))</f>
        <v>1200;1;1;11</v>
      </c>
      <c r="H16" s="16" t="str">
        <f ca="1">IF(OFFSET(掉落_design!$E16,0,掉落_design!G$2,1,1)="","",OFFSET(掉落_design!$E16,0,掉落_design!G$2,1,1)&amp;";"&amp;OFFSET(掉落_design!$E16,0,掉落_design!G$2+1,1,1)&amp;";"&amp;OFFSET(掉落_design!$E16,0,掉落_design!G$2+2,1,1)&amp;";"&amp;OFFSET(掉落_design!$E16,0,掉落_design!G$2+3,1,1))</f>
        <v>1201;1;1;1</v>
      </c>
      <c r="I16" s="16" t="str">
        <f ca="1">IF(OFFSET(掉落_design!$E16,0,掉落_design!H$2,1,1)="","",OFFSET(掉落_design!$E16,0,掉落_design!H$2,1,1)&amp;";"&amp;OFFSET(掉落_design!$E16,0,掉落_design!H$2+1,1,1)&amp;";"&amp;OFFSET(掉落_design!$E16,0,掉落_design!H$2+2,1,1)&amp;";"&amp;OFFSET(掉落_design!$E16,0,掉落_design!H$2+3,1,1))</f>
        <v>1202;1;1;1</v>
      </c>
      <c r="J16" s="16" t="str">
        <f ca="1">IF(OFFSET(掉落_design!$E16,0,掉落_design!I$2,1,1)="","",OFFSET(掉落_design!$E16,0,掉落_design!I$2,1,1)&amp;";"&amp;OFFSET(掉落_design!$E16,0,掉落_design!I$2+1,1,1)&amp;";"&amp;OFFSET(掉落_design!$E16,0,掉落_design!I$2+2,1,1)&amp;";"&amp;OFFSET(掉落_design!$E16,0,掉落_design!I$2+3,1,1))</f>
        <v>1100;1;1;1</v>
      </c>
      <c r="K16" s="16" t="str">
        <f ca="1">IF(OFFSET(掉落_design!$E16,0,掉落_design!J$2,1,1)="","",OFFSET(掉落_design!$E16,0,掉落_design!J$2,1,1)&amp;";"&amp;OFFSET(掉落_design!$E16,0,掉落_design!J$2+1,1,1)&amp;";"&amp;OFFSET(掉落_design!$E16,0,掉落_design!J$2+2,1,1)&amp;";"&amp;OFFSET(掉落_design!$E16,0,掉落_design!J$2+3,1,1))</f>
        <v>1101;1;1;1</v>
      </c>
      <c r="L16" s="16" t="str">
        <f ca="1">IF(OFFSET(掉落_design!$E16,0,掉落_design!K$2,1,1)="","",OFFSET(掉落_design!$E16,0,掉落_design!K$2,1,1)&amp;";"&amp;OFFSET(掉落_design!$E16,0,掉落_design!K$2+1,1,1)&amp;";"&amp;OFFSET(掉落_design!$E16,0,掉落_design!K$2+2,1,1)&amp;";"&amp;OFFSET(掉落_design!$E16,0,掉落_design!K$2+3,1,1))</f>
        <v/>
      </c>
      <c r="M16" s="16" t="str">
        <f ca="1">IF(OFFSET(掉落_design!$E16,0,掉落_design!L$2,1,1)="","",OFFSET(掉落_design!$E16,0,掉落_design!L$2,1,1)&amp;";"&amp;OFFSET(掉落_design!$E16,0,掉落_design!L$2+1,1,1)&amp;";"&amp;OFFSET(掉落_design!$E16,0,掉落_design!L$2+2,1,1)&amp;";"&amp;OFFSET(掉落_design!$E16,0,掉落_design!L$2+3,1,1))</f>
        <v/>
      </c>
      <c r="N16" s="16" t="str">
        <f ca="1">IF(OFFSET(掉落_design!$E16,0,掉落_design!M$2,1,1)="","",OFFSET(掉落_design!$E16,0,掉落_design!M$2,1,1)&amp;";"&amp;OFFSET(掉落_design!$E16,0,掉落_design!M$2+1,1,1)&amp;";"&amp;OFFSET(掉落_design!$E16,0,掉落_design!M$2+2,1,1)&amp;";"&amp;OFFSET(掉落_design!$E16,0,掉落_design!M$2+3,1,1))</f>
        <v/>
      </c>
      <c r="O16" s="16" t="str">
        <f ca="1">IF(OFFSET(掉落_design!$E16,0,掉落_design!N$2,1,1)="","",OFFSET(掉落_design!$E16,0,掉落_design!N$2,1,1)&amp;";"&amp;OFFSET(掉落_design!$E16,0,掉落_design!N$2+1,1,1)&amp;";"&amp;OFFSET(掉落_design!$E16,0,掉落_design!N$2+2,1,1)&amp;";"&amp;OFFSET(掉落_design!$E16,0,掉落_design!N$2+3,1,1))</f>
        <v/>
      </c>
      <c r="P16" s="16" t="str">
        <f ca="1">IF(OFFSET(掉落_design!$E16,0,掉落_design!O$2,1,1)="","",OFFSET(掉落_design!$E16,0,掉落_design!O$2,1,1)&amp;";"&amp;OFFSET(掉落_design!$E16,0,掉落_design!O$2+1,1,1)&amp;";"&amp;OFFSET(掉落_design!$E16,0,掉落_design!O$2+2,1,1)&amp;";"&amp;OFFSET(掉落_design!$E16,0,掉落_design!O$2+3,1,1))</f>
        <v/>
      </c>
      <c r="Q16" s="16" t="str">
        <f ca="1">IF(OFFSET(掉落_design!$E16,0,掉落_design!P$2,1,1)="","",OFFSET(掉落_design!$E16,0,掉落_design!P$2,1,1)&amp;";"&amp;OFFSET(掉落_design!$E16,0,掉落_design!P$2+1,1,1)&amp;";"&amp;OFFSET(掉落_design!$E16,0,掉落_design!P$2+2,1,1)&amp;";"&amp;OFFSET(掉落_design!$E16,0,掉落_design!P$2+3,1,1))</f>
        <v/>
      </c>
      <c r="R16" s="16" t="str">
        <f ca="1">IF(OFFSET(掉落_design!$E16,0,掉落_design!Q$2,1,1)="","",OFFSET(掉落_design!$E16,0,掉落_design!Q$2,1,1)&amp;";"&amp;OFFSET(掉落_design!$E16,0,掉落_design!Q$2+1,1,1)&amp;";"&amp;OFFSET(掉落_design!$E16,0,掉落_design!Q$2+2,1,1)&amp;";"&amp;OFFSET(掉落_design!$E16,0,掉落_design!Q$2+3,1,1))</f>
        <v/>
      </c>
      <c r="S16" s="16" t="str">
        <f ca="1">IF(OFFSET(掉落_design!$E16,0,掉落_design!R$2,1,1)="","",OFFSET(掉落_design!$E16,0,掉落_design!R$2,1,1)&amp;";"&amp;OFFSET(掉落_design!$E16,0,掉落_design!R$2+1,1,1)&amp;";"&amp;OFFSET(掉落_design!$E16,0,掉落_design!R$2+2,1,1)&amp;";"&amp;OFFSET(掉落_design!$E16,0,掉落_design!R$2+3,1,1))</f>
        <v/>
      </c>
      <c r="T16" s="16" t="str">
        <f ca="1">IF(OFFSET(掉落_design!$E16,0,掉落_design!S$2,1,1)="","",OFFSET(掉落_design!$E16,0,掉落_design!S$2,1,1)&amp;";"&amp;OFFSET(掉落_design!$E16,0,掉落_design!S$2+1,1,1)&amp;";"&amp;OFFSET(掉落_design!$E16,0,掉落_design!S$2+2,1,1)&amp;";"&amp;OFFSET(掉落_design!$E16,0,掉落_design!S$2+3,1,1))</f>
        <v/>
      </c>
      <c r="U16" s="16" t="str">
        <f ca="1">IF(OFFSET(掉落_design!$E16,0,掉落_design!T$2,1,1)="","",OFFSET(掉落_design!$E16,0,掉落_design!T$2,1,1)&amp;";"&amp;OFFSET(掉落_design!$E16,0,掉落_design!T$2+1,1,1)&amp;";"&amp;OFFSET(掉落_design!$E16,0,掉落_design!T$2+2,1,1)&amp;";"&amp;OFFSET(掉落_design!$E16,0,掉落_design!T$2+3,1,1))</f>
        <v/>
      </c>
      <c r="V16" s="16" t="str">
        <f ca="1">IF(OFFSET(掉落_design!$E16,0,掉落_design!U$2,1,1)="","",OFFSET(掉落_design!$E16,0,掉落_design!U$2,1,1)&amp;";"&amp;OFFSET(掉落_design!$E16,0,掉落_design!U$2+1,1,1)&amp;";"&amp;OFFSET(掉落_design!$E16,0,掉落_design!U$2+2,1,1)&amp;";"&amp;OFFSET(掉落_design!$E16,0,掉落_design!U$2+3,1,1))</f>
        <v/>
      </c>
      <c r="W16" s="16" t="str">
        <f ca="1">IF(OFFSET(掉落_design!$E16,0,掉落_design!V$2,1,1)="","",OFFSET(掉落_design!$E16,0,掉落_design!V$2,1,1)&amp;";"&amp;OFFSET(掉落_design!$E16,0,掉落_design!V$2+1,1,1)&amp;";"&amp;OFFSET(掉落_design!$E16,0,掉落_design!V$2+2,1,1)&amp;";"&amp;OFFSET(掉落_design!$E16,0,掉落_design!V$2+3,1,1))</f>
        <v/>
      </c>
      <c r="X16" s="16" t="str">
        <f ca="1">IF(OFFSET(掉落_design!$E16,0,掉落_design!W$2,1,1)="","",OFFSET(掉落_design!$E16,0,掉落_design!W$2,1,1)&amp;";"&amp;OFFSET(掉落_design!$E16,0,掉落_design!W$2+1,1,1)&amp;";"&amp;OFFSET(掉落_design!$E16,0,掉落_design!W$2+2,1,1)&amp;";"&amp;OFFSET(掉落_design!$E16,0,掉落_design!W$2+3,1,1))</f>
        <v/>
      </c>
      <c r="Y16" s="16" t="str">
        <f ca="1">IF(OFFSET(掉落_design!$E16,0,掉落_design!X$2,1,1)="","",OFFSET(掉落_design!$E16,0,掉落_design!X$2,1,1)&amp;";"&amp;OFFSET(掉落_design!$E16,0,掉落_design!X$2+1,1,1)&amp;";"&amp;OFFSET(掉落_design!$E16,0,掉落_design!X$2+2,1,1)&amp;";"&amp;OFFSET(掉落_design!$E16,0,掉落_design!X$2+3,1,1))</f>
        <v/>
      </c>
    </row>
    <row r="17" spans="1:25" x14ac:dyDescent="0.15">
      <c r="A17" s="11" t="str">
        <f t="shared" si="0"/>
        <v>DATA</v>
      </c>
      <c r="B17" s="25"/>
      <c r="C17" s="25"/>
      <c r="D17" s="15">
        <f>IF(掉落_design!C17="","",掉落_design!C17)</f>
        <v>40203</v>
      </c>
      <c r="E17" s="15">
        <f>IF(A17="","",掉落_design!D17)</f>
        <v>2</v>
      </c>
      <c r="F17" s="16" t="str">
        <f ca="1">IF(OFFSET(掉落_design!$E17,0,掉落_design!E$2,1,1)="","",OFFSET(掉落_design!$E17,0,掉落_design!E$2,1,1)&amp;";"&amp;OFFSET(掉落_design!$E17,0,掉落_design!E$2+1,1,1)&amp;";"&amp;OFFSET(掉落_design!$E17,0,掉落_design!E$2+2,1,1)&amp;";"&amp;OFFSET(掉落_design!$E17,0,掉落_design!E$2+3,1,1))</f>
        <v>1001;100;200;9</v>
      </c>
      <c r="G17" s="16" t="str">
        <f ca="1">IF(OFFSET(掉落_design!$E17,0,掉落_design!F$2,1,1)="","",OFFSET(掉落_design!$E17,0,掉落_design!F$2,1,1)&amp;";"&amp;OFFSET(掉落_design!$E17,0,掉落_design!F$2+1,1,1)&amp;";"&amp;OFFSET(掉落_design!$E17,0,掉落_design!F$2+2,1,1)&amp;";"&amp;OFFSET(掉落_design!$E17,0,掉落_design!F$2+3,1,1))</f>
        <v>3000;1;1;1</v>
      </c>
      <c r="H17" s="16" t="str">
        <f ca="1">IF(OFFSET(掉落_design!$E17,0,掉落_design!G$2,1,1)="","",OFFSET(掉落_design!$E17,0,掉落_design!G$2,1,1)&amp;";"&amp;OFFSET(掉落_design!$E17,0,掉落_design!G$2+1,1,1)&amp;";"&amp;OFFSET(掉落_design!$E17,0,掉落_design!G$2+2,1,1)&amp;";"&amp;OFFSET(掉落_design!$E17,0,掉落_design!G$2+3,1,1))</f>
        <v>3001;1;1;1</v>
      </c>
      <c r="I17" s="16" t="str">
        <f ca="1">IF(OFFSET(掉落_design!$E17,0,掉落_design!H$2,1,1)="","",OFFSET(掉落_design!$E17,0,掉落_design!H$2,1,1)&amp;";"&amp;OFFSET(掉落_design!$E17,0,掉落_design!H$2+1,1,1)&amp;";"&amp;OFFSET(掉落_design!$E17,0,掉落_design!H$2+2,1,1)&amp;";"&amp;OFFSET(掉落_design!$E17,0,掉落_design!H$2+3,1,1))</f>
        <v>3002;1;1;1</v>
      </c>
      <c r="J17" s="16" t="str">
        <f ca="1">IF(OFFSET(掉落_design!$E17,0,掉落_design!I$2,1,1)="","",OFFSET(掉落_design!$E17,0,掉落_design!I$2,1,1)&amp;";"&amp;OFFSET(掉落_design!$E17,0,掉落_design!I$2+1,1,1)&amp;";"&amp;OFFSET(掉落_design!$E17,0,掉落_design!I$2+2,1,1)&amp;";"&amp;OFFSET(掉落_design!$E17,0,掉落_design!I$2+3,1,1))</f>
        <v>3003;1;1;1</v>
      </c>
      <c r="K17" s="16" t="str">
        <f ca="1">IF(OFFSET(掉落_design!$E17,0,掉落_design!J$2,1,1)="","",OFFSET(掉落_design!$E17,0,掉落_design!J$2,1,1)&amp;";"&amp;OFFSET(掉落_design!$E17,0,掉落_design!J$2+1,1,1)&amp;";"&amp;OFFSET(掉落_design!$E17,0,掉落_design!J$2+2,1,1)&amp;";"&amp;OFFSET(掉落_design!$E17,0,掉落_design!J$2+3,1,1))</f>
        <v>3004;1;1;1</v>
      </c>
      <c r="L17" s="16" t="str">
        <f ca="1">IF(OFFSET(掉落_design!$E17,0,掉落_design!K$2,1,1)="","",OFFSET(掉落_design!$E17,0,掉落_design!K$2,1,1)&amp;";"&amp;OFFSET(掉落_design!$E17,0,掉落_design!K$2+1,1,1)&amp;";"&amp;OFFSET(掉落_design!$E17,0,掉落_design!K$2+2,1,1)&amp;";"&amp;OFFSET(掉落_design!$E17,0,掉落_design!K$2+3,1,1))</f>
        <v>3005;1;1;1</v>
      </c>
      <c r="M17" s="16" t="str">
        <f ca="1">IF(OFFSET(掉落_design!$E17,0,掉落_design!L$2,1,1)="","",OFFSET(掉落_design!$E17,0,掉落_design!L$2,1,1)&amp;";"&amp;OFFSET(掉落_design!$E17,0,掉落_design!L$2+1,1,1)&amp;";"&amp;OFFSET(掉落_design!$E17,0,掉落_design!L$2+2,1,1)&amp;";"&amp;OFFSET(掉落_design!$E17,0,掉落_design!L$2+3,1,1))</f>
        <v>3006;1;1;1</v>
      </c>
      <c r="N17" s="16" t="str">
        <f ca="1">IF(OFFSET(掉落_design!$E17,0,掉落_design!M$2,1,1)="","",OFFSET(掉落_design!$E17,0,掉落_design!M$2,1,1)&amp;";"&amp;OFFSET(掉落_design!$E17,0,掉落_design!M$2+1,1,1)&amp;";"&amp;OFFSET(掉落_design!$E17,0,掉落_design!M$2+2,1,1)&amp;";"&amp;OFFSET(掉落_design!$E17,0,掉落_design!M$2+3,1,1))</f>
        <v>3007;1;1;1</v>
      </c>
      <c r="O17" s="16" t="str">
        <f ca="1">IF(OFFSET(掉落_design!$E17,0,掉落_design!N$2,1,1)="","",OFFSET(掉落_design!$E17,0,掉落_design!N$2,1,1)&amp;";"&amp;OFFSET(掉落_design!$E17,0,掉落_design!N$2+1,1,1)&amp;";"&amp;OFFSET(掉落_design!$E17,0,掉落_design!N$2+2,1,1)&amp;";"&amp;OFFSET(掉落_design!$E17,0,掉落_design!N$2+3,1,1))</f>
        <v>3008;1;1;1</v>
      </c>
      <c r="P17" s="16" t="str">
        <f ca="1">IF(OFFSET(掉落_design!$E17,0,掉落_design!O$2,1,1)="","",OFFSET(掉落_design!$E17,0,掉落_design!O$2,1,1)&amp;";"&amp;OFFSET(掉落_design!$E17,0,掉落_design!O$2+1,1,1)&amp;";"&amp;OFFSET(掉落_design!$E17,0,掉落_design!O$2+2,1,1)&amp;";"&amp;OFFSET(掉落_design!$E17,0,掉落_design!O$2+3,1,1))</f>
        <v>3009;1;1;1</v>
      </c>
      <c r="Q17" s="16" t="str">
        <f ca="1">IF(OFFSET(掉落_design!$E17,0,掉落_design!P$2,1,1)="","",OFFSET(掉落_design!$E17,0,掉落_design!P$2,1,1)&amp;";"&amp;OFFSET(掉落_design!$E17,0,掉落_design!P$2+1,1,1)&amp;";"&amp;OFFSET(掉落_design!$E17,0,掉落_design!P$2+2,1,1)&amp;";"&amp;OFFSET(掉落_design!$E17,0,掉落_design!P$2+3,1,1))</f>
        <v/>
      </c>
      <c r="R17" s="16" t="str">
        <f ca="1">IF(OFFSET(掉落_design!$E17,0,掉落_design!Q$2,1,1)="","",OFFSET(掉落_design!$E17,0,掉落_design!Q$2,1,1)&amp;";"&amp;OFFSET(掉落_design!$E17,0,掉落_design!Q$2+1,1,1)&amp;";"&amp;OFFSET(掉落_design!$E17,0,掉落_design!Q$2+2,1,1)&amp;";"&amp;OFFSET(掉落_design!$E17,0,掉落_design!Q$2+3,1,1))</f>
        <v/>
      </c>
      <c r="S17" s="16" t="str">
        <f ca="1">IF(OFFSET(掉落_design!$E17,0,掉落_design!R$2,1,1)="","",OFFSET(掉落_design!$E17,0,掉落_design!R$2,1,1)&amp;";"&amp;OFFSET(掉落_design!$E17,0,掉落_design!R$2+1,1,1)&amp;";"&amp;OFFSET(掉落_design!$E17,0,掉落_design!R$2+2,1,1)&amp;";"&amp;OFFSET(掉落_design!$E17,0,掉落_design!R$2+3,1,1))</f>
        <v/>
      </c>
      <c r="T17" s="16" t="str">
        <f ca="1">IF(OFFSET(掉落_design!$E17,0,掉落_design!S$2,1,1)="","",OFFSET(掉落_design!$E17,0,掉落_design!S$2,1,1)&amp;";"&amp;OFFSET(掉落_design!$E17,0,掉落_design!S$2+1,1,1)&amp;";"&amp;OFFSET(掉落_design!$E17,0,掉落_design!S$2+2,1,1)&amp;";"&amp;OFFSET(掉落_design!$E17,0,掉落_design!S$2+3,1,1))</f>
        <v/>
      </c>
      <c r="U17" s="16" t="str">
        <f ca="1">IF(OFFSET(掉落_design!$E17,0,掉落_design!T$2,1,1)="","",OFFSET(掉落_design!$E17,0,掉落_design!T$2,1,1)&amp;";"&amp;OFFSET(掉落_design!$E17,0,掉落_design!T$2+1,1,1)&amp;";"&amp;OFFSET(掉落_design!$E17,0,掉落_design!T$2+2,1,1)&amp;";"&amp;OFFSET(掉落_design!$E17,0,掉落_design!T$2+3,1,1))</f>
        <v/>
      </c>
      <c r="V17" s="16" t="str">
        <f ca="1">IF(OFFSET(掉落_design!$E17,0,掉落_design!U$2,1,1)="","",OFFSET(掉落_design!$E17,0,掉落_design!U$2,1,1)&amp;";"&amp;OFFSET(掉落_design!$E17,0,掉落_design!U$2+1,1,1)&amp;";"&amp;OFFSET(掉落_design!$E17,0,掉落_design!U$2+2,1,1)&amp;";"&amp;OFFSET(掉落_design!$E17,0,掉落_design!U$2+3,1,1))</f>
        <v/>
      </c>
      <c r="W17" s="16" t="str">
        <f ca="1">IF(OFFSET(掉落_design!$E17,0,掉落_design!V$2,1,1)="","",OFFSET(掉落_design!$E17,0,掉落_design!V$2,1,1)&amp;";"&amp;OFFSET(掉落_design!$E17,0,掉落_design!V$2+1,1,1)&amp;";"&amp;OFFSET(掉落_design!$E17,0,掉落_design!V$2+2,1,1)&amp;";"&amp;OFFSET(掉落_design!$E17,0,掉落_design!V$2+3,1,1))</f>
        <v/>
      </c>
      <c r="X17" s="16" t="str">
        <f ca="1">IF(OFFSET(掉落_design!$E17,0,掉落_design!W$2,1,1)="","",OFFSET(掉落_design!$E17,0,掉落_design!W$2,1,1)&amp;";"&amp;OFFSET(掉落_design!$E17,0,掉落_design!W$2+1,1,1)&amp;";"&amp;OFFSET(掉落_design!$E17,0,掉落_design!W$2+2,1,1)&amp;";"&amp;OFFSET(掉落_design!$E17,0,掉落_design!W$2+3,1,1))</f>
        <v/>
      </c>
      <c r="Y17" s="16" t="str">
        <f ca="1">IF(OFFSET(掉落_design!$E17,0,掉落_design!X$2,1,1)="","",OFFSET(掉落_design!$E17,0,掉落_design!X$2,1,1)&amp;";"&amp;OFFSET(掉落_design!$E17,0,掉落_design!X$2+1,1,1)&amp;";"&amp;OFFSET(掉落_design!$E17,0,掉落_design!X$2+2,1,1)&amp;";"&amp;OFFSET(掉落_design!$E17,0,掉落_design!X$2+3,1,1))</f>
        <v/>
      </c>
    </row>
    <row r="18" spans="1:25" x14ac:dyDescent="0.15">
      <c r="A18" s="11" t="str">
        <f t="shared" si="0"/>
        <v/>
      </c>
      <c r="B18" s="25"/>
      <c r="C18" s="25"/>
      <c r="D18" s="15" t="str">
        <f>IF(掉落_design!C18="","",掉落_design!C18)</f>
        <v/>
      </c>
      <c r="E18" s="15" t="str">
        <f>IF(A18="","",掉落_design!D18)</f>
        <v/>
      </c>
      <c r="F18" s="16" t="str">
        <f ca="1">IF(OFFSET(掉落_design!$E18,0,掉落_design!E$2,1,1)="","",OFFSET(掉落_design!$E18,0,掉落_design!E$2,1,1)&amp;";"&amp;OFFSET(掉落_design!$E18,0,掉落_design!E$2+1,1,1)&amp;";"&amp;OFFSET(掉落_design!$E18,0,掉落_design!E$2+2,1,1)&amp;";"&amp;OFFSET(掉落_design!$E18,0,掉落_design!E$2+3,1,1))</f>
        <v/>
      </c>
      <c r="G18" s="16" t="str">
        <f ca="1">IF(OFFSET(掉落_design!$E18,0,掉落_design!F$2,1,1)="","",OFFSET(掉落_design!$E18,0,掉落_design!F$2,1,1)&amp;";"&amp;OFFSET(掉落_design!$E18,0,掉落_design!F$2+1,1,1)&amp;";"&amp;OFFSET(掉落_design!$E18,0,掉落_design!F$2+2,1,1)&amp;";"&amp;OFFSET(掉落_design!$E18,0,掉落_design!F$2+3,1,1))</f>
        <v/>
      </c>
      <c r="H18" s="16" t="str">
        <f ca="1">IF(OFFSET(掉落_design!$E18,0,掉落_design!G$2,1,1)="","",OFFSET(掉落_design!$E18,0,掉落_design!G$2,1,1)&amp;";"&amp;OFFSET(掉落_design!$E18,0,掉落_design!G$2+1,1,1)&amp;";"&amp;OFFSET(掉落_design!$E18,0,掉落_design!G$2+2,1,1)&amp;";"&amp;OFFSET(掉落_design!$E18,0,掉落_design!G$2+3,1,1))</f>
        <v/>
      </c>
      <c r="I18" s="16" t="str">
        <f ca="1">IF(OFFSET(掉落_design!$E18,0,掉落_design!H$2,1,1)="","",OFFSET(掉落_design!$E18,0,掉落_design!H$2,1,1)&amp;";"&amp;OFFSET(掉落_design!$E18,0,掉落_design!H$2+1,1,1)&amp;";"&amp;OFFSET(掉落_design!$E18,0,掉落_design!H$2+2,1,1)&amp;";"&amp;OFFSET(掉落_design!$E18,0,掉落_design!H$2+3,1,1))</f>
        <v/>
      </c>
      <c r="J18" s="16" t="str">
        <f ca="1">IF(OFFSET(掉落_design!$E18,0,掉落_design!I$2,1,1)="","",OFFSET(掉落_design!$E18,0,掉落_design!I$2,1,1)&amp;";"&amp;OFFSET(掉落_design!$E18,0,掉落_design!I$2+1,1,1)&amp;";"&amp;OFFSET(掉落_design!$E18,0,掉落_design!I$2+2,1,1)&amp;";"&amp;OFFSET(掉落_design!$E18,0,掉落_design!I$2+3,1,1))</f>
        <v/>
      </c>
      <c r="K18" s="16" t="str">
        <f ca="1">IF(OFFSET(掉落_design!$E18,0,掉落_design!J$2,1,1)="","",OFFSET(掉落_design!$E18,0,掉落_design!J$2,1,1)&amp;";"&amp;OFFSET(掉落_design!$E18,0,掉落_design!J$2+1,1,1)&amp;";"&amp;OFFSET(掉落_design!$E18,0,掉落_design!J$2+2,1,1)&amp;";"&amp;OFFSET(掉落_design!$E18,0,掉落_design!J$2+3,1,1))</f>
        <v/>
      </c>
      <c r="L18" s="16" t="str">
        <f ca="1">IF(OFFSET(掉落_design!$E18,0,掉落_design!K$2,1,1)="","",OFFSET(掉落_design!$E18,0,掉落_design!K$2,1,1)&amp;";"&amp;OFFSET(掉落_design!$E18,0,掉落_design!K$2+1,1,1)&amp;";"&amp;OFFSET(掉落_design!$E18,0,掉落_design!K$2+2,1,1)&amp;";"&amp;OFFSET(掉落_design!$E18,0,掉落_design!K$2+3,1,1))</f>
        <v/>
      </c>
      <c r="M18" s="16" t="str">
        <f ca="1">IF(OFFSET(掉落_design!$E18,0,掉落_design!L$2,1,1)="","",OFFSET(掉落_design!$E18,0,掉落_design!L$2,1,1)&amp;";"&amp;OFFSET(掉落_design!$E18,0,掉落_design!L$2+1,1,1)&amp;";"&amp;OFFSET(掉落_design!$E18,0,掉落_design!L$2+2,1,1)&amp;";"&amp;OFFSET(掉落_design!$E18,0,掉落_design!L$2+3,1,1))</f>
        <v/>
      </c>
      <c r="N18" s="16" t="str">
        <f ca="1">IF(OFFSET(掉落_design!$E18,0,掉落_design!M$2,1,1)="","",OFFSET(掉落_design!$E18,0,掉落_design!M$2,1,1)&amp;";"&amp;OFFSET(掉落_design!$E18,0,掉落_design!M$2+1,1,1)&amp;";"&amp;OFFSET(掉落_design!$E18,0,掉落_design!M$2+2,1,1)&amp;";"&amp;OFFSET(掉落_design!$E18,0,掉落_design!M$2+3,1,1))</f>
        <v/>
      </c>
      <c r="O18" s="16" t="str">
        <f ca="1">IF(OFFSET(掉落_design!$E18,0,掉落_design!N$2,1,1)="","",OFFSET(掉落_design!$E18,0,掉落_design!N$2,1,1)&amp;";"&amp;OFFSET(掉落_design!$E18,0,掉落_design!N$2+1,1,1)&amp;";"&amp;OFFSET(掉落_design!$E18,0,掉落_design!N$2+2,1,1)&amp;";"&amp;OFFSET(掉落_design!$E18,0,掉落_design!N$2+3,1,1))</f>
        <v/>
      </c>
      <c r="P18" s="16" t="str">
        <f ca="1">IF(OFFSET(掉落_design!$E18,0,掉落_design!O$2,1,1)="","",OFFSET(掉落_design!$E18,0,掉落_design!O$2,1,1)&amp;";"&amp;OFFSET(掉落_design!$E18,0,掉落_design!O$2+1,1,1)&amp;";"&amp;OFFSET(掉落_design!$E18,0,掉落_design!O$2+2,1,1)&amp;";"&amp;OFFSET(掉落_design!$E18,0,掉落_design!O$2+3,1,1))</f>
        <v/>
      </c>
      <c r="Q18" s="16" t="str">
        <f ca="1">IF(OFFSET(掉落_design!$E18,0,掉落_design!P$2,1,1)="","",OFFSET(掉落_design!$E18,0,掉落_design!P$2,1,1)&amp;";"&amp;OFFSET(掉落_design!$E18,0,掉落_design!P$2+1,1,1)&amp;";"&amp;OFFSET(掉落_design!$E18,0,掉落_design!P$2+2,1,1)&amp;";"&amp;OFFSET(掉落_design!$E18,0,掉落_design!P$2+3,1,1))</f>
        <v/>
      </c>
      <c r="R18" s="16" t="str">
        <f ca="1">IF(OFFSET(掉落_design!$E18,0,掉落_design!Q$2,1,1)="","",OFFSET(掉落_design!$E18,0,掉落_design!Q$2,1,1)&amp;";"&amp;OFFSET(掉落_design!$E18,0,掉落_design!Q$2+1,1,1)&amp;";"&amp;OFFSET(掉落_design!$E18,0,掉落_design!Q$2+2,1,1)&amp;";"&amp;OFFSET(掉落_design!$E18,0,掉落_design!Q$2+3,1,1))</f>
        <v/>
      </c>
      <c r="S18" s="16" t="str">
        <f ca="1">IF(OFFSET(掉落_design!$E18,0,掉落_design!R$2,1,1)="","",OFFSET(掉落_design!$E18,0,掉落_design!R$2,1,1)&amp;";"&amp;OFFSET(掉落_design!$E18,0,掉落_design!R$2+1,1,1)&amp;";"&amp;OFFSET(掉落_design!$E18,0,掉落_design!R$2+2,1,1)&amp;";"&amp;OFFSET(掉落_design!$E18,0,掉落_design!R$2+3,1,1))</f>
        <v/>
      </c>
      <c r="T18" s="16" t="str">
        <f ca="1">IF(OFFSET(掉落_design!$E18,0,掉落_design!S$2,1,1)="","",OFFSET(掉落_design!$E18,0,掉落_design!S$2,1,1)&amp;";"&amp;OFFSET(掉落_design!$E18,0,掉落_design!S$2+1,1,1)&amp;";"&amp;OFFSET(掉落_design!$E18,0,掉落_design!S$2+2,1,1)&amp;";"&amp;OFFSET(掉落_design!$E18,0,掉落_design!S$2+3,1,1))</f>
        <v/>
      </c>
      <c r="U18" s="16" t="str">
        <f ca="1">IF(OFFSET(掉落_design!$E18,0,掉落_design!T$2,1,1)="","",OFFSET(掉落_design!$E18,0,掉落_design!T$2,1,1)&amp;";"&amp;OFFSET(掉落_design!$E18,0,掉落_design!T$2+1,1,1)&amp;";"&amp;OFFSET(掉落_design!$E18,0,掉落_design!T$2+2,1,1)&amp;";"&amp;OFFSET(掉落_design!$E18,0,掉落_design!T$2+3,1,1))</f>
        <v/>
      </c>
      <c r="V18" s="16" t="str">
        <f ca="1">IF(OFFSET(掉落_design!$E18,0,掉落_design!U$2,1,1)="","",OFFSET(掉落_design!$E18,0,掉落_design!U$2,1,1)&amp;";"&amp;OFFSET(掉落_design!$E18,0,掉落_design!U$2+1,1,1)&amp;";"&amp;OFFSET(掉落_design!$E18,0,掉落_design!U$2+2,1,1)&amp;";"&amp;OFFSET(掉落_design!$E18,0,掉落_design!U$2+3,1,1))</f>
        <v/>
      </c>
      <c r="W18" s="16" t="str">
        <f ca="1">IF(OFFSET(掉落_design!$E18,0,掉落_design!V$2,1,1)="","",OFFSET(掉落_design!$E18,0,掉落_design!V$2,1,1)&amp;";"&amp;OFFSET(掉落_design!$E18,0,掉落_design!V$2+1,1,1)&amp;";"&amp;OFFSET(掉落_design!$E18,0,掉落_design!V$2+2,1,1)&amp;";"&amp;OFFSET(掉落_design!$E18,0,掉落_design!V$2+3,1,1))</f>
        <v/>
      </c>
      <c r="X18" s="16" t="str">
        <f ca="1">IF(OFFSET(掉落_design!$E18,0,掉落_design!W$2,1,1)="","",OFFSET(掉落_design!$E18,0,掉落_design!W$2,1,1)&amp;";"&amp;OFFSET(掉落_design!$E18,0,掉落_design!W$2+1,1,1)&amp;";"&amp;OFFSET(掉落_design!$E18,0,掉落_design!W$2+2,1,1)&amp;";"&amp;OFFSET(掉落_design!$E18,0,掉落_design!W$2+3,1,1))</f>
        <v/>
      </c>
      <c r="Y18" s="16" t="str">
        <f ca="1">IF(OFFSET(掉落_design!$E18,0,掉落_design!X$2,1,1)="","",OFFSET(掉落_design!$E18,0,掉落_design!X$2,1,1)&amp;";"&amp;OFFSET(掉落_design!$E18,0,掉落_design!X$2+1,1,1)&amp;";"&amp;OFFSET(掉落_design!$E18,0,掉落_design!X$2+2,1,1)&amp;";"&amp;OFFSET(掉落_design!$E18,0,掉落_design!X$2+3,1,1))</f>
        <v/>
      </c>
    </row>
    <row r="19" spans="1:25" x14ac:dyDescent="0.15">
      <c r="A19" s="11" t="str">
        <f t="shared" si="0"/>
        <v>DATA</v>
      </c>
      <c r="B19" s="25"/>
      <c r="C19" s="25"/>
      <c r="D19" s="15">
        <f>IF(掉落_design!C19="","",掉落_design!C19)</f>
        <v>10100</v>
      </c>
      <c r="E19" s="15">
        <f>IF(A19="","",掉落_design!D19)</f>
        <v>1</v>
      </c>
      <c r="F19" s="16" t="str">
        <f ca="1">IF(OFFSET(掉落_design!$E19,0,掉落_design!E$2,1,1)="","",OFFSET(掉落_design!$E19,0,掉落_design!E$2,1,1)&amp;";"&amp;OFFSET(掉落_design!$E19,0,掉落_design!E$2+1,1,1)&amp;";"&amp;OFFSET(掉落_design!$E19,0,掉落_design!E$2+2,1,1)&amp;";"&amp;OFFSET(掉落_design!$E19,0,掉落_design!E$2+3,1,1))</f>
        <v>1001;1;20;8000</v>
      </c>
      <c r="G19" s="16" t="str">
        <f ca="1">IF(OFFSET(掉落_design!$E19,0,掉落_design!F$2,1,1)="","",OFFSET(掉落_design!$E19,0,掉落_design!F$2,1,1)&amp;";"&amp;OFFSET(掉落_design!$E19,0,掉落_design!F$2+1,1,1)&amp;";"&amp;OFFSET(掉落_design!$E19,0,掉落_design!F$2+2,1,1)&amp;";"&amp;OFFSET(掉落_design!$E19,0,掉落_design!F$2+3,1,1))</f>
        <v>1204;1;1;1000</v>
      </c>
      <c r="H19" s="16" t="str">
        <f ca="1">IF(OFFSET(掉落_design!$E19,0,掉落_design!G$2,1,1)="","",OFFSET(掉落_design!$E19,0,掉落_design!G$2,1,1)&amp;";"&amp;OFFSET(掉落_design!$E19,0,掉落_design!G$2+1,1,1)&amp;";"&amp;OFFSET(掉落_design!$E19,0,掉落_design!G$2+2,1,1)&amp;";"&amp;OFFSET(掉落_design!$E19,0,掉落_design!G$2+3,1,1))</f>
        <v/>
      </c>
      <c r="I19" s="16" t="str">
        <f ca="1">IF(OFFSET(掉落_design!$E19,0,掉落_design!H$2,1,1)="","",OFFSET(掉落_design!$E19,0,掉落_design!H$2,1,1)&amp;";"&amp;OFFSET(掉落_design!$E19,0,掉落_design!H$2+1,1,1)&amp;";"&amp;OFFSET(掉落_design!$E19,0,掉落_design!H$2+2,1,1)&amp;";"&amp;OFFSET(掉落_design!$E19,0,掉落_design!H$2+3,1,1))</f>
        <v/>
      </c>
      <c r="J19" s="16" t="str">
        <f ca="1">IF(OFFSET(掉落_design!$E19,0,掉落_design!I$2,1,1)="","",OFFSET(掉落_design!$E19,0,掉落_design!I$2,1,1)&amp;";"&amp;OFFSET(掉落_design!$E19,0,掉落_design!I$2+1,1,1)&amp;";"&amp;OFFSET(掉落_design!$E19,0,掉落_design!I$2+2,1,1)&amp;";"&amp;OFFSET(掉落_design!$E19,0,掉落_design!I$2+3,1,1))</f>
        <v/>
      </c>
      <c r="K19" s="16" t="str">
        <f ca="1">IF(OFFSET(掉落_design!$E19,0,掉落_design!J$2,1,1)="","",OFFSET(掉落_design!$E19,0,掉落_design!J$2,1,1)&amp;";"&amp;OFFSET(掉落_design!$E19,0,掉落_design!J$2+1,1,1)&amp;";"&amp;OFFSET(掉落_design!$E19,0,掉落_design!J$2+2,1,1)&amp;";"&amp;OFFSET(掉落_design!$E19,0,掉落_design!J$2+3,1,1))</f>
        <v/>
      </c>
      <c r="L19" s="16" t="str">
        <f ca="1">IF(OFFSET(掉落_design!$E19,0,掉落_design!K$2,1,1)="","",OFFSET(掉落_design!$E19,0,掉落_design!K$2,1,1)&amp;";"&amp;OFFSET(掉落_design!$E19,0,掉落_design!K$2+1,1,1)&amp;";"&amp;OFFSET(掉落_design!$E19,0,掉落_design!K$2+2,1,1)&amp;";"&amp;OFFSET(掉落_design!$E19,0,掉落_design!K$2+3,1,1))</f>
        <v/>
      </c>
      <c r="M19" s="16" t="str">
        <f ca="1">IF(OFFSET(掉落_design!$E19,0,掉落_design!L$2,1,1)="","",OFFSET(掉落_design!$E19,0,掉落_design!L$2,1,1)&amp;";"&amp;OFFSET(掉落_design!$E19,0,掉落_design!L$2+1,1,1)&amp;";"&amp;OFFSET(掉落_design!$E19,0,掉落_design!L$2+2,1,1)&amp;";"&amp;OFFSET(掉落_design!$E19,0,掉落_design!L$2+3,1,1))</f>
        <v/>
      </c>
      <c r="N19" s="16" t="str">
        <f ca="1">IF(OFFSET(掉落_design!$E19,0,掉落_design!M$2,1,1)="","",OFFSET(掉落_design!$E19,0,掉落_design!M$2,1,1)&amp;";"&amp;OFFSET(掉落_design!$E19,0,掉落_design!M$2+1,1,1)&amp;";"&amp;OFFSET(掉落_design!$E19,0,掉落_design!M$2+2,1,1)&amp;";"&amp;OFFSET(掉落_design!$E19,0,掉落_design!M$2+3,1,1))</f>
        <v/>
      </c>
      <c r="O19" s="16" t="str">
        <f ca="1">IF(OFFSET(掉落_design!$E19,0,掉落_design!N$2,1,1)="","",OFFSET(掉落_design!$E19,0,掉落_design!N$2,1,1)&amp;";"&amp;OFFSET(掉落_design!$E19,0,掉落_design!N$2+1,1,1)&amp;";"&amp;OFFSET(掉落_design!$E19,0,掉落_design!N$2+2,1,1)&amp;";"&amp;OFFSET(掉落_design!$E19,0,掉落_design!N$2+3,1,1))</f>
        <v/>
      </c>
      <c r="P19" s="16" t="str">
        <f ca="1">IF(OFFSET(掉落_design!$E19,0,掉落_design!O$2,1,1)="","",OFFSET(掉落_design!$E19,0,掉落_design!O$2,1,1)&amp;";"&amp;OFFSET(掉落_design!$E19,0,掉落_design!O$2+1,1,1)&amp;";"&amp;OFFSET(掉落_design!$E19,0,掉落_design!O$2+2,1,1)&amp;";"&amp;OFFSET(掉落_design!$E19,0,掉落_design!O$2+3,1,1))</f>
        <v/>
      </c>
      <c r="Q19" s="16" t="str">
        <f ca="1">IF(OFFSET(掉落_design!$E19,0,掉落_design!P$2,1,1)="","",OFFSET(掉落_design!$E19,0,掉落_design!P$2,1,1)&amp;";"&amp;OFFSET(掉落_design!$E19,0,掉落_design!P$2+1,1,1)&amp;";"&amp;OFFSET(掉落_design!$E19,0,掉落_design!P$2+2,1,1)&amp;";"&amp;OFFSET(掉落_design!$E19,0,掉落_design!P$2+3,1,1))</f>
        <v/>
      </c>
      <c r="R19" s="16" t="str">
        <f ca="1">IF(OFFSET(掉落_design!$E19,0,掉落_design!Q$2,1,1)="","",OFFSET(掉落_design!$E19,0,掉落_design!Q$2,1,1)&amp;";"&amp;OFFSET(掉落_design!$E19,0,掉落_design!Q$2+1,1,1)&amp;";"&amp;OFFSET(掉落_design!$E19,0,掉落_design!Q$2+2,1,1)&amp;";"&amp;OFFSET(掉落_design!$E19,0,掉落_design!Q$2+3,1,1))</f>
        <v/>
      </c>
      <c r="S19" s="16" t="str">
        <f ca="1">IF(OFFSET(掉落_design!$E19,0,掉落_design!R$2,1,1)="","",OFFSET(掉落_design!$E19,0,掉落_design!R$2,1,1)&amp;";"&amp;OFFSET(掉落_design!$E19,0,掉落_design!R$2+1,1,1)&amp;";"&amp;OFFSET(掉落_design!$E19,0,掉落_design!R$2+2,1,1)&amp;";"&amp;OFFSET(掉落_design!$E19,0,掉落_design!R$2+3,1,1))</f>
        <v/>
      </c>
      <c r="T19" s="16" t="str">
        <f ca="1">IF(OFFSET(掉落_design!$E19,0,掉落_design!S$2,1,1)="","",OFFSET(掉落_design!$E19,0,掉落_design!S$2,1,1)&amp;";"&amp;OFFSET(掉落_design!$E19,0,掉落_design!S$2+1,1,1)&amp;";"&amp;OFFSET(掉落_design!$E19,0,掉落_design!S$2+2,1,1)&amp;";"&amp;OFFSET(掉落_design!$E19,0,掉落_design!S$2+3,1,1))</f>
        <v/>
      </c>
      <c r="U19" s="16" t="str">
        <f ca="1">IF(OFFSET(掉落_design!$E19,0,掉落_design!T$2,1,1)="","",OFFSET(掉落_design!$E19,0,掉落_design!T$2,1,1)&amp;";"&amp;OFFSET(掉落_design!$E19,0,掉落_design!T$2+1,1,1)&amp;";"&amp;OFFSET(掉落_design!$E19,0,掉落_design!T$2+2,1,1)&amp;";"&amp;OFFSET(掉落_design!$E19,0,掉落_design!T$2+3,1,1))</f>
        <v/>
      </c>
      <c r="V19" s="16" t="str">
        <f ca="1">IF(OFFSET(掉落_design!$E19,0,掉落_design!U$2,1,1)="","",OFFSET(掉落_design!$E19,0,掉落_design!U$2,1,1)&amp;";"&amp;OFFSET(掉落_design!$E19,0,掉落_design!U$2+1,1,1)&amp;";"&amp;OFFSET(掉落_design!$E19,0,掉落_design!U$2+2,1,1)&amp;";"&amp;OFFSET(掉落_design!$E19,0,掉落_design!U$2+3,1,1))</f>
        <v/>
      </c>
      <c r="W19" s="16" t="str">
        <f ca="1">IF(OFFSET(掉落_design!$E19,0,掉落_design!V$2,1,1)="","",OFFSET(掉落_design!$E19,0,掉落_design!V$2,1,1)&amp;";"&amp;OFFSET(掉落_design!$E19,0,掉落_design!V$2+1,1,1)&amp;";"&amp;OFFSET(掉落_design!$E19,0,掉落_design!V$2+2,1,1)&amp;";"&amp;OFFSET(掉落_design!$E19,0,掉落_design!V$2+3,1,1))</f>
        <v/>
      </c>
      <c r="X19" s="16" t="str">
        <f ca="1">IF(OFFSET(掉落_design!$E19,0,掉落_design!W$2,1,1)="","",OFFSET(掉落_design!$E19,0,掉落_design!W$2,1,1)&amp;";"&amp;OFFSET(掉落_design!$E19,0,掉落_design!W$2+1,1,1)&amp;";"&amp;OFFSET(掉落_design!$E19,0,掉落_design!W$2+2,1,1)&amp;";"&amp;OFFSET(掉落_design!$E19,0,掉落_design!W$2+3,1,1))</f>
        <v/>
      </c>
      <c r="Y19" s="16" t="str">
        <f ca="1">IF(OFFSET(掉落_design!$E19,0,掉落_design!X$2,1,1)="","",OFFSET(掉落_design!$E19,0,掉落_design!X$2,1,1)&amp;";"&amp;OFFSET(掉落_design!$E19,0,掉落_design!X$2+1,1,1)&amp;";"&amp;OFFSET(掉落_design!$E19,0,掉落_design!X$2+2,1,1)&amp;";"&amp;OFFSET(掉落_design!$E19,0,掉落_design!X$2+3,1,1))</f>
        <v/>
      </c>
    </row>
    <row r="20" spans="1:25" x14ac:dyDescent="0.15">
      <c r="A20" s="11" t="str">
        <f t="shared" si="0"/>
        <v>DATA</v>
      </c>
      <c r="B20" s="25"/>
      <c r="C20" s="25"/>
      <c r="D20" s="15">
        <f>IF(掉落_design!C20="","",掉落_design!C20)</f>
        <v>10101</v>
      </c>
      <c r="E20" s="15">
        <f>IF(A20="","",掉落_design!D20)</f>
        <v>2</v>
      </c>
      <c r="F20" s="16" t="str">
        <f ca="1">IF(OFFSET(掉落_design!$E20,0,掉落_design!E$2,1,1)="","",OFFSET(掉落_design!$E20,0,掉落_design!E$2,1,1)&amp;";"&amp;OFFSET(掉落_design!$E20,0,掉落_design!E$2+1,1,1)&amp;";"&amp;OFFSET(掉落_design!$E20,0,掉落_design!E$2+2,1,1)&amp;";"&amp;OFFSET(掉落_design!$E20,0,掉落_design!E$2+3,1,1))</f>
        <v>20101;1;1;1</v>
      </c>
      <c r="G20" s="16" t="str">
        <f ca="1">IF(OFFSET(掉落_design!$E20,0,掉落_design!F$2,1,1)="","",OFFSET(掉落_design!$E20,0,掉落_design!F$2,1,1)&amp;";"&amp;OFFSET(掉落_design!$E20,0,掉落_design!F$2+1,1,1)&amp;";"&amp;OFFSET(掉落_design!$E20,0,掉落_design!F$2+2,1,1)&amp;";"&amp;OFFSET(掉落_design!$E20,0,掉落_design!F$2+3,1,1))</f>
        <v>20102;1;1;1</v>
      </c>
      <c r="H20" s="16" t="str">
        <f ca="1">IF(OFFSET(掉落_design!$E20,0,掉落_design!G$2,1,1)="","",OFFSET(掉落_design!$E20,0,掉落_design!G$2,1,1)&amp;";"&amp;OFFSET(掉落_design!$E20,0,掉落_design!G$2+1,1,1)&amp;";"&amp;OFFSET(掉落_design!$E20,0,掉落_design!G$2+2,1,1)&amp;";"&amp;OFFSET(掉落_design!$E20,0,掉落_design!G$2+3,1,1))</f>
        <v>20103;1;1;1</v>
      </c>
      <c r="I20" s="16" t="str">
        <f ca="1">IF(OFFSET(掉落_design!$E20,0,掉落_design!H$2,1,1)="","",OFFSET(掉落_design!$E20,0,掉落_design!H$2,1,1)&amp;";"&amp;OFFSET(掉落_design!$E20,0,掉落_design!H$2+1,1,1)&amp;";"&amp;OFFSET(掉落_design!$E20,0,掉落_design!H$2+2,1,1)&amp;";"&amp;OFFSET(掉落_design!$E20,0,掉落_design!H$2+3,1,1))</f>
        <v>20203;1;1;1</v>
      </c>
      <c r="J20" s="16" t="str">
        <f ca="1">IF(OFFSET(掉落_design!$E20,0,掉落_design!I$2,1,1)="","",OFFSET(掉落_design!$E20,0,掉落_design!I$2,1,1)&amp;";"&amp;OFFSET(掉落_design!$E20,0,掉落_design!I$2+1,1,1)&amp;";"&amp;OFFSET(掉落_design!$E20,0,掉落_design!I$2+2,1,1)&amp;";"&amp;OFFSET(掉落_design!$E20,0,掉落_design!I$2+3,1,1))</f>
        <v>20202;1;1;1</v>
      </c>
      <c r="K20" s="16" t="str">
        <f ca="1">IF(OFFSET(掉落_design!$E20,0,掉落_design!J$2,1,1)="","",OFFSET(掉落_design!$E20,0,掉落_design!J$2,1,1)&amp;";"&amp;OFFSET(掉落_design!$E20,0,掉落_design!J$2+1,1,1)&amp;";"&amp;OFFSET(掉落_design!$E20,0,掉落_design!J$2+2,1,1)&amp;";"&amp;OFFSET(掉落_design!$E20,0,掉落_design!J$2+3,1,1))</f>
        <v>20103;1;1;1</v>
      </c>
      <c r="L20" s="16" t="str">
        <f ca="1">IF(OFFSET(掉落_design!$E20,0,掉落_design!K$2,1,1)="","",OFFSET(掉落_design!$E20,0,掉落_design!K$2,1,1)&amp;";"&amp;OFFSET(掉落_design!$E20,0,掉落_design!K$2+1,1,1)&amp;";"&amp;OFFSET(掉落_design!$E20,0,掉落_design!K$2+2,1,1)&amp;";"&amp;OFFSET(掉落_design!$E20,0,掉落_design!K$2+3,1,1))</f>
        <v>20202;1;1;1</v>
      </c>
      <c r="M20" s="16" t="str">
        <f ca="1">IF(OFFSET(掉落_design!$E20,0,掉落_design!L$2,1,1)="","",OFFSET(掉落_design!$E20,0,掉落_design!L$2,1,1)&amp;";"&amp;OFFSET(掉落_design!$E20,0,掉落_design!L$2+1,1,1)&amp;";"&amp;OFFSET(掉落_design!$E20,0,掉落_design!L$2+2,1,1)&amp;";"&amp;OFFSET(掉落_design!$E20,0,掉落_design!L$2+3,1,1))</f>
        <v>20202;1;1;1</v>
      </c>
      <c r="N20" s="16" t="str">
        <f ca="1">IF(OFFSET(掉落_design!$E20,0,掉落_design!M$2,1,1)="","",OFFSET(掉落_design!$E20,0,掉落_design!M$2,1,1)&amp;";"&amp;OFFSET(掉落_design!$E20,0,掉落_design!M$2+1,1,1)&amp;";"&amp;OFFSET(掉落_design!$E20,0,掉落_design!M$2+2,1,1)&amp;";"&amp;OFFSET(掉落_design!$E20,0,掉落_design!M$2+3,1,1))</f>
        <v>20101;1;1;1</v>
      </c>
      <c r="O20" s="16" t="str">
        <f ca="1">IF(OFFSET(掉落_design!$E20,0,掉落_design!N$2,1,1)="","",OFFSET(掉落_design!$E20,0,掉落_design!N$2,1,1)&amp;";"&amp;OFFSET(掉落_design!$E20,0,掉落_design!N$2+1,1,1)&amp;";"&amp;OFFSET(掉落_design!$E20,0,掉落_design!N$2+2,1,1)&amp;";"&amp;OFFSET(掉落_design!$E20,0,掉落_design!N$2+3,1,1))</f>
        <v>20102;1;1;1</v>
      </c>
      <c r="P20" s="16" t="str">
        <f ca="1">IF(OFFSET(掉落_design!$E20,0,掉落_design!O$2,1,1)="","",OFFSET(掉落_design!$E20,0,掉落_design!O$2,1,1)&amp;";"&amp;OFFSET(掉落_design!$E20,0,掉落_design!O$2+1,1,1)&amp;";"&amp;OFFSET(掉落_design!$E20,0,掉落_design!O$2+2,1,1)&amp;";"&amp;OFFSET(掉落_design!$E20,0,掉落_design!O$2+3,1,1))</f>
        <v>1001;50;100;10</v>
      </c>
      <c r="Q20" s="16" t="str">
        <f ca="1">IF(OFFSET(掉落_design!$E20,0,掉落_design!P$2,1,1)="","",OFFSET(掉落_design!$E20,0,掉落_design!P$2,1,1)&amp;";"&amp;OFFSET(掉落_design!$E20,0,掉落_design!P$2+1,1,1)&amp;";"&amp;OFFSET(掉落_design!$E20,0,掉落_design!P$2+2,1,1)&amp;";"&amp;OFFSET(掉落_design!$E20,0,掉落_design!P$2+3,1,1))</f>
        <v/>
      </c>
      <c r="R20" s="16" t="str">
        <f ca="1">IF(OFFSET(掉落_design!$E20,0,掉落_design!Q$2,1,1)="","",OFFSET(掉落_design!$E20,0,掉落_design!Q$2,1,1)&amp;";"&amp;OFFSET(掉落_design!$E20,0,掉落_design!Q$2+1,1,1)&amp;";"&amp;OFFSET(掉落_design!$E20,0,掉落_design!Q$2+2,1,1)&amp;";"&amp;OFFSET(掉落_design!$E20,0,掉落_design!Q$2+3,1,1))</f>
        <v/>
      </c>
      <c r="S20" s="16" t="str">
        <f ca="1">IF(OFFSET(掉落_design!$E20,0,掉落_design!R$2,1,1)="","",OFFSET(掉落_design!$E20,0,掉落_design!R$2,1,1)&amp;";"&amp;OFFSET(掉落_design!$E20,0,掉落_design!R$2+1,1,1)&amp;";"&amp;OFFSET(掉落_design!$E20,0,掉落_design!R$2+2,1,1)&amp;";"&amp;OFFSET(掉落_design!$E20,0,掉落_design!R$2+3,1,1))</f>
        <v/>
      </c>
      <c r="T20" s="16" t="str">
        <f ca="1">IF(OFFSET(掉落_design!$E20,0,掉落_design!S$2,1,1)="","",OFFSET(掉落_design!$E20,0,掉落_design!S$2,1,1)&amp;";"&amp;OFFSET(掉落_design!$E20,0,掉落_design!S$2+1,1,1)&amp;";"&amp;OFFSET(掉落_design!$E20,0,掉落_design!S$2+2,1,1)&amp;";"&amp;OFFSET(掉落_design!$E20,0,掉落_design!S$2+3,1,1))</f>
        <v/>
      </c>
      <c r="U20" s="16" t="str">
        <f ca="1">IF(OFFSET(掉落_design!$E20,0,掉落_design!T$2,1,1)="","",OFFSET(掉落_design!$E20,0,掉落_design!T$2,1,1)&amp;";"&amp;OFFSET(掉落_design!$E20,0,掉落_design!T$2+1,1,1)&amp;";"&amp;OFFSET(掉落_design!$E20,0,掉落_design!T$2+2,1,1)&amp;";"&amp;OFFSET(掉落_design!$E20,0,掉落_design!T$2+3,1,1))</f>
        <v/>
      </c>
      <c r="V20" s="16" t="str">
        <f ca="1">IF(OFFSET(掉落_design!$E20,0,掉落_design!U$2,1,1)="","",OFFSET(掉落_design!$E20,0,掉落_design!U$2,1,1)&amp;";"&amp;OFFSET(掉落_design!$E20,0,掉落_design!U$2+1,1,1)&amp;";"&amp;OFFSET(掉落_design!$E20,0,掉落_design!U$2+2,1,1)&amp;";"&amp;OFFSET(掉落_design!$E20,0,掉落_design!U$2+3,1,1))</f>
        <v/>
      </c>
      <c r="W20" s="16" t="str">
        <f ca="1">IF(OFFSET(掉落_design!$E20,0,掉落_design!V$2,1,1)="","",OFFSET(掉落_design!$E20,0,掉落_design!V$2,1,1)&amp;";"&amp;OFFSET(掉落_design!$E20,0,掉落_design!V$2+1,1,1)&amp;";"&amp;OFFSET(掉落_design!$E20,0,掉落_design!V$2+2,1,1)&amp;";"&amp;OFFSET(掉落_design!$E20,0,掉落_design!V$2+3,1,1))</f>
        <v/>
      </c>
      <c r="X20" s="16" t="str">
        <f ca="1">IF(OFFSET(掉落_design!$E20,0,掉落_design!W$2,1,1)="","",OFFSET(掉落_design!$E20,0,掉落_design!W$2,1,1)&amp;";"&amp;OFFSET(掉落_design!$E20,0,掉落_design!W$2+1,1,1)&amp;";"&amp;OFFSET(掉落_design!$E20,0,掉落_design!W$2+2,1,1)&amp;";"&amp;OFFSET(掉落_design!$E20,0,掉落_design!W$2+3,1,1))</f>
        <v/>
      </c>
      <c r="Y20" s="16" t="str">
        <f ca="1">IF(OFFSET(掉落_design!$E20,0,掉落_design!X$2,1,1)="","",OFFSET(掉落_design!$E20,0,掉落_design!X$2,1,1)&amp;";"&amp;OFFSET(掉落_design!$E20,0,掉落_design!X$2+1,1,1)&amp;";"&amp;OFFSET(掉落_design!$E20,0,掉落_design!X$2+2,1,1)&amp;";"&amp;OFFSET(掉落_design!$E20,0,掉落_design!X$2+3,1,1))</f>
        <v/>
      </c>
    </row>
    <row r="21" spans="1:25" x14ac:dyDescent="0.15">
      <c r="A21" s="11" t="str">
        <f t="shared" si="0"/>
        <v/>
      </c>
      <c r="B21" s="25"/>
      <c r="C21" s="25"/>
      <c r="D21" s="15" t="str">
        <f>IF(掉落_design!C21="","",掉落_design!C21)</f>
        <v/>
      </c>
      <c r="E21" s="15" t="str">
        <f>IF(A21="","",掉落_design!D21)</f>
        <v/>
      </c>
      <c r="F21" s="16" t="str">
        <f ca="1">IF(OFFSET(掉落_design!$E21,0,掉落_design!E$2,1,1)="","",OFFSET(掉落_design!$E21,0,掉落_design!E$2,1,1)&amp;";"&amp;OFFSET(掉落_design!$E21,0,掉落_design!E$2+1,1,1)&amp;";"&amp;OFFSET(掉落_design!$E21,0,掉落_design!E$2+2,1,1)&amp;";"&amp;OFFSET(掉落_design!$E21,0,掉落_design!E$2+3,1,1))</f>
        <v/>
      </c>
      <c r="G21" s="16" t="str">
        <f ca="1">IF(OFFSET(掉落_design!$E21,0,掉落_design!F$2,1,1)="","",OFFSET(掉落_design!$E21,0,掉落_design!F$2,1,1)&amp;";"&amp;OFFSET(掉落_design!$E21,0,掉落_design!F$2+1,1,1)&amp;";"&amp;OFFSET(掉落_design!$E21,0,掉落_design!F$2+2,1,1)&amp;";"&amp;OFFSET(掉落_design!$E21,0,掉落_design!F$2+3,1,1))</f>
        <v/>
      </c>
      <c r="H21" s="16" t="str">
        <f ca="1">IF(OFFSET(掉落_design!$E21,0,掉落_design!G$2,1,1)="","",OFFSET(掉落_design!$E21,0,掉落_design!G$2,1,1)&amp;";"&amp;OFFSET(掉落_design!$E21,0,掉落_design!G$2+1,1,1)&amp;";"&amp;OFFSET(掉落_design!$E21,0,掉落_design!G$2+2,1,1)&amp;";"&amp;OFFSET(掉落_design!$E21,0,掉落_design!G$2+3,1,1))</f>
        <v/>
      </c>
      <c r="I21" s="16" t="str">
        <f ca="1">IF(OFFSET(掉落_design!$E21,0,掉落_design!H$2,1,1)="","",OFFSET(掉落_design!$E21,0,掉落_design!H$2,1,1)&amp;";"&amp;OFFSET(掉落_design!$E21,0,掉落_design!H$2+1,1,1)&amp;";"&amp;OFFSET(掉落_design!$E21,0,掉落_design!H$2+2,1,1)&amp;";"&amp;OFFSET(掉落_design!$E21,0,掉落_design!H$2+3,1,1))</f>
        <v/>
      </c>
      <c r="J21" s="16" t="str">
        <f ca="1">IF(OFFSET(掉落_design!$E21,0,掉落_design!I$2,1,1)="","",OFFSET(掉落_design!$E21,0,掉落_design!I$2,1,1)&amp;";"&amp;OFFSET(掉落_design!$E21,0,掉落_design!I$2+1,1,1)&amp;";"&amp;OFFSET(掉落_design!$E21,0,掉落_design!I$2+2,1,1)&amp;";"&amp;OFFSET(掉落_design!$E21,0,掉落_design!I$2+3,1,1))</f>
        <v/>
      </c>
      <c r="K21" s="16" t="str">
        <f ca="1">IF(OFFSET(掉落_design!$E21,0,掉落_design!J$2,1,1)="","",OFFSET(掉落_design!$E21,0,掉落_design!J$2,1,1)&amp;";"&amp;OFFSET(掉落_design!$E21,0,掉落_design!J$2+1,1,1)&amp;";"&amp;OFFSET(掉落_design!$E21,0,掉落_design!J$2+2,1,1)&amp;";"&amp;OFFSET(掉落_design!$E21,0,掉落_design!J$2+3,1,1))</f>
        <v/>
      </c>
      <c r="L21" s="16" t="str">
        <f ca="1">IF(OFFSET(掉落_design!$E21,0,掉落_design!K$2,1,1)="","",OFFSET(掉落_design!$E21,0,掉落_design!K$2,1,1)&amp;";"&amp;OFFSET(掉落_design!$E21,0,掉落_design!K$2+1,1,1)&amp;";"&amp;OFFSET(掉落_design!$E21,0,掉落_design!K$2+2,1,1)&amp;";"&amp;OFFSET(掉落_design!$E21,0,掉落_design!K$2+3,1,1))</f>
        <v/>
      </c>
      <c r="M21" s="16" t="str">
        <f ca="1">IF(OFFSET(掉落_design!$E21,0,掉落_design!L$2,1,1)="","",OFFSET(掉落_design!$E21,0,掉落_design!L$2,1,1)&amp;";"&amp;OFFSET(掉落_design!$E21,0,掉落_design!L$2+1,1,1)&amp;";"&amp;OFFSET(掉落_design!$E21,0,掉落_design!L$2+2,1,1)&amp;";"&amp;OFFSET(掉落_design!$E21,0,掉落_design!L$2+3,1,1))</f>
        <v/>
      </c>
      <c r="N21" s="16" t="str">
        <f ca="1">IF(OFFSET(掉落_design!$E21,0,掉落_design!M$2,1,1)="","",OFFSET(掉落_design!$E21,0,掉落_design!M$2,1,1)&amp;";"&amp;OFFSET(掉落_design!$E21,0,掉落_design!M$2+1,1,1)&amp;";"&amp;OFFSET(掉落_design!$E21,0,掉落_design!M$2+2,1,1)&amp;";"&amp;OFFSET(掉落_design!$E21,0,掉落_design!M$2+3,1,1))</f>
        <v/>
      </c>
      <c r="O21" s="16" t="str">
        <f ca="1">IF(OFFSET(掉落_design!$E21,0,掉落_design!N$2,1,1)="","",OFFSET(掉落_design!$E21,0,掉落_design!N$2,1,1)&amp;";"&amp;OFFSET(掉落_design!$E21,0,掉落_design!N$2+1,1,1)&amp;";"&amp;OFFSET(掉落_design!$E21,0,掉落_design!N$2+2,1,1)&amp;";"&amp;OFFSET(掉落_design!$E21,0,掉落_design!N$2+3,1,1))</f>
        <v/>
      </c>
      <c r="P21" s="16" t="str">
        <f ca="1">IF(OFFSET(掉落_design!$E21,0,掉落_design!O$2,1,1)="","",OFFSET(掉落_design!$E21,0,掉落_design!O$2,1,1)&amp;";"&amp;OFFSET(掉落_design!$E21,0,掉落_design!O$2+1,1,1)&amp;";"&amp;OFFSET(掉落_design!$E21,0,掉落_design!O$2+2,1,1)&amp;";"&amp;OFFSET(掉落_design!$E21,0,掉落_design!O$2+3,1,1))</f>
        <v/>
      </c>
      <c r="Q21" s="16" t="str">
        <f ca="1">IF(OFFSET(掉落_design!$E21,0,掉落_design!P$2,1,1)="","",OFFSET(掉落_design!$E21,0,掉落_design!P$2,1,1)&amp;";"&amp;OFFSET(掉落_design!$E21,0,掉落_design!P$2+1,1,1)&amp;";"&amp;OFFSET(掉落_design!$E21,0,掉落_design!P$2+2,1,1)&amp;";"&amp;OFFSET(掉落_design!$E21,0,掉落_design!P$2+3,1,1))</f>
        <v/>
      </c>
      <c r="R21" s="16" t="str">
        <f ca="1">IF(OFFSET(掉落_design!$E21,0,掉落_design!Q$2,1,1)="","",OFFSET(掉落_design!$E21,0,掉落_design!Q$2,1,1)&amp;";"&amp;OFFSET(掉落_design!$E21,0,掉落_design!Q$2+1,1,1)&amp;";"&amp;OFFSET(掉落_design!$E21,0,掉落_design!Q$2+2,1,1)&amp;";"&amp;OFFSET(掉落_design!$E21,0,掉落_design!Q$2+3,1,1))</f>
        <v/>
      </c>
      <c r="S21" s="16" t="str">
        <f ca="1">IF(OFFSET(掉落_design!$E21,0,掉落_design!R$2,1,1)="","",OFFSET(掉落_design!$E21,0,掉落_design!R$2,1,1)&amp;";"&amp;OFFSET(掉落_design!$E21,0,掉落_design!R$2+1,1,1)&amp;";"&amp;OFFSET(掉落_design!$E21,0,掉落_design!R$2+2,1,1)&amp;";"&amp;OFFSET(掉落_design!$E21,0,掉落_design!R$2+3,1,1))</f>
        <v/>
      </c>
      <c r="T21" s="16" t="str">
        <f ca="1">IF(OFFSET(掉落_design!$E21,0,掉落_design!S$2,1,1)="","",OFFSET(掉落_design!$E21,0,掉落_design!S$2,1,1)&amp;";"&amp;OFFSET(掉落_design!$E21,0,掉落_design!S$2+1,1,1)&amp;";"&amp;OFFSET(掉落_design!$E21,0,掉落_design!S$2+2,1,1)&amp;";"&amp;OFFSET(掉落_design!$E21,0,掉落_design!S$2+3,1,1))</f>
        <v/>
      </c>
      <c r="U21" s="16" t="str">
        <f ca="1">IF(OFFSET(掉落_design!$E21,0,掉落_design!T$2,1,1)="","",OFFSET(掉落_design!$E21,0,掉落_design!T$2,1,1)&amp;";"&amp;OFFSET(掉落_design!$E21,0,掉落_design!T$2+1,1,1)&amp;";"&amp;OFFSET(掉落_design!$E21,0,掉落_design!T$2+2,1,1)&amp;";"&amp;OFFSET(掉落_design!$E21,0,掉落_design!T$2+3,1,1))</f>
        <v/>
      </c>
      <c r="V21" s="16" t="str">
        <f ca="1">IF(OFFSET(掉落_design!$E21,0,掉落_design!U$2,1,1)="","",OFFSET(掉落_design!$E21,0,掉落_design!U$2,1,1)&amp;";"&amp;OFFSET(掉落_design!$E21,0,掉落_design!U$2+1,1,1)&amp;";"&amp;OFFSET(掉落_design!$E21,0,掉落_design!U$2+2,1,1)&amp;";"&amp;OFFSET(掉落_design!$E21,0,掉落_design!U$2+3,1,1))</f>
        <v/>
      </c>
      <c r="W21" s="16" t="str">
        <f ca="1">IF(OFFSET(掉落_design!$E21,0,掉落_design!V$2,1,1)="","",OFFSET(掉落_design!$E21,0,掉落_design!V$2,1,1)&amp;";"&amp;OFFSET(掉落_design!$E21,0,掉落_design!V$2+1,1,1)&amp;";"&amp;OFFSET(掉落_design!$E21,0,掉落_design!V$2+2,1,1)&amp;";"&amp;OFFSET(掉落_design!$E21,0,掉落_design!V$2+3,1,1))</f>
        <v/>
      </c>
      <c r="X21" s="16" t="str">
        <f ca="1">IF(OFFSET(掉落_design!$E21,0,掉落_design!W$2,1,1)="","",OFFSET(掉落_design!$E21,0,掉落_design!W$2,1,1)&amp;";"&amp;OFFSET(掉落_design!$E21,0,掉落_design!W$2+1,1,1)&amp;";"&amp;OFFSET(掉落_design!$E21,0,掉落_design!W$2+2,1,1)&amp;";"&amp;OFFSET(掉落_design!$E21,0,掉落_design!W$2+3,1,1))</f>
        <v/>
      </c>
      <c r="Y21" s="16" t="str">
        <f ca="1">IF(OFFSET(掉落_design!$E21,0,掉落_design!X$2,1,1)="","",OFFSET(掉落_design!$E21,0,掉落_design!X$2,1,1)&amp;";"&amp;OFFSET(掉落_design!$E21,0,掉落_design!X$2+1,1,1)&amp;";"&amp;OFFSET(掉落_design!$E21,0,掉落_design!X$2+2,1,1)&amp;";"&amp;OFFSET(掉落_design!$E21,0,掉落_design!X$2+3,1,1))</f>
        <v/>
      </c>
    </row>
    <row r="22" spans="1:25" x14ac:dyDescent="0.15">
      <c r="A22" s="11" t="str">
        <f t="shared" si="0"/>
        <v>DATA</v>
      </c>
      <c r="B22" s="25"/>
      <c r="C22" s="25"/>
      <c r="D22" s="15">
        <f>IF(掉落_design!C22="","",掉落_design!C22)</f>
        <v>10200</v>
      </c>
      <c r="E22" s="15">
        <f>IF(A22="","",掉落_design!D22)</f>
        <v>1</v>
      </c>
      <c r="F22" s="16" t="str">
        <f ca="1">IF(OFFSET(掉落_design!$E22,0,掉落_design!E$2,1,1)="","",OFFSET(掉落_design!$E22,0,掉落_design!E$2,1,1)&amp;";"&amp;OFFSET(掉落_design!$E22,0,掉落_design!E$2+1,1,1)&amp;";"&amp;OFFSET(掉落_design!$E22,0,掉落_design!E$2+2,1,1)&amp;";"&amp;OFFSET(掉落_design!$E22,0,掉落_design!E$2+3,1,1))</f>
        <v>1001;20;40;1000</v>
      </c>
      <c r="G22" s="16" t="str">
        <f ca="1">IF(OFFSET(掉落_design!$E22,0,掉落_design!F$2,1,1)="","",OFFSET(掉落_design!$E22,0,掉落_design!F$2,1,1)&amp;";"&amp;OFFSET(掉落_design!$E22,0,掉落_design!F$2+1,1,1)&amp;";"&amp;OFFSET(掉落_design!$E22,0,掉落_design!F$2+2,1,1)&amp;";"&amp;OFFSET(掉落_design!$E22,0,掉落_design!F$2+3,1,1))</f>
        <v>1204;1;1;1000</v>
      </c>
      <c r="H22" s="16" t="str">
        <f ca="1">IF(OFFSET(掉落_design!$E22,0,掉落_design!G$2,1,1)="","",OFFSET(掉落_design!$E22,0,掉落_design!G$2,1,1)&amp;";"&amp;OFFSET(掉落_design!$E22,0,掉落_design!G$2+1,1,1)&amp;";"&amp;OFFSET(掉落_design!$E22,0,掉落_design!G$2+2,1,1)&amp;";"&amp;OFFSET(掉落_design!$E22,0,掉落_design!G$2+3,1,1))</f>
        <v/>
      </c>
      <c r="I22" s="16" t="str">
        <f ca="1">IF(OFFSET(掉落_design!$E22,0,掉落_design!H$2,1,1)="","",OFFSET(掉落_design!$E22,0,掉落_design!H$2,1,1)&amp;";"&amp;OFFSET(掉落_design!$E22,0,掉落_design!H$2+1,1,1)&amp;";"&amp;OFFSET(掉落_design!$E22,0,掉落_design!H$2+2,1,1)&amp;";"&amp;OFFSET(掉落_design!$E22,0,掉落_design!H$2+3,1,1))</f>
        <v/>
      </c>
      <c r="J22" s="16" t="str">
        <f ca="1">IF(OFFSET(掉落_design!$E22,0,掉落_design!I$2,1,1)="","",OFFSET(掉落_design!$E22,0,掉落_design!I$2,1,1)&amp;";"&amp;OFFSET(掉落_design!$E22,0,掉落_design!I$2+1,1,1)&amp;";"&amp;OFFSET(掉落_design!$E22,0,掉落_design!I$2+2,1,1)&amp;";"&amp;OFFSET(掉落_design!$E22,0,掉落_design!I$2+3,1,1))</f>
        <v/>
      </c>
      <c r="K22" s="16" t="str">
        <f ca="1">IF(OFFSET(掉落_design!$E22,0,掉落_design!J$2,1,1)="","",OFFSET(掉落_design!$E22,0,掉落_design!J$2,1,1)&amp;";"&amp;OFFSET(掉落_design!$E22,0,掉落_design!J$2+1,1,1)&amp;";"&amp;OFFSET(掉落_design!$E22,0,掉落_design!J$2+2,1,1)&amp;";"&amp;OFFSET(掉落_design!$E22,0,掉落_design!J$2+3,1,1))</f>
        <v/>
      </c>
      <c r="L22" s="16" t="str">
        <f ca="1">IF(OFFSET(掉落_design!$E22,0,掉落_design!K$2,1,1)="","",OFFSET(掉落_design!$E22,0,掉落_design!K$2,1,1)&amp;";"&amp;OFFSET(掉落_design!$E22,0,掉落_design!K$2+1,1,1)&amp;";"&amp;OFFSET(掉落_design!$E22,0,掉落_design!K$2+2,1,1)&amp;";"&amp;OFFSET(掉落_design!$E22,0,掉落_design!K$2+3,1,1))</f>
        <v/>
      </c>
      <c r="M22" s="16" t="str">
        <f ca="1">IF(OFFSET(掉落_design!$E22,0,掉落_design!L$2,1,1)="","",OFFSET(掉落_design!$E22,0,掉落_design!L$2,1,1)&amp;";"&amp;OFFSET(掉落_design!$E22,0,掉落_design!L$2+1,1,1)&amp;";"&amp;OFFSET(掉落_design!$E22,0,掉落_design!L$2+2,1,1)&amp;";"&amp;OFFSET(掉落_design!$E22,0,掉落_design!L$2+3,1,1))</f>
        <v/>
      </c>
      <c r="N22" s="16" t="str">
        <f ca="1">IF(OFFSET(掉落_design!$E22,0,掉落_design!M$2,1,1)="","",OFFSET(掉落_design!$E22,0,掉落_design!M$2,1,1)&amp;";"&amp;OFFSET(掉落_design!$E22,0,掉落_design!M$2+1,1,1)&amp;";"&amp;OFFSET(掉落_design!$E22,0,掉落_design!M$2+2,1,1)&amp;";"&amp;OFFSET(掉落_design!$E22,0,掉落_design!M$2+3,1,1))</f>
        <v/>
      </c>
      <c r="O22" s="16" t="str">
        <f ca="1">IF(OFFSET(掉落_design!$E22,0,掉落_design!N$2,1,1)="","",OFFSET(掉落_design!$E22,0,掉落_design!N$2,1,1)&amp;";"&amp;OFFSET(掉落_design!$E22,0,掉落_design!N$2+1,1,1)&amp;";"&amp;OFFSET(掉落_design!$E22,0,掉落_design!N$2+2,1,1)&amp;";"&amp;OFFSET(掉落_design!$E22,0,掉落_design!N$2+3,1,1))</f>
        <v/>
      </c>
      <c r="P22" s="16" t="str">
        <f ca="1">IF(OFFSET(掉落_design!$E22,0,掉落_design!O$2,1,1)="","",OFFSET(掉落_design!$E22,0,掉落_design!O$2,1,1)&amp;";"&amp;OFFSET(掉落_design!$E22,0,掉落_design!O$2+1,1,1)&amp;";"&amp;OFFSET(掉落_design!$E22,0,掉落_design!O$2+2,1,1)&amp;";"&amp;OFFSET(掉落_design!$E22,0,掉落_design!O$2+3,1,1))</f>
        <v/>
      </c>
      <c r="Q22" s="16" t="str">
        <f ca="1">IF(OFFSET(掉落_design!$E22,0,掉落_design!P$2,1,1)="","",OFFSET(掉落_design!$E22,0,掉落_design!P$2,1,1)&amp;";"&amp;OFFSET(掉落_design!$E22,0,掉落_design!P$2+1,1,1)&amp;";"&amp;OFFSET(掉落_design!$E22,0,掉落_design!P$2+2,1,1)&amp;";"&amp;OFFSET(掉落_design!$E22,0,掉落_design!P$2+3,1,1))</f>
        <v/>
      </c>
      <c r="R22" s="16" t="str">
        <f ca="1">IF(OFFSET(掉落_design!$E22,0,掉落_design!Q$2,1,1)="","",OFFSET(掉落_design!$E22,0,掉落_design!Q$2,1,1)&amp;";"&amp;OFFSET(掉落_design!$E22,0,掉落_design!Q$2+1,1,1)&amp;";"&amp;OFFSET(掉落_design!$E22,0,掉落_design!Q$2+2,1,1)&amp;";"&amp;OFFSET(掉落_design!$E22,0,掉落_design!Q$2+3,1,1))</f>
        <v/>
      </c>
      <c r="S22" s="16" t="str">
        <f ca="1">IF(OFFSET(掉落_design!$E22,0,掉落_design!R$2,1,1)="","",OFFSET(掉落_design!$E22,0,掉落_design!R$2,1,1)&amp;";"&amp;OFFSET(掉落_design!$E22,0,掉落_design!R$2+1,1,1)&amp;";"&amp;OFFSET(掉落_design!$E22,0,掉落_design!R$2+2,1,1)&amp;";"&amp;OFFSET(掉落_design!$E22,0,掉落_design!R$2+3,1,1))</f>
        <v/>
      </c>
      <c r="T22" s="16" t="str">
        <f ca="1">IF(OFFSET(掉落_design!$E22,0,掉落_design!S$2,1,1)="","",OFFSET(掉落_design!$E22,0,掉落_design!S$2,1,1)&amp;";"&amp;OFFSET(掉落_design!$E22,0,掉落_design!S$2+1,1,1)&amp;";"&amp;OFFSET(掉落_design!$E22,0,掉落_design!S$2+2,1,1)&amp;";"&amp;OFFSET(掉落_design!$E22,0,掉落_design!S$2+3,1,1))</f>
        <v/>
      </c>
      <c r="U22" s="16" t="str">
        <f ca="1">IF(OFFSET(掉落_design!$E22,0,掉落_design!T$2,1,1)="","",OFFSET(掉落_design!$E22,0,掉落_design!T$2,1,1)&amp;";"&amp;OFFSET(掉落_design!$E22,0,掉落_design!T$2+1,1,1)&amp;";"&amp;OFFSET(掉落_design!$E22,0,掉落_design!T$2+2,1,1)&amp;";"&amp;OFFSET(掉落_design!$E22,0,掉落_design!T$2+3,1,1))</f>
        <v/>
      </c>
      <c r="V22" s="16" t="str">
        <f ca="1">IF(OFFSET(掉落_design!$E22,0,掉落_design!U$2,1,1)="","",OFFSET(掉落_design!$E22,0,掉落_design!U$2,1,1)&amp;";"&amp;OFFSET(掉落_design!$E22,0,掉落_design!U$2+1,1,1)&amp;";"&amp;OFFSET(掉落_design!$E22,0,掉落_design!U$2+2,1,1)&amp;";"&amp;OFFSET(掉落_design!$E22,0,掉落_design!U$2+3,1,1))</f>
        <v/>
      </c>
      <c r="W22" s="16" t="str">
        <f ca="1">IF(OFFSET(掉落_design!$E22,0,掉落_design!V$2,1,1)="","",OFFSET(掉落_design!$E22,0,掉落_design!V$2,1,1)&amp;";"&amp;OFFSET(掉落_design!$E22,0,掉落_design!V$2+1,1,1)&amp;";"&amp;OFFSET(掉落_design!$E22,0,掉落_design!V$2+2,1,1)&amp;";"&amp;OFFSET(掉落_design!$E22,0,掉落_design!V$2+3,1,1))</f>
        <v/>
      </c>
      <c r="X22" s="16" t="str">
        <f ca="1">IF(OFFSET(掉落_design!$E22,0,掉落_design!W$2,1,1)="","",OFFSET(掉落_design!$E22,0,掉落_design!W$2,1,1)&amp;";"&amp;OFFSET(掉落_design!$E22,0,掉落_design!W$2+1,1,1)&amp;";"&amp;OFFSET(掉落_design!$E22,0,掉落_design!W$2+2,1,1)&amp;";"&amp;OFFSET(掉落_design!$E22,0,掉落_design!W$2+3,1,1))</f>
        <v/>
      </c>
      <c r="Y22" s="16" t="str">
        <f ca="1">IF(OFFSET(掉落_design!$E22,0,掉落_design!X$2,1,1)="","",OFFSET(掉落_design!$E22,0,掉落_design!X$2,1,1)&amp;";"&amp;OFFSET(掉落_design!$E22,0,掉落_design!X$2+1,1,1)&amp;";"&amp;OFFSET(掉落_design!$E22,0,掉落_design!X$2+2,1,1)&amp;";"&amp;OFFSET(掉落_design!$E22,0,掉落_design!X$2+3,1,1))</f>
        <v/>
      </c>
    </row>
    <row r="23" spans="1:25" x14ac:dyDescent="0.15">
      <c r="A23" s="11" t="str">
        <f t="shared" si="0"/>
        <v>DATA</v>
      </c>
      <c r="B23" s="25"/>
      <c r="C23" s="25"/>
      <c r="D23" s="15">
        <f>IF(掉落_design!C23="","",掉落_design!C23)</f>
        <v>10201</v>
      </c>
      <c r="E23" s="15">
        <f>IF(A23="","",掉落_design!D23)</f>
        <v>2</v>
      </c>
      <c r="F23" s="16" t="str">
        <f ca="1">IF(OFFSET(掉落_design!$E23,0,掉落_design!E$2,1,1)="","",OFFSET(掉落_design!$E23,0,掉落_design!E$2,1,1)&amp;";"&amp;OFFSET(掉落_design!$E23,0,掉落_design!E$2+1,1,1)&amp;";"&amp;OFFSET(掉落_design!$E23,0,掉落_design!E$2+2,1,1)&amp;";"&amp;OFFSET(掉落_design!$E23,0,掉落_design!E$2+3,1,1))</f>
        <v>20204;1;1;1</v>
      </c>
      <c r="G23" s="16" t="str">
        <f ca="1">IF(OFFSET(掉落_design!$E23,0,掉落_design!F$2,1,1)="","",OFFSET(掉落_design!$E23,0,掉落_design!F$2,1,1)&amp;";"&amp;OFFSET(掉落_design!$E23,0,掉落_design!F$2+1,1,1)&amp;";"&amp;OFFSET(掉落_design!$E23,0,掉落_design!F$2+2,1,1)&amp;";"&amp;OFFSET(掉落_design!$E23,0,掉落_design!F$2+3,1,1))</f>
        <v>20206;1;1;1</v>
      </c>
      <c r="H23" s="16" t="str">
        <f ca="1">IF(OFFSET(掉落_design!$E23,0,掉落_design!G$2,1,1)="","",OFFSET(掉落_design!$E23,0,掉落_design!G$2,1,1)&amp;";"&amp;OFFSET(掉落_design!$E23,0,掉落_design!G$2+1,1,1)&amp;";"&amp;OFFSET(掉落_design!$E23,0,掉落_design!G$2+2,1,1)&amp;";"&amp;OFFSET(掉落_design!$E23,0,掉落_design!G$2+3,1,1))</f>
        <v>20203;1;1;1</v>
      </c>
      <c r="I23" s="16" t="str">
        <f ca="1">IF(OFFSET(掉落_design!$E23,0,掉落_design!H$2,1,1)="","",OFFSET(掉落_design!$E23,0,掉落_design!H$2,1,1)&amp;";"&amp;OFFSET(掉落_design!$E23,0,掉落_design!H$2+1,1,1)&amp;";"&amp;OFFSET(掉落_design!$E23,0,掉落_design!H$2+2,1,1)&amp;";"&amp;OFFSET(掉落_design!$E23,0,掉落_design!H$2+3,1,1))</f>
        <v>20103;1;1;1</v>
      </c>
      <c r="J23" s="16" t="str">
        <f ca="1">IF(OFFSET(掉落_design!$E23,0,掉落_design!I$2,1,1)="","",OFFSET(掉落_design!$E23,0,掉落_design!I$2,1,1)&amp;";"&amp;OFFSET(掉落_design!$E23,0,掉落_design!I$2+1,1,1)&amp;";"&amp;OFFSET(掉落_design!$E23,0,掉落_design!I$2+2,1,1)&amp;";"&amp;OFFSET(掉落_design!$E23,0,掉落_design!I$2+3,1,1))</f>
        <v>20203;1;1;1</v>
      </c>
      <c r="K23" s="16" t="str">
        <f ca="1">IF(OFFSET(掉落_design!$E23,0,掉落_design!J$2,1,1)="","",OFFSET(掉落_design!$E23,0,掉落_design!J$2,1,1)&amp;";"&amp;OFFSET(掉落_design!$E23,0,掉落_design!J$2+1,1,1)&amp;";"&amp;OFFSET(掉落_design!$E23,0,掉落_design!J$2+2,1,1)&amp;";"&amp;OFFSET(掉落_design!$E23,0,掉落_design!J$2+3,1,1))</f>
        <v>20105;1;1;1</v>
      </c>
      <c r="L23" s="16" t="str">
        <f ca="1">IF(OFFSET(掉落_design!$E23,0,掉落_design!K$2,1,1)="","",OFFSET(掉落_design!$E23,0,掉落_design!K$2,1,1)&amp;";"&amp;OFFSET(掉落_design!$E23,0,掉落_design!K$2+1,1,1)&amp;";"&amp;OFFSET(掉落_design!$E23,0,掉落_design!K$2+2,1,1)&amp;";"&amp;OFFSET(掉落_design!$E23,0,掉落_design!K$2+3,1,1))</f>
        <v>20103;1;1;1</v>
      </c>
      <c r="M23" s="16" t="str">
        <f ca="1">IF(OFFSET(掉落_design!$E23,0,掉落_design!L$2,1,1)="","",OFFSET(掉落_design!$E23,0,掉落_design!L$2,1,1)&amp;";"&amp;OFFSET(掉落_design!$E23,0,掉落_design!L$2+1,1,1)&amp;";"&amp;OFFSET(掉落_design!$E23,0,掉落_design!L$2+2,1,1)&amp;";"&amp;OFFSET(掉落_design!$E23,0,掉落_design!L$2+3,1,1))</f>
        <v>20206;1;1;1</v>
      </c>
      <c r="N23" s="16" t="str">
        <f ca="1">IF(OFFSET(掉落_design!$E23,0,掉落_design!M$2,1,1)="","",OFFSET(掉落_design!$E23,0,掉落_design!M$2,1,1)&amp;";"&amp;OFFSET(掉落_design!$E23,0,掉落_design!M$2+1,1,1)&amp;";"&amp;OFFSET(掉落_design!$E23,0,掉落_design!M$2+2,1,1)&amp;";"&amp;OFFSET(掉落_design!$E23,0,掉落_design!M$2+3,1,1))</f>
        <v>20103;1;1;1</v>
      </c>
      <c r="O23" s="16" t="str">
        <f ca="1">IF(OFFSET(掉落_design!$E23,0,掉落_design!N$2,1,1)="","",OFFSET(掉落_design!$E23,0,掉落_design!N$2,1,1)&amp;";"&amp;OFFSET(掉落_design!$E23,0,掉落_design!N$2+1,1,1)&amp;";"&amp;OFFSET(掉落_design!$E23,0,掉落_design!N$2+2,1,1)&amp;";"&amp;OFFSET(掉落_design!$E23,0,掉落_design!N$2+3,1,1))</f>
        <v>20204;1;1;1</v>
      </c>
      <c r="P23" s="16" t="str">
        <f ca="1">IF(OFFSET(掉落_design!$E23,0,掉落_design!O$2,1,1)="","",OFFSET(掉落_design!$E23,0,掉落_design!O$2,1,1)&amp;";"&amp;OFFSET(掉落_design!$E23,0,掉落_design!O$2+1,1,1)&amp;";"&amp;OFFSET(掉落_design!$E23,0,掉落_design!O$2+2,1,1)&amp;";"&amp;OFFSET(掉落_design!$E23,0,掉落_design!O$2+3,1,1))</f>
        <v>1001;100;150;10</v>
      </c>
      <c r="Q23" s="16" t="str">
        <f ca="1">IF(OFFSET(掉落_design!$E23,0,掉落_design!P$2,1,1)="","",OFFSET(掉落_design!$E23,0,掉落_design!P$2,1,1)&amp;";"&amp;OFFSET(掉落_design!$E23,0,掉落_design!P$2+1,1,1)&amp;";"&amp;OFFSET(掉落_design!$E23,0,掉落_design!P$2+2,1,1)&amp;";"&amp;OFFSET(掉落_design!$E23,0,掉落_design!P$2+3,1,1))</f>
        <v/>
      </c>
      <c r="R23" s="16" t="str">
        <f ca="1">IF(OFFSET(掉落_design!$E23,0,掉落_design!Q$2,1,1)="","",OFFSET(掉落_design!$E23,0,掉落_design!Q$2,1,1)&amp;";"&amp;OFFSET(掉落_design!$E23,0,掉落_design!Q$2+1,1,1)&amp;";"&amp;OFFSET(掉落_design!$E23,0,掉落_design!Q$2+2,1,1)&amp;";"&amp;OFFSET(掉落_design!$E23,0,掉落_design!Q$2+3,1,1))</f>
        <v/>
      </c>
      <c r="S23" s="16" t="str">
        <f ca="1">IF(OFFSET(掉落_design!$E23,0,掉落_design!R$2,1,1)="","",OFFSET(掉落_design!$E23,0,掉落_design!R$2,1,1)&amp;";"&amp;OFFSET(掉落_design!$E23,0,掉落_design!R$2+1,1,1)&amp;";"&amp;OFFSET(掉落_design!$E23,0,掉落_design!R$2+2,1,1)&amp;";"&amp;OFFSET(掉落_design!$E23,0,掉落_design!R$2+3,1,1))</f>
        <v/>
      </c>
      <c r="T23" s="16" t="str">
        <f ca="1">IF(OFFSET(掉落_design!$E23,0,掉落_design!S$2,1,1)="","",OFFSET(掉落_design!$E23,0,掉落_design!S$2,1,1)&amp;";"&amp;OFFSET(掉落_design!$E23,0,掉落_design!S$2+1,1,1)&amp;";"&amp;OFFSET(掉落_design!$E23,0,掉落_design!S$2+2,1,1)&amp;";"&amp;OFFSET(掉落_design!$E23,0,掉落_design!S$2+3,1,1))</f>
        <v/>
      </c>
      <c r="U23" s="16" t="str">
        <f ca="1">IF(OFFSET(掉落_design!$E23,0,掉落_design!T$2,1,1)="","",OFFSET(掉落_design!$E23,0,掉落_design!T$2,1,1)&amp;";"&amp;OFFSET(掉落_design!$E23,0,掉落_design!T$2+1,1,1)&amp;";"&amp;OFFSET(掉落_design!$E23,0,掉落_design!T$2+2,1,1)&amp;";"&amp;OFFSET(掉落_design!$E23,0,掉落_design!T$2+3,1,1))</f>
        <v/>
      </c>
      <c r="V23" s="16" t="str">
        <f ca="1">IF(OFFSET(掉落_design!$E23,0,掉落_design!U$2,1,1)="","",OFFSET(掉落_design!$E23,0,掉落_design!U$2,1,1)&amp;";"&amp;OFFSET(掉落_design!$E23,0,掉落_design!U$2+1,1,1)&amp;";"&amp;OFFSET(掉落_design!$E23,0,掉落_design!U$2+2,1,1)&amp;";"&amp;OFFSET(掉落_design!$E23,0,掉落_design!U$2+3,1,1))</f>
        <v/>
      </c>
      <c r="W23" s="16" t="str">
        <f ca="1">IF(OFFSET(掉落_design!$E23,0,掉落_design!V$2,1,1)="","",OFFSET(掉落_design!$E23,0,掉落_design!V$2,1,1)&amp;";"&amp;OFFSET(掉落_design!$E23,0,掉落_design!V$2+1,1,1)&amp;";"&amp;OFFSET(掉落_design!$E23,0,掉落_design!V$2+2,1,1)&amp;";"&amp;OFFSET(掉落_design!$E23,0,掉落_design!V$2+3,1,1))</f>
        <v/>
      </c>
      <c r="X23" s="16" t="str">
        <f ca="1">IF(OFFSET(掉落_design!$E23,0,掉落_design!W$2,1,1)="","",OFFSET(掉落_design!$E23,0,掉落_design!W$2,1,1)&amp;";"&amp;OFFSET(掉落_design!$E23,0,掉落_design!W$2+1,1,1)&amp;";"&amp;OFFSET(掉落_design!$E23,0,掉落_design!W$2+2,1,1)&amp;";"&amp;OFFSET(掉落_design!$E23,0,掉落_design!W$2+3,1,1))</f>
        <v/>
      </c>
      <c r="Y23" s="16" t="str">
        <f ca="1">IF(OFFSET(掉落_design!$E23,0,掉落_design!X$2,1,1)="","",OFFSET(掉落_design!$E23,0,掉落_design!X$2,1,1)&amp;";"&amp;OFFSET(掉落_design!$E23,0,掉落_design!X$2+1,1,1)&amp;";"&amp;OFFSET(掉落_design!$E23,0,掉落_design!X$2+2,1,1)&amp;";"&amp;OFFSET(掉落_design!$E23,0,掉落_design!X$2+3,1,1))</f>
        <v/>
      </c>
    </row>
    <row r="24" spans="1:25" x14ac:dyDescent="0.15">
      <c r="A24" s="11" t="str">
        <f t="shared" si="0"/>
        <v/>
      </c>
      <c r="B24" s="25"/>
      <c r="C24" s="25"/>
      <c r="D24" s="15" t="str">
        <f>IF(掉落_design!C24="","",掉落_design!C24)</f>
        <v/>
      </c>
      <c r="E24" s="15" t="str">
        <f>IF(A24="","",掉落_design!D24)</f>
        <v/>
      </c>
      <c r="F24" s="16" t="str">
        <f ca="1">IF(OFFSET(掉落_design!$E24,0,掉落_design!E$2,1,1)="","",OFFSET(掉落_design!$E24,0,掉落_design!E$2,1,1)&amp;";"&amp;OFFSET(掉落_design!$E24,0,掉落_design!E$2+1,1,1)&amp;";"&amp;OFFSET(掉落_design!$E24,0,掉落_design!E$2+2,1,1)&amp;";"&amp;OFFSET(掉落_design!$E24,0,掉落_design!E$2+3,1,1))</f>
        <v/>
      </c>
      <c r="G24" s="16" t="str">
        <f ca="1">IF(OFFSET(掉落_design!$E24,0,掉落_design!F$2,1,1)="","",OFFSET(掉落_design!$E24,0,掉落_design!F$2,1,1)&amp;";"&amp;OFFSET(掉落_design!$E24,0,掉落_design!F$2+1,1,1)&amp;";"&amp;OFFSET(掉落_design!$E24,0,掉落_design!F$2+2,1,1)&amp;";"&amp;OFFSET(掉落_design!$E24,0,掉落_design!F$2+3,1,1))</f>
        <v/>
      </c>
      <c r="H24" s="16" t="str">
        <f ca="1">IF(OFFSET(掉落_design!$E24,0,掉落_design!G$2,1,1)="","",OFFSET(掉落_design!$E24,0,掉落_design!G$2,1,1)&amp;";"&amp;OFFSET(掉落_design!$E24,0,掉落_design!G$2+1,1,1)&amp;";"&amp;OFFSET(掉落_design!$E24,0,掉落_design!G$2+2,1,1)&amp;";"&amp;OFFSET(掉落_design!$E24,0,掉落_design!G$2+3,1,1))</f>
        <v/>
      </c>
      <c r="I24" s="16" t="str">
        <f ca="1">IF(OFFSET(掉落_design!$E24,0,掉落_design!H$2,1,1)="","",OFFSET(掉落_design!$E24,0,掉落_design!H$2,1,1)&amp;";"&amp;OFFSET(掉落_design!$E24,0,掉落_design!H$2+1,1,1)&amp;";"&amp;OFFSET(掉落_design!$E24,0,掉落_design!H$2+2,1,1)&amp;";"&amp;OFFSET(掉落_design!$E24,0,掉落_design!H$2+3,1,1))</f>
        <v/>
      </c>
      <c r="J24" s="16" t="str">
        <f ca="1">IF(OFFSET(掉落_design!$E24,0,掉落_design!I$2,1,1)="","",OFFSET(掉落_design!$E24,0,掉落_design!I$2,1,1)&amp;";"&amp;OFFSET(掉落_design!$E24,0,掉落_design!I$2+1,1,1)&amp;";"&amp;OFFSET(掉落_design!$E24,0,掉落_design!I$2+2,1,1)&amp;";"&amp;OFFSET(掉落_design!$E24,0,掉落_design!I$2+3,1,1))</f>
        <v/>
      </c>
      <c r="K24" s="16" t="str">
        <f ca="1">IF(OFFSET(掉落_design!$E24,0,掉落_design!J$2,1,1)="","",OFFSET(掉落_design!$E24,0,掉落_design!J$2,1,1)&amp;";"&amp;OFFSET(掉落_design!$E24,0,掉落_design!J$2+1,1,1)&amp;";"&amp;OFFSET(掉落_design!$E24,0,掉落_design!J$2+2,1,1)&amp;";"&amp;OFFSET(掉落_design!$E24,0,掉落_design!J$2+3,1,1))</f>
        <v/>
      </c>
      <c r="L24" s="16" t="str">
        <f ca="1">IF(OFFSET(掉落_design!$E24,0,掉落_design!K$2,1,1)="","",OFFSET(掉落_design!$E24,0,掉落_design!K$2,1,1)&amp;";"&amp;OFFSET(掉落_design!$E24,0,掉落_design!K$2+1,1,1)&amp;";"&amp;OFFSET(掉落_design!$E24,0,掉落_design!K$2+2,1,1)&amp;";"&amp;OFFSET(掉落_design!$E24,0,掉落_design!K$2+3,1,1))</f>
        <v/>
      </c>
      <c r="M24" s="16" t="str">
        <f ca="1">IF(OFFSET(掉落_design!$E24,0,掉落_design!L$2,1,1)="","",OFFSET(掉落_design!$E24,0,掉落_design!L$2,1,1)&amp;";"&amp;OFFSET(掉落_design!$E24,0,掉落_design!L$2+1,1,1)&amp;";"&amp;OFFSET(掉落_design!$E24,0,掉落_design!L$2+2,1,1)&amp;";"&amp;OFFSET(掉落_design!$E24,0,掉落_design!L$2+3,1,1))</f>
        <v/>
      </c>
      <c r="N24" s="16" t="str">
        <f ca="1">IF(OFFSET(掉落_design!$E24,0,掉落_design!M$2,1,1)="","",OFFSET(掉落_design!$E24,0,掉落_design!M$2,1,1)&amp;";"&amp;OFFSET(掉落_design!$E24,0,掉落_design!M$2+1,1,1)&amp;";"&amp;OFFSET(掉落_design!$E24,0,掉落_design!M$2+2,1,1)&amp;";"&amp;OFFSET(掉落_design!$E24,0,掉落_design!M$2+3,1,1))</f>
        <v/>
      </c>
      <c r="O24" s="16" t="str">
        <f ca="1">IF(OFFSET(掉落_design!$E24,0,掉落_design!N$2,1,1)="","",OFFSET(掉落_design!$E24,0,掉落_design!N$2,1,1)&amp;";"&amp;OFFSET(掉落_design!$E24,0,掉落_design!N$2+1,1,1)&amp;";"&amp;OFFSET(掉落_design!$E24,0,掉落_design!N$2+2,1,1)&amp;";"&amp;OFFSET(掉落_design!$E24,0,掉落_design!N$2+3,1,1))</f>
        <v/>
      </c>
      <c r="P24" s="16" t="str">
        <f ca="1">IF(OFFSET(掉落_design!$E24,0,掉落_design!O$2,1,1)="","",OFFSET(掉落_design!$E24,0,掉落_design!O$2,1,1)&amp;";"&amp;OFFSET(掉落_design!$E24,0,掉落_design!O$2+1,1,1)&amp;";"&amp;OFFSET(掉落_design!$E24,0,掉落_design!O$2+2,1,1)&amp;";"&amp;OFFSET(掉落_design!$E24,0,掉落_design!O$2+3,1,1))</f>
        <v/>
      </c>
      <c r="Q24" s="16" t="str">
        <f ca="1">IF(OFFSET(掉落_design!$E24,0,掉落_design!P$2,1,1)="","",OFFSET(掉落_design!$E24,0,掉落_design!P$2,1,1)&amp;";"&amp;OFFSET(掉落_design!$E24,0,掉落_design!P$2+1,1,1)&amp;";"&amp;OFFSET(掉落_design!$E24,0,掉落_design!P$2+2,1,1)&amp;";"&amp;OFFSET(掉落_design!$E24,0,掉落_design!P$2+3,1,1))</f>
        <v/>
      </c>
      <c r="R24" s="16" t="str">
        <f ca="1">IF(OFFSET(掉落_design!$E24,0,掉落_design!Q$2,1,1)="","",OFFSET(掉落_design!$E24,0,掉落_design!Q$2,1,1)&amp;";"&amp;OFFSET(掉落_design!$E24,0,掉落_design!Q$2+1,1,1)&amp;";"&amp;OFFSET(掉落_design!$E24,0,掉落_design!Q$2+2,1,1)&amp;";"&amp;OFFSET(掉落_design!$E24,0,掉落_design!Q$2+3,1,1))</f>
        <v/>
      </c>
      <c r="S24" s="16" t="str">
        <f ca="1">IF(OFFSET(掉落_design!$E24,0,掉落_design!R$2,1,1)="","",OFFSET(掉落_design!$E24,0,掉落_design!R$2,1,1)&amp;";"&amp;OFFSET(掉落_design!$E24,0,掉落_design!R$2+1,1,1)&amp;";"&amp;OFFSET(掉落_design!$E24,0,掉落_design!R$2+2,1,1)&amp;";"&amp;OFFSET(掉落_design!$E24,0,掉落_design!R$2+3,1,1))</f>
        <v/>
      </c>
      <c r="T24" s="16" t="str">
        <f ca="1">IF(OFFSET(掉落_design!$E24,0,掉落_design!S$2,1,1)="","",OFFSET(掉落_design!$E24,0,掉落_design!S$2,1,1)&amp;";"&amp;OFFSET(掉落_design!$E24,0,掉落_design!S$2+1,1,1)&amp;";"&amp;OFFSET(掉落_design!$E24,0,掉落_design!S$2+2,1,1)&amp;";"&amp;OFFSET(掉落_design!$E24,0,掉落_design!S$2+3,1,1))</f>
        <v/>
      </c>
      <c r="U24" s="16" t="str">
        <f ca="1">IF(OFFSET(掉落_design!$E24,0,掉落_design!T$2,1,1)="","",OFFSET(掉落_design!$E24,0,掉落_design!T$2,1,1)&amp;";"&amp;OFFSET(掉落_design!$E24,0,掉落_design!T$2+1,1,1)&amp;";"&amp;OFFSET(掉落_design!$E24,0,掉落_design!T$2+2,1,1)&amp;";"&amp;OFFSET(掉落_design!$E24,0,掉落_design!T$2+3,1,1))</f>
        <v/>
      </c>
      <c r="V24" s="16" t="str">
        <f ca="1">IF(OFFSET(掉落_design!$E24,0,掉落_design!U$2,1,1)="","",OFFSET(掉落_design!$E24,0,掉落_design!U$2,1,1)&amp;";"&amp;OFFSET(掉落_design!$E24,0,掉落_design!U$2+1,1,1)&amp;";"&amp;OFFSET(掉落_design!$E24,0,掉落_design!U$2+2,1,1)&amp;";"&amp;OFFSET(掉落_design!$E24,0,掉落_design!U$2+3,1,1))</f>
        <v/>
      </c>
      <c r="W24" s="16" t="str">
        <f ca="1">IF(OFFSET(掉落_design!$E24,0,掉落_design!V$2,1,1)="","",OFFSET(掉落_design!$E24,0,掉落_design!V$2,1,1)&amp;";"&amp;OFFSET(掉落_design!$E24,0,掉落_design!V$2+1,1,1)&amp;";"&amp;OFFSET(掉落_design!$E24,0,掉落_design!V$2+2,1,1)&amp;";"&amp;OFFSET(掉落_design!$E24,0,掉落_design!V$2+3,1,1))</f>
        <v/>
      </c>
      <c r="X24" s="16" t="str">
        <f ca="1">IF(OFFSET(掉落_design!$E24,0,掉落_design!W$2,1,1)="","",OFFSET(掉落_design!$E24,0,掉落_design!W$2,1,1)&amp;";"&amp;OFFSET(掉落_design!$E24,0,掉落_design!W$2+1,1,1)&amp;";"&amp;OFFSET(掉落_design!$E24,0,掉落_design!W$2+2,1,1)&amp;";"&amp;OFFSET(掉落_design!$E24,0,掉落_design!W$2+3,1,1))</f>
        <v/>
      </c>
      <c r="Y24" s="16" t="str">
        <f ca="1">IF(OFFSET(掉落_design!$E24,0,掉落_design!X$2,1,1)="","",OFFSET(掉落_design!$E24,0,掉落_design!X$2,1,1)&amp;";"&amp;OFFSET(掉落_design!$E24,0,掉落_design!X$2+1,1,1)&amp;";"&amp;OFFSET(掉落_design!$E24,0,掉落_design!X$2+2,1,1)&amp;";"&amp;OFFSET(掉落_design!$E24,0,掉落_design!X$2+3,1,1))</f>
        <v/>
      </c>
    </row>
    <row r="25" spans="1:25" x14ac:dyDescent="0.15">
      <c r="A25" s="11" t="str">
        <f t="shared" si="0"/>
        <v>DATA</v>
      </c>
      <c r="B25" s="25"/>
      <c r="C25" s="25"/>
      <c r="D25" s="15">
        <f>IF(掉落_design!C25="","",掉落_design!C25)</f>
        <v>10300</v>
      </c>
      <c r="E25" s="15">
        <f>IF(A25="","",掉落_design!D25)</f>
        <v>1</v>
      </c>
      <c r="F25" s="16" t="str">
        <f ca="1">IF(OFFSET(掉落_design!$E25,0,掉落_design!E$2,1,1)="","",OFFSET(掉落_design!$E25,0,掉落_design!E$2,1,1)&amp;";"&amp;OFFSET(掉落_design!$E25,0,掉落_design!E$2+1,1,1)&amp;";"&amp;OFFSET(掉落_design!$E25,0,掉落_design!E$2+2,1,1)&amp;";"&amp;OFFSET(掉落_design!$E25,0,掉落_design!E$2+3,1,1))</f>
        <v>1001;40;60;1000</v>
      </c>
      <c r="G25" s="16" t="str">
        <f ca="1">IF(OFFSET(掉落_design!$E25,0,掉落_design!F$2,1,1)="","",OFFSET(掉落_design!$E25,0,掉落_design!F$2,1,1)&amp;";"&amp;OFFSET(掉落_design!$E25,0,掉落_design!F$2+1,1,1)&amp;";"&amp;OFFSET(掉落_design!$E25,0,掉落_design!F$2+2,1,1)&amp;";"&amp;OFFSET(掉落_design!$E25,0,掉落_design!F$2+3,1,1))</f>
        <v>1204;1;1;1000</v>
      </c>
      <c r="H25" s="16" t="str">
        <f ca="1">IF(OFFSET(掉落_design!$E25,0,掉落_design!G$2,1,1)="","",OFFSET(掉落_design!$E25,0,掉落_design!G$2,1,1)&amp;";"&amp;OFFSET(掉落_design!$E25,0,掉落_design!G$2+1,1,1)&amp;";"&amp;OFFSET(掉落_design!$E25,0,掉落_design!G$2+2,1,1)&amp;";"&amp;OFFSET(掉落_design!$E25,0,掉落_design!G$2+3,1,1))</f>
        <v/>
      </c>
      <c r="I25" s="16" t="str">
        <f ca="1">IF(OFFSET(掉落_design!$E25,0,掉落_design!H$2,1,1)="","",OFFSET(掉落_design!$E25,0,掉落_design!H$2,1,1)&amp;";"&amp;OFFSET(掉落_design!$E25,0,掉落_design!H$2+1,1,1)&amp;";"&amp;OFFSET(掉落_design!$E25,0,掉落_design!H$2+2,1,1)&amp;";"&amp;OFFSET(掉落_design!$E25,0,掉落_design!H$2+3,1,1))</f>
        <v/>
      </c>
      <c r="J25" s="16" t="str">
        <f ca="1">IF(OFFSET(掉落_design!$E25,0,掉落_design!I$2,1,1)="","",OFFSET(掉落_design!$E25,0,掉落_design!I$2,1,1)&amp;";"&amp;OFFSET(掉落_design!$E25,0,掉落_design!I$2+1,1,1)&amp;";"&amp;OFFSET(掉落_design!$E25,0,掉落_design!I$2+2,1,1)&amp;";"&amp;OFFSET(掉落_design!$E25,0,掉落_design!I$2+3,1,1))</f>
        <v/>
      </c>
      <c r="K25" s="16" t="str">
        <f ca="1">IF(OFFSET(掉落_design!$E25,0,掉落_design!J$2,1,1)="","",OFFSET(掉落_design!$E25,0,掉落_design!J$2,1,1)&amp;";"&amp;OFFSET(掉落_design!$E25,0,掉落_design!J$2+1,1,1)&amp;";"&amp;OFFSET(掉落_design!$E25,0,掉落_design!J$2+2,1,1)&amp;";"&amp;OFFSET(掉落_design!$E25,0,掉落_design!J$2+3,1,1))</f>
        <v/>
      </c>
      <c r="L25" s="16" t="str">
        <f ca="1">IF(OFFSET(掉落_design!$E25,0,掉落_design!K$2,1,1)="","",OFFSET(掉落_design!$E25,0,掉落_design!K$2,1,1)&amp;";"&amp;OFFSET(掉落_design!$E25,0,掉落_design!K$2+1,1,1)&amp;";"&amp;OFFSET(掉落_design!$E25,0,掉落_design!K$2+2,1,1)&amp;";"&amp;OFFSET(掉落_design!$E25,0,掉落_design!K$2+3,1,1))</f>
        <v/>
      </c>
      <c r="M25" s="16" t="str">
        <f ca="1">IF(OFFSET(掉落_design!$E25,0,掉落_design!L$2,1,1)="","",OFFSET(掉落_design!$E25,0,掉落_design!L$2,1,1)&amp;";"&amp;OFFSET(掉落_design!$E25,0,掉落_design!L$2+1,1,1)&amp;";"&amp;OFFSET(掉落_design!$E25,0,掉落_design!L$2+2,1,1)&amp;";"&amp;OFFSET(掉落_design!$E25,0,掉落_design!L$2+3,1,1))</f>
        <v/>
      </c>
      <c r="N25" s="16" t="str">
        <f ca="1">IF(OFFSET(掉落_design!$E25,0,掉落_design!M$2,1,1)="","",OFFSET(掉落_design!$E25,0,掉落_design!M$2,1,1)&amp;";"&amp;OFFSET(掉落_design!$E25,0,掉落_design!M$2+1,1,1)&amp;";"&amp;OFFSET(掉落_design!$E25,0,掉落_design!M$2+2,1,1)&amp;";"&amp;OFFSET(掉落_design!$E25,0,掉落_design!M$2+3,1,1))</f>
        <v/>
      </c>
      <c r="O25" s="16" t="str">
        <f ca="1">IF(OFFSET(掉落_design!$E25,0,掉落_design!N$2,1,1)="","",OFFSET(掉落_design!$E25,0,掉落_design!N$2,1,1)&amp;";"&amp;OFFSET(掉落_design!$E25,0,掉落_design!N$2+1,1,1)&amp;";"&amp;OFFSET(掉落_design!$E25,0,掉落_design!N$2+2,1,1)&amp;";"&amp;OFFSET(掉落_design!$E25,0,掉落_design!N$2+3,1,1))</f>
        <v/>
      </c>
      <c r="P25" s="16" t="str">
        <f ca="1">IF(OFFSET(掉落_design!$E25,0,掉落_design!O$2,1,1)="","",OFFSET(掉落_design!$E25,0,掉落_design!O$2,1,1)&amp;";"&amp;OFFSET(掉落_design!$E25,0,掉落_design!O$2+1,1,1)&amp;";"&amp;OFFSET(掉落_design!$E25,0,掉落_design!O$2+2,1,1)&amp;";"&amp;OFFSET(掉落_design!$E25,0,掉落_design!O$2+3,1,1))</f>
        <v/>
      </c>
      <c r="Q25" s="16" t="str">
        <f ca="1">IF(OFFSET(掉落_design!$E25,0,掉落_design!P$2,1,1)="","",OFFSET(掉落_design!$E25,0,掉落_design!P$2,1,1)&amp;";"&amp;OFFSET(掉落_design!$E25,0,掉落_design!P$2+1,1,1)&amp;";"&amp;OFFSET(掉落_design!$E25,0,掉落_design!P$2+2,1,1)&amp;";"&amp;OFFSET(掉落_design!$E25,0,掉落_design!P$2+3,1,1))</f>
        <v/>
      </c>
      <c r="R25" s="16" t="str">
        <f ca="1">IF(OFFSET(掉落_design!$E25,0,掉落_design!Q$2,1,1)="","",OFFSET(掉落_design!$E25,0,掉落_design!Q$2,1,1)&amp;";"&amp;OFFSET(掉落_design!$E25,0,掉落_design!Q$2+1,1,1)&amp;";"&amp;OFFSET(掉落_design!$E25,0,掉落_design!Q$2+2,1,1)&amp;";"&amp;OFFSET(掉落_design!$E25,0,掉落_design!Q$2+3,1,1))</f>
        <v/>
      </c>
      <c r="S25" s="16" t="str">
        <f ca="1">IF(OFFSET(掉落_design!$E25,0,掉落_design!R$2,1,1)="","",OFFSET(掉落_design!$E25,0,掉落_design!R$2,1,1)&amp;";"&amp;OFFSET(掉落_design!$E25,0,掉落_design!R$2+1,1,1)&amp;";"&amp;OFFSET(掉落_design!$E25,0,掉落_design!R$2+2,1,1)&amp;";"&amp;OFFSET(掉落_design!$E25,0,掉落_design!R$2+3,1,1))</f>
        <v/>
      </c>
      <c r="T25" s="16" t="str">
        <f ca="1">IF(OFFSET(掉落_design!$E25,0,掉落_design!S$2,1,1)="","",OFFSET(掉落_design!$E25,0,掉落_design!S$2,1,1)&amp;";"&amp;OFFSET(掉落_design!$E25,0,掉落_design!S$2+1,1,1)&amp;";"&amp;OFFSET(掉落_design!$E25,0,掉落_design!S$2+2,1,1)&amp;";"&amp;OFFSET(掉落_design!$E25,0,掉落_design!S$2+3,1,1))</f>
        <v/>
      </c>
      <c r="U25" s="16" t="str">
        <f ca="1">IF(OFFSET(掉落_design!$E25,0,掉落_design!T$2,1,1)="","",OFFSET(掉落_design!$E25,0,掉落_design!T$2,1,1)&amp;";"&amp;OFFSET(掉落_design!$E25,0,掉落_design!T$2+1,1,1)&amp;";"&amp;OFFSET(掉落_design!$E25,0,掉落_design!T$2+2,1,1)&amp;";"&amp;OFFSET(掉落_design!$E25,0,掉落_design!T$2+3,1,1))</f>
        <v/>
      </c>
      <c r="V25" s="16" t="str">
        <f ca="1">IF(OFFSET(掉落_design!$E25,0,掉落_design!U$2,1,1)="","",OFFSET(掉落_design!$E25,0,掉落_design!U$2,1,1)&amp;";"&amp;OFFSET(掉落_design!$E25,0,掉落_design!U$2+1,1,1)&amp;";"&amp;OFFSET(掉落_design!$E25,0,掉落_design!U$2+2,1,1)&amp;";"&amp;OFFSET(掉落_design!$E25,0,掉落_design!U$2+3,1,1))</f>
        <v/>
      </c>
      <c r="W25" s="16" t="str">
        <f ca="1">IF(OFFSET(掉落_design!$E25,0,掉落_design!V$2,1,1)="","",OFFSET(掉落_design!$E25,0,掉落_design!V$2,1,1)&amp;";"&amp;OFFSET(掉落_design!$E25,0,掉落_design!V$2+1,1,1)&amp;";"&amp;OFFSET(掉落_design!$E25,0,掉落_design!V$2+2,1,1)&amp;";"&amp;OFFSET(掉落_design!$E25,0,掉落_design!V$2+3,1,1))</f>
        <v/>
      </c>
      <c r="X25" s="16" t="str">
        <f ca="1">IF(OFFSET(掉落_design!$E25,0,掉落_design!W$2,1,1)="","",OFFSET(掉落_design!$E25,0,掉落_design!W$2,1,1)&amp;";"&amp;OFFSET(掉落_design!$E25,0,掉落_design!W$2+1,1,1)&amp;";"&amp;OFFSET(掉落_design!$E25,0,掉落_design!W$2+2,1,1)&amp;";"&amp;OFFSET(掉落_design!$E25,0,掉落_design!W$2+3,1,1))</f>
        <v/>
      </c>
      <c r="Y25" s="16" t="str">
        <f ca="1">IF(OFFSET(掉落_design!$E25,0,掉落_design!X$2,1,1)="","",OFFSET(掉落_design!$E25,0,掉落_design!X$2,1,1)&amp;";"&amp;OFFSET(掉落_design!$E25,0,掉落_design!X$2+1,1,1)&amp;";"&amp;OFFSET(掉落_design!$E25,0,掉落_design!X$2+2,1,1)&amp;";"&amp;OFFSET(掉落_design!$E25,0,掉落_design!X$2+3,1,1))</f>
        <v/>
      </c>
    </row>
    <row r="26" spans="1:25" x14ac:dyDescent="0.15">
      <c r="A26" s="11" t="str">
        <f t="shared" si="0"/>
        <v>DATA</v>
      </c>
      <c r="B26" s="25"/>
      <c r="C26" s="25"/>
      <c r="D26" s="15">
        <f>IF(掉落_design!C26="","",掉落_design!C26)</f>
        <v>10301</v>
      </c>
      <c r="E26" s="15">
        <f>IF(A26="","",掉落_design!D26)</f>
        <v>2</v>
      </c>
      <c r="F26" s="16" t="str">
        <f ca="1">IF(OFFSET(掉落_design!$E26,0,掉落_design!E$2,1,1)="","",OFFSET(掉落_design!$E26,0,掉落_design!E$2,1,1)&amp;";"&amp;OFFSET(掉落_design!$E26,0,掉落_design!E$2+1,1,1)&amp;";"&amp;OFFSET(掉落_design!$E26,0,掉落_design!E$2+2,1,1)&amp;";"&amp;OFFSET(掉落_design!$E26,0,掉落_design!E$2+3,1,1))</f>
        <v>20111;1;1;1</v>
      </c>
      <c r="G26" s="16" t="str">
        <f ca="1">IF(OFFSET(掉落_design!$E26,0,掉落_design!F$2,1,1)="","",OFFSET(掉落_design!$E26,0,掉落_design!F$2,1,1)&amp;";"&amp;OFFSET(掉落_design!$E26,0,掉落_design!F$2+1,1,1)&amp;";"&amp;OFFSET(掉落_design!$E26,0,掉落_design!F$2+2,1,1)&amp;";"&amp;OFFSET(掉落_design!$E26,0,掉落_design!F$2+3,1,1))</f>
        <v>20211;1;1;1</v>
      </c>
      <c r="H26" s="16" t="str">
        <f ca="1">IF(OFFSET(掉落_design!$E26,0,掉落_design!G$2,1,1)="","",OFFSET(掉落_design!$E26,0,掉落_design!G$2,1,1)&amp;";"&amp;OFFSET(掉落_design!$E26,0,掉落_design!G$2+1,1,1)&amp;";"&amp;OFFSET(掉落_design!$E26,0,掉落_design!G$2+2,1,1)&amp;";"&amp;OFFSET(掉落_design!$E26,0,掉落_design!G$2+3,1,1))</f>
        <v>20211;1;1;1</v>
      </c>
      <c r="I26" s="16" t="str">
        <f ca="1">IF(OFFSET(掉落_design!$E26,0,掉落_design!H$2,1,1)="","",OFFSET(掉落_design!$E26,0,掉落_design!H$2,1,1)&amp;";"&amp;OFFSET(掉落_design!$E26,0,掉落_design!H$2+1,1,1)&amp;";"&amp;OFFSET(掉落_design!$E26,0,掉落_design!H$2+2,1,1)&amp;";"&amp;OFFSET(掉落_design!$E26,0,掉落_design!H$2+3,1,1))</f>
        <v>20213;1;1;1</v>
      </c>
      <c r="J26" s="16" t="str">
        <f ca="1">IF(OFFSET(掉落_design!$E26,0,掉落_design!I$2,1,1)="","",OFFSET(掉落_design!$E26,0,掉落_design!I$2,1,1)&amp;";"&amp;OFFSET(掉落_design!$E26,0,掉落_design!I$2+1,1,1)&amp;";"&amp;OFFSET(掉落_design!$E26,0,掉落_design!I$2+2,1,1)&amp;";"&amp;OFFSET(掉落_design!$E26,0,掉落_design!I$2+3,1,1))</f>
        <v>20213;1;1;1</v>
      </c>
      <c r="K26" s="16" t="str">
        <f ca="1">IF(OFFSET(掉落_design!$E26,0,掉落_design!J$2,1,1)="","",OFFSET(掉落_design!$E26,0,掉落_design!J$2,1,1)&amp;";"&amp;OFFSET(掉落_design!$E26,0,掉落_design!J$2+1,1,1)&amp;";"&amp;OFFSET(掉落_design!$E26,0,掉落_design!J$2+2,1,1)&amp;";"&amp;OFFSET(掉落_design!$E26,0,掉落_design!J$2+3,1,1))</f>
        <v>20111;1;1;1</v>
      </c>
      <c r="L26" s="16" t="str">
        <f ca="1">IF(OFFSET(掉落_design!$E26,0,掉落_design!K$2,1,1)="","",OFFSET(掉落_design!$E26,0,掉落_design!K$2,1,1)&amp;";"&amp;OFFSET(掉落_design!$E26,0,掉落_design!K$2+1,1,1)&amp;";"&amp;OFFSET(掉落_design!$E26,0,掉落_design!K$2+2,1,1)&amp;";"&amp;OFFSET(掉落_design!$E26,0,掉落_design!K$2+3,1,1))</f>
        <v>20112;1;1;1</v>
      </c>
      <c r="M26" s="16" t="str">
        <f ca="1">IF(OFFSET(掉落_design!$E26,0,掉落_design!L$2,1,1)="","",OFFSET(掉落_design!$E26,0,掉落_design!L$2,1,1)&amp;";"&amp;OFFSET(掉落_design!$E26,0,掉落_design!L$2+1,1,1)&amp;";"&amp;OFFSET(掉落_design!$E26,0,掉落_design!L$2+2,1,1)&amp;";"&amp;OFFSET(掉落_design!$E26,0,掉落_design!L$2+3,1,1))</f>
        <v>20212;1;1;1</v>
      </c>
      <c r="N26" s="16" t="str">
        <f ca="1">IF(OFFSET(掉落_design!$E26,0,掉落_design!M$2,1,1)="","",OFFSET(掉落_design!$E26,0,掉落_design!M$2,1,1)&amp;";"&amp;OFFSET(掉落_design!$E26,0,掉落_design!M$2+1,1,1)&amp;";"&amp;OFFSET(掉落_design!$E26,0,掉落_design!M$2+2,1,1)&amp;";"&amp;OFFSET(掉落_design!$E26,0,掉落_design!M$2+3,1,1))</f>
        <v>20211;1;1;1</v>
      </c>
      <c r="O26" s="16" t="str">
        <f ca="1">IF(OFFSET(掉落_design!$E26,0,掉落_design!N$2,1,1)="","",OFFSET(掉落_design!$E26,0,掉落_design!N$2,1,1)&amp;";"&amp;OFFSET(掉落_design!$E26,0,掉落_design!N$2+1,1,1)&amp;";"&amp;OFFSET(掉落_design!$E26,0,掉落_design!N$2+2,1,1)&amp;";"&amp;OFFSET(掉落_design!$E26,0,掉落_design!N$2+3,1,1))</f>
        <v>20212;1;1;1</v>
      </c>
      <c r="P26" s="16" t="str">
        <f ca="1">IF(OFFSET(掉落_design!$E26,0,掉落_design!O$2,1,1)="","",OFFSET(掉落_design!$E26,0,掉落_design!O$2,1,1)&amp;";"&amp;OFFSET(掉落_design!$E26,0,掉落_design!O$2+1,1,1)&amp;";"&amp;OFFSET(掉落_design!$E26,0,掉落_design!O$2+2,1,1)&amp;";"&amp;OFFSET(掉落_design!$E26,0,掉落_design!O$2+3,1,1))</f>
        <v>1001;150;200;10</v>
      </c>
      <c r="Q26" s="16" t="str">
        <f ca="1">IF(OFFSET(掉落_design!$E26,0,掉落_design!P$2,1,1)="","",OFFSET(掉落_design!$E26,0,掉落_design!P$2,1,1)&amp;";"&amp;OFFSET(掉落_design!$E26,0,掉落_design!P$2+1,1,1)&amp;";"&amp;OFFSET(掉落_design!$E26,0,掉落_design!P$2+2,1,1)&amp;";"&amp;OFFSET(掉落_design!$E26,0,掉落_design!P$2+3,1,1))</f>
        <v/>
      </c>
      <c r="R26" s="16" t="str">
        <f ca="1">IF(OFFSET(掉落_design!$E26,0,掉落_design!Q$2,1,1)="","",OFFSET(掉落_design!$E26,0,掉落_design!Q$2,1,1)&amp;";"&amp;OFFSET(掉落_design!$E26,0,掉落_design!Q$2+1,1,1)&amp;";"&amp;OFFSET(掉落_design!$E26,0,掉落_design!Q$2+2,1,1)&amp;";"&amp;OFFSET(掉落_design!$E26,0,掉落_design!Q$2+3,1,1))</f>
        <v/>
      </c>
      <c r="S26" s="16" t="str">
        <f ca="1">IF(OFFSET(掉落_design!$E26,0,掉落_design!R$2,1,1)="","",OFFSET(掉落_design!$E26,0,掉落_design!R$2,1,1)&amp;";"&amp;OFFSET(掉落_design!$E26,0,掉落_design!R$2+1,1,1)&amp;";"&amp;OFFSET(掉落_design!$E26,0,掉落_design!R$2+2,1,1)&amp;";"&amp;OFFSET(掉落_design!$E26,0,掉落_design!R$2+3,1,1))</f>
        <v/>
      </c>
      <c r="T26" s="16" t="str">
        <f ca="1">IF(OFFSET(掉落_design!$E26,0,掉落_design!S$2,1,1)="","",OFFSET(掉落_design!$E26,0,掉落_design!S$2,1,1)&amp;";"&amp;OFFSET(掉落_design!$E26,0,掉落_design!S$2+1,1,1)&amp;";"&amp;OFFSET(掉落_design!$E26,0,掉落_design!S$2+2,1,1)&amp;";"&amp;OFFSET(掉落_design!$E26,0,掉落_design!S$2+3,1,1))</f>
        <v/>
      </c>
      <c r="U26" s="16" t="str">
        <f ca="1">IF(OFFSET(掉落_design!$E26,0,掉落_design!T$2,1,1)="","",OFFSET(掉落_design!$E26,0,掉落_design!T$2,1,1)&amp;";"&amp;OFFSET(掉落_design!$E26,0,掉落_design!T$2+1,1,1)&amp;";"&amp;OFFSET(掉落_design!$E26,0,掉落_design!T$2+2,1,1)&amp;";"&amp;OFFSET(掉落_design!$E26,0,掉落_design!T$2+3,1,1))</f>
        <v/>
      </c>
      <c r="V26" s="16" t="str">
        <f ca="1">IF(OFFSET(掉落_design!$E26,0,掉落_design!U$2,1,1)="","",OFFSET(掉落_design!$E26,0,掉落_design!U$2,1,1)&amp;";"&amp;OFFSET(掉落_design!$E26,0,掉落_design!U$2+1,1,1)&amp;";"&amp;OFFSET(掉落_design!$E26,0,掉落_design!U$2+2,1,1)&amp;";"&amp;OFFSET(掉落_design!$E26,0,掉落_design!U$2+3,1,1))</f>
        <v/>
      </c>
      <c r="W26" s="16" t="str">
        <f ca="1">IF(OFFSET(掉落_design!$E26,0,掉落_design!V$2,1,1)="","",OFFSET(掉落_design!$E26,0,掉落_design!V$2,1,1)&amp;";"&amp;OFFSET(掉落_design!$E26,0,掉落_design!V$2+1,1,1)&amp;";"&amp;OFFSET(掉落_design!$E26,0,掉落_design!V$2+2,1,1)&amp;";"&amp;OFFSET(掉落_design!$E26,0,掉落_design!V$2+3,1,1))</f>
        <v/>
      </c>
      <c r="X26" s="16" t="str">
        <f ca="1">IF(OFFSET(掉落_design!$E26,0,掉落_design!W$2,1,1)="","",OFFSET(掉落_design!$E26,0,掉落_design!W$2,1,1)&amp;";"&amp;OFFSET(掉落_design!$E26,0,掉落_design!W$2+1,1,1)&amp;";"&amp;OFFSET(掉落_design!$E26,0,掉落_design!W$2+2,1,1)&amp;";"&amp;OFFSET(掉落_design!$E26,0,掉落_design!W$2+3,1,1))</f>
        <v/>
      </c>
      <c r="Y26" s="16" t="str">
        <f ca="1">IF(OFFSET(掉落_design!$E26,0,掉落_design!X$2,1,1)="","",OFFSET(掉落_design!$E26,0,掉落_design!X$2,1,1)&amp;";"&amp;OFFSET(掉落_design!$E26,0,掉落_design!X$2+1,1,1)&amp;";"&amp;OFFSET(掉落_design!$E26,0,掉落_design!X$2+2,1,1)&amp;";"&amp;OFFSET(掉落_design!$E26,0,掉落_design!X$2+3,1,1))</f>
        <v/>
      </c>
    </row>
    <row r="27" spans="1:25" x14ac:dyDescent="0.15">
      <c r="A27" s="11" t="str">
        <f t="shared" si="0"/>
        <v/>
      </c>
      <c r="B27" s="25"/>
      <c r="C27" s="25"/>
      <c r="D27" s="15" t="str">
        <f>IF(掉落_design!C27="","",掉落_design!C27)</f>
        <v/>
      </c>
      <c r="E27" s="15" t="str">
        <f>IF(A27="","",掉落_design!D27)</f>
        <v/>
      </c>
      <c r="F27" s="16" t="str">
        <f ca="1">IF(OFFSET(掉落_design!$E27,0,掉落_design!E$2,1,1)="","",OFFSET(掉落_design!$E27,0,掉落_design!E$2,1,1)&amp;";"&amp;OFFSET(掉落_design!$E27,0,掉落_design!E$2+1,1,1)&amp;";"&amp;OFFSET(掉落_design!$E27,0,掉落_design!E$2+2,1,1)&amp;";"&amp;OFFSET(掉落_design!$E27,0,掉落_design!E$2+3,1,1))</f>
        <v/>
      </c>
      <c r="G27" s="16" t="str">
        <f ca="1">IF(OFFSET(掉落_design!$E27,0,掉落_design!F$2,1,1)="","",OFFSET(掉落_design!$E27,0,掉落_design!F$2,1,1)&amp;";"&amp;OFFSET(掉落_design!$E27,0,掉落_design!F$2+1,1,1)&amp;";"&amp;OFFSET(掉落_design!$E27,0,掉落_design!F$2+2,1,1)&amp;";"&amp;OFFSET(掉落_design!$E27,0,掉落_design!F$2+3,1,1))</f>
        <v/>
      </c>
      <c r="H27" s="16" t="str">
        <f ca="1">IF(OFFSET(掉落_design!$E27,0,掉落_design!G$2,1,1)="","",OFFSET(掉落_design!$E27,0,掉落_design!G$2,1,1)&amp;";"&amp;OFFSET(掉落_design!$E27,0,掉落_design!G$2+1,1,1)&amp;";"&amp;OFFSET(掉落_design!$E27,0,掉落_design!G$2+2,1,1)&amp;";"&amp;OFFSET(掉落_design!$E27,0,掉落_design!G$2+3,1,1))</f>
        <v/>
      </c>
      <c r="I27" s="16" t="str">
        <f ca="1">IF(OFFSET(掉落_design!$E27,0,掉落_design!H$2,1,1)="","",OFFSET(掉落_design!$E27,0,掉落_design!H$2,1,1)&amp;";"&amp;OFFSET(掉落_design!$E27,0,掉落_design!H$2+1,1,1)&amp;";"&amp;OFFSET(掉落_design!$E27,0,掉落_design!H$2+2,1,1)&amp;";"&amp;OFFSET(掉落_design!$E27,0,掉落_design!H$2+3,1,1))</f>
        <v/>
      </c>
      <c r="J27" s="16" t="str">
        <f ca="1">IF(OFFSET(掉落_design!$E27,0,掉落_design!I$2,1,1)="","",OFFSET(掉落_design!$E27,0,掉落_design!I$2,1,1)&amp;";"&amp;OFFSET(掉落_design!$E27,0,掉落_design!I$2+1,1,1)&amp;";"&amp;OFFSET(掉落_design!$E27,0,掉落_design!I$2+2,1,1)&amp;";"&amp;OFFSET(掉落_design!$E27,0,掉落_design!I$2+3,1,1))</f>
        <v/>
      </c>
      <c r="K27" s="16" t="str">
        <f ca="1">IF(OFFSET(掉落_design!$E27,0,掉落_design!J$2,1,1)="","",OFFSET(掉落_design!$E27,0,掉落_design!J$2,1,1)&amp;";"&amp;OFFSET(掉落_design!$E27,0,掉落_design!J$2+1,1,1)&amp;";"&amp;OFFSET(掉落_design!$E27,0,掉落_design!J$2+2,1,1)&amp;";"&amp;OFFSET(掉落_design!$E27,0,掉落_design!J$2+3,1,1))</f>
        <v/>
      </c>
      <c r="L27" s="16" t="str">
        <f ca="1">IF(OFFSET(掉落_design!$E27,0,掉落_design!K$2,1,1)="","",OFFSET(掉落_design!$E27,0,掉落_design!K$2,1,1)&amp;";"&amp;OFFSET(掉落_design!$E27,0,掉落_design!K$2+1,1,1)&amp;";"&amp;OFFSET(掉落_design!$E27,0,掉落_design!K$2+2,1,1)&amp;";"&amp;OFFSET(掉落_design!$E27,0,掉落_design!K$2+3,1,1))</f>
        <v/>
      </c>
      <c r="M27" s="16" t="str">
        <f ca="1">IF(OFFSET(掉落_design!$E27,0,掉落_design!L$2,1,1)="","",OFFSET(掉落_design!$E27,0,掉落_design!L$2,1,1)&amp;";"&amp;OFFSET(掉落_design!$E27,0,掉落_design!L$2+1,1,1)&amp;";"&amp;OFFSET(掉落_design!$E27,0,掉落_design!L$2+2,1,1)&amp;";"&amp;OFFSET(掉落_design!$E27,0,掉落_design!L$2+3,1,1))</f>
        <v/>
      </c>
      <c r="N27" s="16" t="str">
        <f ca="1">IF(OFFSET(掉落_design!$E27,0,掉落_design!M$2,1,1)="","",OFFSET(掉落_design!$E27,0,掉落_design!M$2,1,1)&amp;";"&amp;OFFSET(掉落_design!$E27,0,掉落_design!M$2+1,1,1)&amp;";"&amp;OFFSET(掉落_design!$E27,0,掉落_design!M$2+2,1,1)&amp;";"&amp;OFFSET(掉落_design!$E27,0,掉落_design!M$2+3,1,1))</f>
        <v/>
      </c>
      <c r="O27" s="16" t="str">
        <f ca="1">IF(OFFSET(掉落_design!$E27,0,掉落_design!N$2,1,1)="","",OFFSET(掉落_design!$E27,0,掉落_design!N$2,1,1)&amp;";"&amp;OFFSET(掉落_design!$E27,0,掉落_design!N$2+1,1,1)&amp;";"&amp;OFFSET(掉落_design!$E27,0,掉落_design!N$2+2,1,1)&amp;";"&amp;OFFSET(掉落_design!$E27,0,掉落_design!N$2+3,1,1))</f>
        <v/>
      </c>
      <c r="P27" s="16" t="str">
        <f ca="1">IF(OFFSET(掉落_design!$E27,0,掉落_design!O$2,1,1)="","",OFFSET(掉落_design!$E27,0,掉落_design!O$2,1,1)&amp;";"&amp;OFFSET(掉落_design!$E27,0,掉落_design!O$2+1,1,1)&amp;";"&amp;OFFSET(掉落_design!$E27,0,掉落_design!O$2+2,1,1)&amp;";"&amp;OFFSET(掉落_design!$E27,0,掉落_design!O$2+3,1,1))</f>
        <v/>
      </c>
      <c r="Q27" s="16" t="str">
        <f ca="1">IF(OFFSET(掉落_design!$E27,0,掉落_design!P$2,1,1)="","",OFFSET(掉落_design!$E27,0,掉落_design!P$2,1,1)&amp;";"&amp;OFFSET(掉落_design!$E27,0,掉落_design!P$2+1,1,1)&amp;";"&amp;OFFSET(掉落_design!$E27,0,掉落_design!P$2+2,1,1)&amp;";"&amp;OFFSET(掉落_design!$E27,0,掉落_design!P$2+3,1,1))</f>
        <v/>
      </c>
      <c r="R27" s="16" t="str">
        <f ca="1">IF(OFFSET(掉落_design!$E27,0,掉落_design!Q$2,1,1)="","",OFFSET(掉落_design!$E27,0,掉落_design!Q$2,1,1)&amp;";"&amp;OFFSET(掉落_design!$E27,0,掉落_design!Q$2+1,1,1)&amp;";"&amp;OFFSET(掉落_design!$E27,0,掉落_design!Q$2+2,1,1)&amp;";"&amp;OFFSET(掉落_design!$E27,0,掉落_design!Q$2+3,1,1))</f>
        <v/>
      </c>
      <c r="S27" s="16" t="str">
        <f ca="1">IF(OFFSET(掉落_design!$E27,0,掉落_design!R$2,1,1)="","",OFFSET(掉落_design!$E27,0,掉落_design!R$2,1,1)&amp;";"&amp;OFFSET(掉落_design!$E27,0,掉落_design!R$2+1,1,1)&amp;";"&amp;OFFSET(掉落_design!$E27,0,掉落_design!R$2+2,1,1)&amp;";"&amp;OFFSET(掉落_design!$E27,0,掉落_design!R$2+3,1,1))</f>
        <v/>
      </c>
      <c r="T27" s="16" t="str">
        <f ca="1">IF(OFFSET(掉落_design!$E27,0,掉落_design!S$2,1,1)="","",OFFSET(掉落_design!$E27,0,掉落_design!S$2,1,1)&amp;";"&amp;OFFSET(掉落_design!$E27,0,掉落_design!S$2+1,1,1)&amp;";"&amp;OFFSET(掉落_design!$E27,0,掉落_design!S$2+2,1,1)&amp;";"&amp;OFFSET(掉落_design!$E27,0,掉落_design!S$2+3,1,1))</f>
        <v/>
      </c>
      <c r="U27" s="16" t="str">
        <f ca="1">IF(OFFSET(掉落_design!$E27,0,掉落_design!T$2,1,1)="","",OFFSET(掉落_design!$E27,0,掉落_design!T$2,1,1)&amp;";"&amp;OFFSET(掉落_design!$E27,0,掉落_design!T$2+1,1,1)&amp;";"&amp;OFFSET(掉落_design!$E27,0,掉落_design!T$2+2,1,1)&amp;";"&amp;OFFSET(掉落_design!$E27,0,掉落_design!T$2+3,1,1))</f>
        <v/>
      </c>
      <c r="V27" s="16" t="str">
        <f ca="1">IF(OFFSET(掉落_design!$E27,0,掉落_design!U$2,1,1)="","",OFFSET(掉落_design!$E27,0,掉落_design!U$2,1,1)&amp;";"&amp;OFFSET(掉落_design!$E27,0,掉落_design!U$2+1,1,1)&amp;";"&amp;OFFSET(掉落_design!$E27,0,掉落_design!U$2+2,1,1)&amp;";"&amp;OFFSET(掉落_design!$E27,0,掉落_design!U$2+3,1,1))</f>
        <v/>
      </c>
      <c r="W27" s="16" t="str">
        <f ca="1">IF(OFFSET(掉落_design!$E27,0,掉落_design!V$2,1,1)="","",OFFSET(掉落_design!$E27,0,掉落_design!V$2,1,1)&amp;";"&amp;OFFSET(掉落_design!$E27,0,掉落_design!V$2+1,1,1)&amp;";"&amp;OFFSET(掉落_design!$E27,0,掉落_design!V$2+2,1,1)&amp;";"&amp;OFFSET(掉落_design!$E27,0,掉落_design!V$2+3,1,1))</f>
        <v/>
      </c>
      <c r="X27" s="16" t="str">
        <f ca="1">IF(OFFSET(掉落_design!$E27,0,掉落_design!W$2,1,1)="","",OFFSET(掉落_design!$E27,0,掉落_design!W$2,1,1)&amp;";"&amp;OFFSET(掉落_design!$E27,0,掉落_design!W$2+1,1,1)&amp;";"&amp;OFFSET(掉落_design!$E27,0,掉落_design!W$2+2,1,1)&amp;";"&amp;OFFSET(掉落_design!$E27,0,掉落_design!W$2+3,1,1))</f>
        <v/>
      </c>
      <c r="Y27" s="16" t="str">
        <f ca="1">IF(OFFSET(掉落_design!$E27,0,掉落_design!X$2,1,1)="","",OFFSET(掉落_design!$E27,0,掉落_design!X$2,1,1)&amp;";"&amp;OFFSET(掉落_design!$E27,0,掉落_design!X$2+1,1,1)&amp;";"&amp;OFFSET(掉落_design!$E27,0,掉落_design!X$2+2,1,1)&amp;";"&amp;OFFSET(掉落_design!$E27,0,掉落_design!X$2+3,1,1))</f>
        <v/>
      </c>
    </row>
    <row r="28" spans="1:25" x14ac:dyDescent="0.15">
      <c r="A28" s="11" t="str">
        <f t="shared" si="0"/>
        <v>DATA</v>
      </c>
      <c r="B28" s="25"/>
      <c r="C28" s="25"/>
      <c r="D28" s="15">
        <f>IF(掉落_design!C28="","",掉落_design!C28)</f>
        <v>10400</v>
      </c>
      <c r="E28" s="15">
        <f>IF(A28="","",掉落_design!D28)</f>
        <v>1</v>
      </c>
      <c r="F28" s="16" t="str">
        <f ca="1">IF(OFFSET(掉落_design!$E28,0,掉落_design!E$2,1,1)="","",OFFSET(掉落_design!$E28,0,掉落_design!E$2,1,1)&amp;";"&amp;OFFSET(掉落_design!$E28,0,掉落_design!E$2+1,1,1)&amp;";"&amp;OFFSET(掉落_design!$E28,0,掉落_design!E$2+2,1,1)&amp;";"&amp;OFFSET(掉落_design!$E28,0,掉落_design!E$2+3,1,1))</f>
        <v>1001;60;80;1000</v>
      </c>
      <c r="G28" s="16" t="str">
        <f ca="1">IF(OFFSET(掉落_design!$E28,0,掉落_design!F$2,1,1)="","",OFFSET(掉落_design!$E28,0,掉落_design!F$2,1,1)&amp;";"&amp;OFFSET(掉落_design!$E28,0,掉落_design!F$2+1,1,1)&amp;";"&amp;OFFSET(掉落_design!$E28,0,掉落_design!F$2+2,1,1)&amp;";"&amp;OFFSET(掉落_design!$E28,0,掉落_design!F$2+3,1,1))</f>
        <v>1204;1;1;1000</v>
      </c>
      <c r="H28" s="16" t="str">
        <f ca="1">IF(OFFSET(掉落_design!$E28,0,掉落_design!G$2,1,1)="","",OFFSET(掉落_design!$E28,0,掉落_design!G$2,1,1)&amp;";"&amp;OFFSET(掉落_design!$E28,0,掉落_design!G$2+1,1,1)&amp;";"&amp;OFFSET(掉落_design!$E28,0,掉落_design!G$2+2,1,1)&amp;";"&amp;OFFSET(掉落_design!$E28,0,掉落_design!G$2+3,1,1))</f>
        <v/>
      </c>
      <c r="I28" s="16" t="str">
        <f ca="1">IF(OFFSET(掉落_design!$E28,0,掉落_design!H$2,1,1)="","",OFFSET(掉落_design!$E28,0,掉落_design!H$2,1,1)&amp;";"&amp;OFFSET(掉落_design!$E28,0,掉落_design!H$2+1,1,1)&amp;";"&amp;OFFSET(掉落_design!$E28,0,掉落_design!H$2+2,1,1)&amp;";"&amp;OFFSET(掉落_design!$E28,0,掉落_design!H$2+3,1,1))</f>
        <v/>
      </c>
      <c r="J28" s="16" t="str">
        <f ca="1">IF(OFFSET(掉落_design!$E28,0,掉落_design!I$2,1,1)="","",OFFSET(掉落_design!$E28,0,掉落_design!I$2,1,1)&amp;";"&amp;OFFSET(掉落_design!$E28,0,掉落_design!I$2+1,1,1)&amp;";"&amp;OFFSET(掉落_design!$E28,0,掉落_design!I$2+2,1,1)&amp;";"&amp;OFFSET(掉落_design!$E28,0,掉落_design!I$2+3,1,1))</f>
        <v/>
      </c>
      <c r="K28" s="16" t="str">
        <f ca="1">IF(OFFSET(掉落_design!$E28,0,掉落_design!J$2,1,1)="","",OFFSET(掉落_design!$E28,0,掉落_design!J$2,1,1)&amp;";"&amp;OFFSET(掉落_design!$E28,0,掉落_design!J$2+1,1,1)&amp;";"&amp;OFFSET(掉落_design!$E28,0,掉落_design!J$2+2,1,1)&amp;";"&amp;OFFSET(掉落_design!$E28,0,掉落_design!J$2+3,1,1))</f>
        <v/>
      </c>
      <c r="L28" s="16" t="str">
        <f ca="1">IF(OFFSET(掉落_design!$E28,0,掉落_design!K$2,1,1)="","",OFFSET(掉落_design!$E28,0,掉落_design!K$2,1,1)&amp;";"&amp;OFFSET(掉落_design!$E28,0,掉落_design!K$2+1,1,1)&amp;";"&amp;OFFSET(掉落_design!$E28,0,掉落_design!K$2+2,1,1)&amp;";"&amp;OFFSET(掉落_design!$E28,0,掉落_design!K$2+3,1,1))</f>
        <v/>
      </c>
      <c r="M28" s="16" t="str">
        <f ca="1">IF(OFFSET(掉落_design!$E28,0,掉落_design!L$2,1,1)="","",OFFSET(掉落_design!$E28,0,掉落_design!L$2,1,1)&amp;";"&amp;OFFSET(掉落_design!$E28,0,掉落_design!L$2+1,1,1)&amp;";"&amp;OFFSET(掉落_design!$E28,0,掉落_design!L$2+2,1,1)&amp;";"&amp;OFFSET(掉落_design!$E28,0,掉落_design!L$2+3,1,1))</f>
        <v/>
      </c>
      <c r="N28" s="16" t="str">
        <f ca="1">IF(OFFSET(掉落_design!$E28,0,掉落_design!M$2,1,1)="","",OFFSET(掉落_design!$E28,0,掉落_design!M$2,1,1)&amp;";"&amp;OFFSET(掉落_design!$E28,0,掉落_design!M$2+1,1,1)&amp;";"&amp;OFFSET(掉落_design!$E28,0,掉落_design!M$2+2,1,1)&amp;";"&amp;OFFSET(掉落_design!$E28,0,掉落_design!M$2+3,1,1))</f>
        <v/>
      </c>
      <c r="O28" s="16" t="str">
        <f ca="1">IF(OFFSET(掉落_design!$E28,0,掉落_design!N$2,1,1)="","",OFFSET(掉落_design!$E28,0,掉落_design!N$2,1,1)&amp;";"&amp;OFFSET(掉落_design!$E28,0,掉落_design!N$2+1,1,1)&amp;";"&amp;OFFSET(掉落_design!$E28,0,掉落_design!N$2+2,1,1)&amp;";"&amp;OFFSET(掉落_design!$E28,0,掉落_design!N$2+3,1,1))</f>
        <v/>
      </c>
      <c r="P28" s="16" t="str">
        <f ca="1">IF(OFFSET(掉落_design!$E28,0,掉落_design!O$2,1,1)="","",OFFSET(掉落_design!$E28,0,掉落_design!O$2,1,1)&amp;";"&amp;OFFSET(掉落_design!$E28,0,掉落_design!O$2+1,1,1)&amp;";"&amp;OFFSET(掉落_design!$E28,0,掉落_design!O$2+2,1,1)&amp;";"&amp;OFFSET(掉落_design!$E28,0,掉落_design!O$2+3,1,1))</f>
        <v/>
      </c>
      <c r="Q28" s="16" t="str">
        <f ca="1">IF(OFFSET(掉落_design!$E28,0,掉落_design!P$2,1,1)="","",OFFSET(掉落_design!$E28,0,掉落_design!P$2,1,1)&amp;";"&amp;OFFSET(掉落_design!$E28,0,掉落_design!P$2+1,1,1)&amp;";"&amp;OFFSET(掉落_design!$E28,0,掉落_design!P$2+2,1,1)&amp;";"&amp;OFFSET(掉落_design!$E28,0,掉落_design!P$2+3,1,1))</f>
        <v/>
      </c>
      <c r="R28" s="16" t="str">
        <f ca="1">IF(OFFSET(掉落_design!$E28,0,掉落_design!Q$2,1,1)="","",OFFSET(掉落_design!$E28,0,掉落_design!Q$2,1,1)&amp;";"&amp;OFFSET(掉落_design!$E28,0,掉落_design!Q$2+1,1,1)&amp;";"&amp;OFFSET(掉落_design!$E28,0,掉落_design!Q$2+2,1,1)&amp;";"&amp;OFFSET(掉落_design!$E28,0,掉落_design!Q$2+3,1,1))</f>
        <v/>
      </c>
      <c r="S28" s="16" t="str">
        <f ca="1">IF(OFFSET(掉落_design!$E28,0,掉落_design!R$2,1,1)="","",OFFSET(掉落_design!$E28,0,掉落_design!R$2,1,1)&amp;";"&amp;OFFSET(掉落_design!$E28,0,掉落_design!R$2+1,1,1)&amp;";"&amp;OFFSET(掉落_design!$E28,0,掉落_design!R$2+2,1,1)&amp;";"&amp;OFFSET(掉落_design!$E28,0,掉落_design!R$2+3,1,1))</f>
        <v/>
      </c>
      <c r="T28" s="16" t="str">
        <f ca="1">IF(OFFSET(掉落_design!$E28,0,掉落_design!S$2,1,1)="","",OFFSET(掉落_design!$E28,0,掉落_design!S$2,1,1)&amp;";"&amp;OFFSET(掉落_design!$E28,0,掉落_design!S$2+1,1,1)&amp;";"&amp;OFFSET(掉落_design!$E28,0,掉落_design!S$2+2,1,1)&amp;";"&amp;OFFSET(掉落_design!$E28,0,掉落_design!S$2+3,1,1))</f>
        <v/>
      </c>
      <c r="U28" s="16" t="str">
        <f ca="1">IF(OFFSET(掉落_design!$E28,0,掉落_design!T$2,1,1)="","",OFFSET(掉落_design!$E28,0,掉落_design!T$2,1,1)&amp;";"&amp;OFFSET(掉落_design!$E28,0,掉落_design!T$2+1,1,1)&amp;";"&amp;OFFSET(掉落_design!$E28,0,掉落_design!T$2+2,1,1)&amp;";"&amp;OFFSET(掉落_design!$E28,0,掉落_design!T$2+3,1,1))</f>
        <v/>
      </c>
      <c r="V28" s="16" t="str">
        <f ca="1">IF(OFFSET(掉落_design!$E28,0,掉落_design!U$2,1,1)="","",OFFSET(掉落_design!$E28,0,掉落_design!U$2,1,1)&amp;";"&amp;OFFSET(掉落_design!$E28,0,掉落_design!U$2+1,1,1)&amp;";"&amp;OFFSET(掉落_design!$E28,0,掉落_design!U$2+2,1,1)&amp;";"&amp;OFFSET(掉落_design!$E28,0,掉落_design!U$2+3,1,1))</f>
        <v/>
      </c>
      <c r="W28" s="16" t="str">
        <f ca="1">IF(OFFSET(掉落_design!$E28,0,掉落_design!V$2,1,1)="","",OFFSET(掉落_design!$E28,0,掉落_design!V$2,1,1)&amp;";"&amp;OFFSET(掉落_design!$E28,0,掉落_design!V$2+1,1,1)&amp;";"&amp;OFFSET(掉落_design!$E28,0,掉落_design!V$2+2,1,1)&amp;";"&amp;OFFSET(掉落_design!$E28,0,掉落_design!V$2+3,1,1))</f>
        <v/>
      </c>
      <c r="X28" s="16" t="str">
        <f ca="1">IF(OFFSET(掉落_design!$E28,0,掉落_design!W$2,1,1)="","",OFFSET(掉落_design!$E28,0,掉落_design!W$2,1,1)&amp;";"&amp;OFFSET(掉落_design!$E28,0,掉落_design!W$2+1,1,1)&amp;";"&amp;OFFSET(掉落_design!$E28,0,掉落_design!W$2+2,1,1)&amp;";"&amp;OFFSET(掉落_design!$E28,0,掉落_design!W$2+3,1,1))</f>
        <v/>
      </c>
      <c r="Y28" s="16" t="str">
        <f ca="1">IF(OFFSET(掉落_design!$E28,0,掉落_design!X$2,1,1)="","",OFFSET(掉落_design!$E28,0,掉落_design!X$2,1,1)&amp;";"&amp;OFFSET(掉落_design!$E28,0,掉落_design!X$2+1,1,1)&amp;";"&amp;OFFSET(掉落_design!$E28,0,掉落_design!X$2+2,1,1)&amp;";"&amp;OFFSET(掉落_design!$E28,0,掉落_design!X$2+3,1,1))</f>
        <v/>
      </c>
    </row>
    <row r="29" spans="1:25" x14ac:dyDescent="0.15">
      <c r="A29" s="11" t="str">
        <f t="shared" si="0"/>
        <v>DATA</v>
      </c>
      <c r="B29" s="25"/>
      <c r="C29" s="25"/>
      <c r="D29" s="15">
        <f>IF(掉落_design!C29="","",掉落_design!C29)</f>
        <v>10401</v>
      </c>
      <c r="E29" s="15">
        <f>IF(A29="","",掉落_design!D29)</f>
        <v>2</v>
      </c>
      <c r="F29" s="16" t="str">
        <f ca="1">IF(OFFSET(掉落_design!$E29,0,掉落_design!E$2,1,1)="","",OFFSET(掉落_design!$E29,0,掉落_design!E$2,1,1)&amp;";"&amp;OFFSET(掉落_design!$E29,0,掉落_design!E$2+1,1,1)&amp;";"&amp;OFFSET(掉落_design!$E29,0,掉落_design!E$2+2,1,1)&amp;";"&amp;OFFSET(掉落_design!$E29,0,掉落_design!E$2+3,1,1))</f>
        <v>20216;1;1;1</v>
      </c>
      <c r="G29" s="16" t="str">
        <f ca="1">IF(OFFSET(掉落_design!$E29,0,掉落_design!F$2,1,1)="","",OFFSET(掉落_design!$E29,0,掉落_design!F$2,1,1)&amp;";"&amp;OFFSET(掉落_design!$E29,0,掉落_design!F$2+1,1,1)&amp;";"&amp;OFFSET(掉落_design!$E29,0,掉落_design!F$2+2,1,1)&amp;";"&amp;OFFSET(掉落_design!$E29,0,掉落_design!F$2+3,1,1))</f>
        <v>20215;1;1;1</v>
      </c>
      <c r="H29" s="16" t="str">
        <f ca="1">IF(OFFSET(掉落_design!$E29,0,掉落_design!G$2,1,1)="","",OFFSET(掉落_design!$E29,0,掉落_design!G$2,1,1)&amp;";"&amp;OFFSET(掉落_design!$E29,0,掉落_design!G$2+1,1,1)&amp;";"&amp;OFFSET(掉落_design!$E29,0,掉落_design!G$2+2,1,1)&amp;";"&amp;OFFSET(掉落_design!$E29,0,掉落_design!G$2+3,1,1))</f>
        <v>20214;1;1;1</v>
      </c>
      <c r="I29" s="16" t="str">
        <f ca="1">IF(OFFSET(掉落_design!$E29,0,掉落_design!H$2,1,1)="","",OFFSET(掉落_design!$E29,0,掉落_design!H$2,1,1)&amp;";"&amp;OFFSET(掉落_design!$E29,0,掉落_design!H$2+1,1,1)&amp;";"&amp;OFFSET(掉落_design!$E29,0,掉落_design!H$2+2,1,1)&amp;";"&amp;OFFSET(掉落_design!$E29,0,掉落_design!H$2+3,1,1))</f>
        <v>20214;1;1;1</v>
      </c>
      <c r="J29" s="16" t="str">
        <f ca="1">IF(OFFSET(掉落_design!$E29,0,掉落_design!I$2,1,1)="","",OFFSET(掉落_design!$E29,0,掉落_design!I$2,1,1)&amp;";"&amp;OFFSET(掉落_design!$E29,0,掉落_design!I$2+1,1,1)&amp;";"&amp;OFFSET(掉落_design!$E29,0,掉落_design!I$2+2,1,1)&amp;";"&amp;OFFSET(掉落_design!$E29,0,掉落_design!I$2+3,1,1))</f>
        <v>20115;1;1;1</v>
      </c>
      <c r="K29" s="16" t="str">
        <f ca="1">IF(OFFSET(掉落_design!$E29,0,掉落_design!J$2,1,1)="","",OFFSET(掉落_design!$E29,0,掉落_design!J$2,1,1)&amp;";"&amp;OFFSET(掉落_design!$E29,0,掉落_design!J$2+1,1,1)&amp;";"&amp;OFFSET(掉落_design!$E29,0,掉落_design!J$2+2,1,1)&amp;";"&amp;OFFSET(掉落_design!$E29,0,掉落_design!J$2+3,1,1))</f>
        <v>20213;1;1;1</v>
      </c>
      <c r="L29" s="16" t="str">
        <f ca="1">IF(OFFSET(掉落_design!$E29,0,掉落_design!K$2,1,1)="","",OFFSET(掉落_design!$E29,0,掉落_design!K$2,1,1)&amp;";"&amp;OFFSET(掉落_design!$E29,0,掉落_design!K$2+1,1,1)&amp;";"&amp;OFFSET(掉落_design!$E29,0,掉落_design!K$2+2,1,1)&amp;";"&amp;OFFSET(掉落_design!$E29,0,掉落_design!K$2+3,1,1))</f>
        <v>20116;1;1;1</v>
      </c>
      <c r="M29" s="16" t="str">
        <f ca="1">IF(OFFSET(掉落_design!$E29,0,掉落_design!L$2,1,1)="","",OFFSET(掉落_design!$E29,0,掉落_design!L$2,1,1)&amp;";"&amp;OFFSET(掉落_design!$E29,0,掉落_design!L$2+1,1,1)&amp;";"&amp;OFFSET(掉落_design!$E29,0,掉落_design!L$2+2,1,1)&amp;";"&amp;OFFSET(掉落_design!$E29,0,掉落_design!L$2+3,1,1))</f>
        <v>20213;1;1;1</v>
      </c>
      <c r="N29" s="16" t="str">
        <f ca="1">IF(OFFSET(掉落_design!$E29,0,掉落_design!M$2,1,1)="","",OFFSET(掉落_design!$E29,0,掉落_design!M$2,1,1)&amp;";"&amp;OFFSET(掉落_design!$E29,0,掉落_design!M$2+1,1,1)&amp;";"&amp;OFFSET(掉落_design!$E29,0,掉落_design!M$2+2,1,1)&amp;";"&amp;OFFSET(掉落_design!$E29,0,掉落_design!M$2+3,1,1))</f>
        <v>20116;1;1;1</v>
      </c>
      <c r="O29" s="16" t="str">
        <f ca="1">IF(OFFSET(掉落_design!$E29,0,掉落_design!N$2,1,1)="","",OFFSET(掉落_design!$E29,0,掉落_design!N$2,1,1)&amp;";"&amp;OFFSET(掉落_design!$E29,0,掉落_design!N$2+1,1,1)&amp;";"&amp;OFFSET(掉落_design!$E29,0,掉落_design!N$2+2,1,1)&amp;";"&amp;OFFSET(掉落_design!$E29,0,掉落_design!N$2+3,1,1))</f>
        <v>20116;1;1;1</v>
      </c>
      <c r="P29" s="16" t="str">
        <f ca="1">IF(OFFSET(掉落_design!$E29,0,掉落_design!O$2,1,1)="","",OFFSET(掉落_design!$E29,0,掉落_design!O$2,1,1)&amp;";"&amp;OFFSET(掉落_design!$E29,0,掉落_design!O$2+1,1,1)&amp;";"&amp;OFFSET(掉落_design!$E29,0,掉落_design!O$2+2,1,1)&amp;";"&amp;OFFSET(掉落_design!$E29,0,掉落_design!O$2+3,1,1))</f>
        <v>1001;200;250;10</v>
      </c>
      <c r="Q29" s="16" t="str">
        <f ca="1">IF(OFFSET(掉落_design!$E29,0,掉落_design!P$2,1,1)="","",OFFSET(掉落_design!$E29,0,掉落_design!P$2,1,1)&amp;";"&amp;OFFSET(掉落_design!$E29,0,掉落_design!P$2+1,1,1)&amp;";"&amp;OFFSET(掉落_design!$E29,0,掉落_design!P$2+2,1,1)&amp;";"&amp;OFFSET(掉落_design!$E29,0,掉落_design!P$2+3,1,1))</f>
        <v/>
      </c>
      <c r="R29" s="16" t="str">
        <f ca="1">IF(OFFSET(掉落_design!$E29,0,掉落_design!Q$2,1,1)="","",OFFSET(掉落_design!$E29,0,掉落_design!Q$2,1,1)&amp;";"&amp;OFFSET(掉落_design!$E29,0,掉落_design!Q$2+1,1,1)&amp;";"&amp;OFFSET(掉落_design!$E29,0,掉落_design!Q$2+2,1,1)&amp;";"&amp;OFFSET(掉落_design!$E29,0,掉落_design!Q$2+3,1,1))</f>
        <v/>
      </c>
      <c r="S29" s="16" t="str">
        <f ca="1">IF(OFFSET(掉落_design!$E29,0,掉落_design!R$2,1,1)="","",OFFSET(掉落_design!$E29,0,掉落_design!R$2,1,1)&amp;";"&amp;OFFSET(掉落_design!$E29,0,掉落_design!R$2+1,1,1)&amp;";"&amp;OFFSET(掉落_design!$E29,0,掉落_design!R$2+2,1,1)&amp;";"&amp;OFFSET(掉落_design!$E29,0,掉落_design!R$2+3,1,1))</f>
        <v/>
      </c>
      <c r="T29" s="16" t="str">
        <f ca="1">IF(OFFSET(掉落_design!$E29,0,掉落_design!S$2,1,1)="","",OFFSET(掉落_design!$E29,0,掉落_design!S$2,1,1)&amp;";"&amp;OFFSET(掉落_design!$E29,0,掉落_design!S$2+1,1,1)&amp;";"&amp;OFFSET(掉落_design!$E29,0,掉落_design!S$2+2,1,1)&amp;";"&amp;OFFSET(掉落_design!$E29,0,掉落_design!S$2+3,1,1))</f>
        <v/>
      </c>
      <c r="U29" s="16" t="str">
        <f ca="1">IF(OFFSET(掉落_design!$E29,0,掉落_design!T$2,1,1)="","",OFFSET(掉落_design!$E29,0,掉落_design!T$2,1,1)&amp;";"&amp;OFFSET(掉落_design!$E29,0,掉落_design!T$2+1,1,1)&amp;";"&amp;OFFSET(掉落_design!$E29,0,掉落_design!T$2+2,1,1)&amp;";"&amp;OFFSET(掉落_design!$E29,0,掉落_design!T$2+3,1,1))</f>
        <v/>
      </c>
      <c r="V29" s="16" t="str">
        <f ca="1">IF(OFFSET(掉落_design!$E29,0,掉落_design!U$2,1,1)="","",OFFSET(掉落_design!$E29,0,掉落_design!U$2,1,1)&amp;";"&amp;OFFSET(掉落_design!$E29,0,掉落_design!U$2+1,1,1)&amp;";"&amp;OFFSET(掉落_design!$E29,0,掉落_design!U$2+2,1,1)&amp;";"&amp;OFFSET(掉落_design!$E29,0,掉落_design!U$2+3,1,1))</f>
        <v/>
      </c>
      <c r="W29" s="16" t="str">
        <f ca="1">IF(OFFSET(掉落_design!$E29,0,掉落_design!V$2,1,1)="","",OFFSET(掉落_design!$E29,0,掉落_design!V$2,1,1)&amp;";"&amp;OFFSET(掉落_design!$E29,0,掉落_design!V$2+1,1,1)&amp;";"&amp;OFFSET(掉落_design!$E29,0,掉落_design!V$2+2,1,1)&amp;";"&amp;OFFSET(掉落_design!$E29,0,掉落_design!V$2+3,1,1))</f>
        <v/>
      </c>
      <c r="X29" s="16" t="str">
        <f ca="1">IF(OFFSET(掉落_design!$E29,0,掉落_design!W$2,1,1)="","",OFFSET(掉落_design!$E29,0,掉落_design!W$2,1,1)&amp;";"&amp;OFFSET(掉落_design!$E29,0,掉落_design!W$2+1,1,1)&amp;";"&amp;OFFSET(掉落_design!$E29,0,掉落_design!W$2+2,1,1)&amp;";"&amp;OFFSET(掉落_design!$E29,0,掉落_design!W$2+3,1,1))</f>
        <v/>
      </c>
      <c r="Y29" s="16" t="str">
        <f ca="1">IF(OFFSET(掉落_design!$E29,0,掉落_design!X$2,1,1)="","",OFFSET(掉落_design!$E29,0,掉落_design!X$2,1,1)&amp;";"&amp;OFFSET(掉落_design!$E29,0,掉落_design!X$2+1,1,1)&amp;";"&amp;OFFSET(掉落_design!$E29,0,掉落_design!X$2+2,1,1)&amp;";"&amp;OFFSET(掉落_design!$E29,0,掉落_design!X$2+3,1,1))</f>
        <v/>
      </c>
    </row>
    <row r="30" spans="1:25" x14ac:dyDescent="0.15">
      <c r="A30" s="11" t="str">
        <f t="shared" si="0"/>
        <v/>
      </c>
      <c r="B30" s="25"/>
      <c r="C30" s="25"/>
      <c r="D30" s="15" t="str">
        <f>IF(掉落_design!C30="","",掉落_design!C30)</f>
        <v/>
      </c>
      <c r="E30" s="15" t="str">
        <f>IF(A30="","",掉落_design!D30)</f>
        <v/>
      </c>
      <c r="F30" s="16" t="str">
        <f ca="1">IF(OFFSET(掉落_design!$E30,0,掉落_design!E$2,1,1)="","",OFFSET(掉落_design!$E30,0,掉落_design!E$2,1,1)&amp;";"&amp;OFFSET(掉落_design!$E30,0,掉落_design!E$2+1,1,1)&amp;";"&amp;OFFSET(掉落_design!$E30,0,掉落_design!E$2+2,1,1)&amp;";"&amp;OFFSET(掉落_design!$E30,0,掉落_design!E$2+3,1,1))</f>
        <v/>
      </c>
      <c r="G30" s="16" t="str">
        <f ca="1">IF(OFFSET(掉落_design!$E30,0,掉落_design!F$2,1,1)="","",OFFSET(掉落_design!$E30,0,掉落_design!F$2,1,1)&amp;";"&amp;OFFSET(掉落_design!$E30,0,掉落_design!F$2+1,1,1)&amp;";"&amp;OFFSET(掉落_design!$E30,0,掉落_design!F$2+2,1,1)&amp;";"&amp;OFFSET(掉落_design!$E30,0,掉落_design!F$2+3,1,1))</f>
        <v/>
      </c>
      <c r="H30" s="16" t="str">
        <f ca="1">IF(OFFSET(掉落_design!$E30,0,掉落_design!G$2,1,1)="","",OFFSET(掉落_design!$E30,0,掉落_design!G$2,1,1)&amp;";"&amp;OFFSET(掉落_design!$E30,0,掉落_design!G$2+1,1,1)&amp;";"&amp;OFFSET(掉落_design!$E30,0,掉落_design!G$2+2,1,1)&amp;";"&amp;OFFSET(掉落_design!$E30,0,掉落_design!G$2+3,1,1))</f>
        <v/>
      </c>
      <c r="I30" s="16" t="str">
        <f ca="1">IF(OFFSET(掉落_design!$E30,0,掉落_design!H$2,1,1)="","",OFFSET(掉落_design!$E30,0,掉落_design!H$2,1,1)&amp;";"&amp;OFFSET(掉落_design!$E30,0,掉落_design!H$2+1,1,1)&amp;";"&amp;OFFSET(掉落_design!$E30,0,掉落_design!H$2+2,1,1)&amp;";"&amp;OFFSET(掉落_design!$E30,0,掉落_design!H$2+3,1,1))</f>
        <v/>
      </c>
      <c r="J30" s="16" t="str">
        <f ca="1">IF(OFFSET(掉落_design!$E30,0,掉落_design!I$2,1,1)="","",OFFSET(掉落_design!$E30,0,掉落_design!I$2,1,1)&amp;";"&amp;OFFSET(掉落_design!$E30,0,掉落_design!I$2+1,1,1)&amp;";"&amp;OFFSET(掉落_design!$E30,0,掉落_design!I$2+2,1,1)&amp;";"&amp;OFFSET(掉落_design!$E30,0,掉落_design!I$2+3,1,1))</f>
        <v/>
      </c>
      <c r="K30" s="16" t="str">
        <f ca="1">IF(OFFSET(掉落_design!$E30,0,掉落_design!J$2,1,1)="","",OFFSET(掉落_design!$E30,0,掉落_design!J$2,1,1)&amp;";"&amp;OFFSET(掉落_design!$E30,0,掉落_design!J$2+1,1,1)&amp;";"&amp;OFFSET(掉落_design!$E30,0,掉落_design!J$2+2,1,1)&amp;";"&amp;OFFSET(掉落_design!$E30,0,掉落_design!J$2+3,1,1))</f>
        <v/>
      </c>
      <c r="L30" s="16" t="str">
        <f ca="1">IF(OFFSET(掉落_design!$E30,0,掉落_design!K$2,1,1)="","",OFFSET(掉落_design!$E30,0,掉落_design!K$2,1,1)&amp;";"&amp;OFFSET(掉落_design!$E30,0,掉落_design!K$2+1,1,1)&amp;";"&amp;OFFSET(掉落_design!$E30,0,掉落_design!K$2+2,1,1)&amp;";"&amp;OFFSET(掉落_design!$E30,0,掉落_design!K$2+3,1,1))</f>
        <v/>
      </c>
      <c r="M30" s="16" t="str">
        <f ca="1">IF(OFFSET(掉落_design!$E30,0,掉落_design!L$2,1,1)="","",OFFSET(掉落_design!$E30,0,掉落_design!L$2,1,1)&amp;";"&amp;OFFSET(掉落_design!$E30,0,掉落_design!L$2+1,1,1)&amp;";"&amp;OFFSET(掉落_design!$E30,0,掉落_design!L$2+2,1,1)&amp;";"&amp;OFFSET(掉落_design!$E30,0,掉落_design!L$2+3,1,1))</f>
        <v/>
      </c>
      <c r="N30" s="16" t="str">
        <f ca="1">IF(OFFSET(掉落_design!$E30,0,掉落_design!M$2,1,1)="","",OFFSET(掉落_design!$E30,0,掉落_design!M$2,1,1)&amp;";"&amp;OFFSET(掉落_design!$E30,0,掉落_design!M$2+1,1,1)&amp;";"&amp;OFFSET(掉落_design!$E30,0,掉落_design!M$2+2,1,1)&amp;";"&amp;OFFSET(掉落_design!$E30,0,掉落_design!M$2+3,1,1))</f>
        <v/>
      </c>
      <c r="O30" s="16" t="str">
        <f ca="1">IF(OFFSET(掉落_design!$E30,0,掉落_design!N$2,1,1)="","",OFFSET(掉落_design!$E30,0,掉落_design!N$2,1,1)&amp;";"&amp;OFFSET(掉落_design!$E30,0,掉落_design!N$2+1,1,1)&amp;";"&amp;OFFSET(掉落_design!$E30,0,掉落_design!N$2+2,1,1)&amp;";"&amp;OFFSET(掉落_design!$E30,0,掉落_design!N$2+3,1,1))</f>
        <v/>
      </c>
      <c r="P30" s="16" t="str">
        <f ca="1">IF(OFFSET(掉落_design!$E30,0,掉落_design!O$2,1,1)="","",OFFSET(掉落_design!$E30,0,掉落_design!O$2,1,1)&amp;";"&amp;OFFSET(掉落_design!$E30,0,掉落_design!O$2+1,1,1)&amp;";"&amp;OFFSET(掉落_design!$E30,0,掉落_design!O$2+2,1,1)&amp;";"&amp;OFFSET(掉落_design!$E30,0,掉落_design!O$2+3,1,1))</f>
        <v/>
      </c>
      <c r="Q30" s="16" t="str">
        <f ca="1">IF(OFFSET(掉落_design!$E30,0,掉落_design!P$2,1,1)="","",OFFSET(掉落_design!$E30,0,掉落_design!P$2,1,1)&amp;";"&amp;OFFSET(掉落_design!$E30,0,掉落_design!P$2+1,1,1)&amp;";"&amp;OFFSET(掉落_design!$E30,0,掉落_design!P$2+2,1,1)&amp;";"&amp;OFFSET(掉落_design!$E30,0,掉落_design!P$2+3,1,1))</f>
        <v/>
      </c>
      <c r="R30" s="16" t="str">
        <f ca="1">IF(OFFSET(掉落_design!$E30,0,掉落_design!Q$2,1,1)="","",OFFSET(掉落_design!$E30,0,掉落_design!Q$2,1,1)&amp;";"&amp;OFFSET(掉落_design!$E30,0,掉落_design!Q$2+1,1,1)&amp;";"&amp;OFFSET(掉落_design!$E30,0,掉落_design!Q$2+2,1,1)&amp;";"&amp;OFFSET(掉落_design!$E30,0,掉落_design!Q$2+3,1,1))</f>
        <v/>
      </c>
      <c r="S30" s="16" t="str">
        <f ca="1">IF(OFFSET(掉落_design!$E30,0,掉落_design!R$2,1,1)="","",OFFSET(掉落_design!$E30,0,掉落_design!R$2,1,1)&amp;";"&amp;OFFSET(掉落_design!$E30,0,掉落_design!R$2+1,1,1)&amp;";"&amp;OFFSET(掉落_design!$E30,0,掉落_design!R$2+2,1,1)&amp;";"&amp;OFFSET(掉落_design!$E30,0,掉落_design!R$2+3,1,1))</f>
        <v/>
      </c>
      <c r="T30" s="16" t="str">
        <f ca="1">IF(OFFSET(掉落_design!$E30,0,掉落_design!S$2,1,1)="","",OFFSET(掉落_design!$E30,0,掉落_design!S$2,1,1)&amp;";"&amp;OFFSET(掉落_design!$E30,0,掉落_design!S$2+1,1,1)&amp;";"&amp;OFFSET(掉落_design!$E30,0,掉落_design!S$2+2,1,1)&amp;";"&amp;OFFSET(掉落_design!$E30,0,掉落_design!S$2+3,1,1))</f>
        <v/>
      </c>
      <c r="U30" s="16" t="str">
        <f ca="1">IF(OFFSET(掉落_design!$E30,0,掉落_design!T$2,1,1)="","",OFFSET(掉落_design!$E30,0,掉落_design!T$2,1,1)&amp;";"&amp;OFFSET(掉落_design!$E30,0,掉落_design!T$2+1,1,1)&amp;";"&amp;OFFSET(掉落_design!$E30,0,掉落_design!T$2+2,1,1)&amp;";"&amp;OFFSET(掉落_design!$E30,0,掉落_design!T$2+3,1,1))</f>
        <v/>
      </c>
      <c r="V30" s="16" t="str">
        <f ca="1">IF(OFFSET(掉落_design!$E30,0,掉落_design!U$2,1,1)="","",OFFSET(掉落_design!$E30,0,掉落_design!U$2,1,1)&amp;";"&amp;OFFSET(掉落_design!$E30,0,掉落_design!U$2+1,1,1)&amp;";"&amp;OFFSET(掉落_design!$E30,0,掉落_design!U$2+2,1,1)&amp;";"&amp;OFFSET(掉落_design!$E30,0,掉落_design!U$2+3,1,1))</f>
        <v/>
      </c>
      <c r="W30" s="16" t="str">
        <f ca="1">IF(OFFSET(掉落_design!$E30,0,掉落_design!V$2,1,1)="","",OFFSET(掉落_design!$E30,0,掉落_design!V$2,1,1)&amp;";"&amp;OFFSET(掉落_design!$E30,0,掉落_design!V$2+1,1,1)&amp;";"&amp;OFFSET(掉落_design!$E30,0,掉落_design!V$2+2,1,1)&amp;";"&amp;OFFSET(掉落_design!$E30,0,掉落_design!V$2+3,1,1))</f>
        <v/>
      </c>
      <c r="X30" s="16" t="str">
        <f ca="1">IF(OFFSET(掉落_design!$E30,0,掉落_design!W$2,1,1)="","",OFFSET(掉落_design!$E30,0,掉落_design!W$2,1,1)&amp;";"&amp;OFFSET(掉落_design!$E30,0,掉落_design!W$2+1,1,1)&amp;";"&amp;OFFSET(掉落_design!$E30,0,掉落_design!W$2+2,1,1)&amp;";"&amp;OFFSET(掉落_design!$E30,0,掉落_design!W$2+3,1,1))</f>
        <v/>
      </c>
      <c r="Y30" s="16" t="str">
        <f ca="1">IF(OFFSET(掉落_design!$E30,0,掉落_design!X$2,1,1)="","",OFFSET(掉落_design!$E30,0,掉落_design!X$2,1,1)&amp;";"&amp;OFFSET(掉落_design!$E30,0,掉落_design!X$2+1,1,1)&amp;";"&amp;OFFSET(掉落_design!$E30,0,掉落_design!X$2+2,1,1)&amp;";"&amp;OFFSET(掉落_design!$E30,0,掉落_design!X$2+3,1,1))</f>
        <v/>
      </c>
    </row>
    <row r="31" spans="1:25" x14ac:dyDescent="0.15">
      <c r="A31" s="11" t="str">
        <f t="shared" si="0"/>
        <v>DATA</v>
      </c>
      <c r="B31" s="25"/>
      <c r="C31" s="25"/>
      <c r="D31" s="15">
        <f>IF(掉落_design!C31="","",掉落_design!C31)</f>
        <v>10500</v>
      </c>
      <c r="E31" s="15">
        <f>IF(A31="","",掉落_design!D31)</f>
        <v>1</v>
      </c>
      <c r="F31" s="16" t="str">
        <f ca="1">IF(OFFSET(掉落_design!$E31,0,掉落_design!E$2,1,1)="","",OFFSET(掉落_design!$E31,0,掉落_design!E$2,1,1)&amp;";"&amp;OFFSET(掉落_design!$E31,0,掉落_design!E$2+1,1,1)&amp;";"&amp;OFFSET(掉落_design!$E31,0,掉落_design!E$2+2,1,1)&amp;";"&amp;OFFSET(掉落_design!$E31,0,掉落_design!E$2+3,1,1))</f>
        <v>1001;80;100;1000</v>
      </c>
      <c r="G31" s="16" t="str">
        <f ca="1">IF(OFFSET(掉落_design!$E31,0,掉落_design!F$2,1,1)="","",OFFSET(掉落_design!$E31,0,掉落_design!F$2,1,1)&amp;";"&amp;OFFSET(掉落_design!$E31,0,掉落_design!F$2+1,1,1)&amp;";"&amp;OFFSET(掉落_design!$E31,0,掉落_design!F$2+2,1,1)&amp;";"&amp;OFFSET(掉落_design!$E31,0,掉落_design!F$2+3,1,1))</f>
        <v>1204;1;1;1000</v>
      </c>
      <c r="H31" s="16" t="str">
        <f ca="1">IF(OFFSET(掉落_design!$E31,0,掉落_design!G$2,1,1)="","",OFFSET(掉落_design!$E31,0,掉落_design!G$2,1,1)&amp;";"&amp;OFFSET(掉落_design!$E31,0,掉落_design!G$2+1,1,1)&amp;";"&amp;OFFSET(掉落_design!$E31,0,掉落_design!G$2+2,1,1)&amp;";"&amp;OFFSET(掉落_design!$E31,0,掉落_design!G$2+3,1,1))</f>
        <v/>
      </c>
      <c r="I31" s="16" t="str">
        <f ca="1">IF(OFFSET(掉落_design!$E31,0,掉落_design!H$2,1,1)="","",OFFSET(掉落_design!$E31,0,掉落_design!H$2,1,1)&amp;";"&amp;OFFSET(掉落_design!$E31,0,掉落_design!H$2+1,1,1)&amp;";"&amp;OFFSET(掉落_design!$E31,0,掉落_design!H$2+2,1,1)&amp;";"&amp;OFFSET(掉落_design!$E31,0,掉落_design!H$2+3,1,1))</f>
        <v/>
      </c>
      <c r="J31" s="16" t="str">
        <f ca="1">IF(OFFSET(掉落_design!$E31,0,掉落_design!I$2,1,1)="","",OFFSET(掉落_design!$E31,0,掉落_design!I$2,1,1)&amp;";"&amp;OFFSET(掉落_design!$E31,0,掉落_design!I$2+1,1,1)&amp;";"&amp;OFFSET(掉落_design!$E31,0,掉落_design!I$2+2,1,1)&amp;";"&amp;OFFSET(掉落_design!$E31,0,掉落_design!I$2+3,1,1))</f>
        <v/>
      </c>
      <c r="K31" s="16" t="str">
        <f ca="1">IF(OFFSET(掉落_design!$E31,0,掉落_design!J$2,1,1)="","",OFFSET(掉落_design!$E31,0,掉落_design!J$2,1,1)&amp;";"&amp;OFFSET(掉落_design!$E31,0,掉落_design!J$2+1,1,1)&amp;";"&amp;OFFSET(掉落_design!$E31,0,掉落_design!J$2+2,1,1)&amp;";"&amp;OFFSET(掉落_design!$E31,0,掉落_design!J$2+3,1,1))</f>
        <v/>
      </c>
      <c r="L31" s="16" t="str">
        <f ca="1">IF(OFFSET(掉落_design!$E31,0,掉落_design!K$2,1,1)="","",OFFSET(掉落_design!$E31,0,掉落_design!K$2,1,1)&amp;";"&amp;OFFSET(掉落_design!$E31,0,掉落_design!K$2+1,1,1)&amp;";"&amp;OFFSET(掉落_design!$E31,0,掉落_design!K$2+2,1,1)&amp;";"&amp;OFFSET(掉落_design!$E31,0,掉落_design!K$2+3,1,1))</f>
        <v/>
      </c>
      <c r="M31" s="16" t="str">
        <f ca="1">IF(OFFSET(掉落_design!$E31,0,掉落_design!L$2,1,1)="","",OFFSET(掉落_design!$E31,0,掉落_design!L$2,1,1)&amp;";"&amp;OFFSET(掉落_design!$E31,0,掉落_design!L$2+1,1,1)&amp;";"&amp;OFFSET(掉落_design!$E31,0,掉落_design!L$2+2,1,1)&amp;";"&amp;OFFSET(掉落_design!$E31,0,掉落_design!L$2+3,1,1))</f>
        <v/>
      </c>
      <c r="N31" s="16" t="str">
        <f ca="1">IF(OFFSET(掉落_design!$E31,0,掉落_design!M$2,1,1)="","",OFFSET(掉落_design!$E31,0,掉落_design!M$2,1,1)&amp;";"&amp;OFFSET(掉落_design!$E31,0,掉落_design!M$2+1,1,1)&amp;";"&amp;OFFSET(掉落_design!$E31,0,掉落_design!M$2+2,1,1)&amp;";"&amp;OFFSET(掉落_design!$E31,0,掉落_design!M$2+3,1,1))</f>
        <v/>
      </c>
      <c r="O31" s="16" t="str">
        <f ca="1">IF(OFFSET(掉落_design!$E31,0,掉落_design!N$2,1,1)="","",OFFSET(掉落_design!$E31,0,掉落_design!N$2,1,1)&amp;";"&amp;OFFSET(掉落_design!$E31,0,掉落_design!N$2+1,1,1)&amp;";"&amp;OFFSET(掉落_design!$E31,0,掉落_design!N$2+2,1,1)&amp;";"&amp;OFFSET(掉落_design!$E31,0,掉落_design!N$2+3,1,1))</f>
        <v/>
      </c>
      <c r="P31" s="16" t="str">
        <f ca="1">IF(OFFSET(掉落_design!$E31,0,掉落_design!O$2,1,1)="","",OFFSET(掉落_design!$E31,0,掉落_design!O$2,1,1)&amp;";"&amp;OFFSET(掉落_design!$E31,0,掉落_design!O$2+1,1,1)&amp;";"&amp;OFFSET(掉落_design!$E31,0,掉落_design!O$2+2,1,1)&amp;";"&amp;OFFSET(掉落_design!$E31,0,掉落_design!O$2+3,1,1))</f>
        <v/>
      </c>
      <c r="Q31" s="16" t="str">
        <f ca="1">IF(OFFSET(掉落_design!$E31,0,掉落_design!P$2,1,1)="","",OFFSET(掉落_design!$E31,0,掉落_design!P$2,1,1)&amp;";"&amp;OFFSET(掉落_design!$E31,0,掉落_design!P$2+1,1,1)&amp;";"&amp;OFFSET(掉落_design!$E31,0,掉落_design!P$2+2,1,1)&amp;";"&amp;OFFSET(掉落_design!$E31,0,掉落_design!P$2+3,1,1))</f>
        <v/>
      </c>
      <c r="R31" s="16" t="str">
        <f ca="1">IF(OFFSET(掉落_design!$E31,0,掉落_design!Q$2,1,1)="","",OFFSET(掉落_design!$E31,0,掉落_design!Q$2,1,1)&amp;";"&amp;OFFSET(掉落_design!$E31,0,掉落_design!Q$2+1,1,1)&amp;";"&amp;OFFSET(掉落_design!$E31,0,掉落_design!Q$2+2,1,1)&amp;";"&amp;OFFSET(掉落_design!$E31,0,掉落_design!Q$2+3,1,1))</f>
        <v/>
      </c>
      <c r="S31" s="16" t="str">
        <f ca="1">IF(OFFSET(掉落_design!$E31,0,掉落_design!R$2,1,1)="","",OFFSET(掉落_design!$E31,0,掉落_design!R$2,1,1)&amp;";"&amp;OFFSET(掉落_design!$E31,0,掉落_design!R$2+1,1,1)&amp;";"&amp;OFFSET(掉落_design!$E31,0,掉落_design!R$2+2,1,1)&amp;";"&amp;OFFSET(掉落_design!$E31,0,掉落_design!R$2+3,1,1))</f>
        <v/>
      </c>
      <c r="T31" s="16" t="str">
        <f ca="1">IF(OFFSET(掉落_design!$E31,0,掉落_design!S$2,1,1)="","",OFFSET(掉落_design!$E31,0,掉落_design!S$2,1,1)&amp;";"&amp;OFFSET(掉落_design!$E31,0,掉落_design!S$2+1,1,1)&amp;";"&amp;OFFSET(掉落_design!$E31,0,掉落_design!S$2+2,1,1)&amp;";"&amp;OFFSET(掉落_design!$E31,0,掉落_design!S$2+3,1,1))</f>
        <v/>
      </c>
      <c r="U31" s="16" t="str">
        <f ca="1">IF(OFFSET(掉落_design!$E31,0,掉落_design!T$2,1,1)="","",OFFSET(掉落_design!$E31,0,掉落_design!T$2,1,1)&amp;";"&amp;OFFSET(掉落_design!$E31,0,掉落_design!T$2+1,1,1)&amp;";"&amp;OFFSET(掉落_design!$E31,0,掉落_design!T$2+2,1,1)&amp;";"&amp;OFFSET(掉落_design!$E31,0,掉落_design!T$2+3,1,1))</f>
        <v/>
      </c>
      <c r="V31" s="16" t="str">
        <f ca="1">IF(OFFSET(掉落_design!$E31,0,掉落_design!U$2,1,1)="","",OFFSET(掉落_design!$E31,0,掉落_design!U$2,1,1)&amp;";"&amp;OFFSET(掉落_design!$E31,0,掉落_design!U$2+1,1,1)&amp;";"&amp;OFFSET(掉落_design!$E31,0,掉落_design!U$2+2,1,1)&amp;";"&amp;OFFSET(掉落_design!$E31,0,掉落_design!U$2+3,1,1))</f>
        <v/>
      </c>
      <c r="W31" s="16" t="str">
        <f ca="1">IF(OFFSET(掉落_design!$E31,0,掉落_design!V$2,1,1)="","",OFFSET(掉落_design!$E31,0,掉落_design!V$2,1,1)&amp;";"&amp;OFFSET(掉落_design!$E31,0,掉落_design!V$2+1,1,1)&amp;";"&amp;OFFSET(掉落_design!$E31,0,掉落_design!V$2+2,1,1)&amp;";"&amp;OFFSET(掉落_design!$E31,0,掉落_design!V$2+3,1,1))</f>
        <v/>
      </c>
      <c r="X31" s="16" t="str">
        <f ca="1">IF(OFFSET(掉落_design!$E31,0,掉落_design!W$2,1,1)="","",OFFSET(掉落_design!$E31,0,掉落_design!W$2,1,1)&amp;";"&amp;OFFSET(掉落_design!$E31,0,掉落_design!W$2+1,1,1)&amp;";"&amp;OFFSET(掉落_design!$E31,0,掉落_design!W$2+2,1,1)&amp;";"&amp;OFFSET(掉落_design!$E31,0,掉落_design!W$2+3,1,1))</f>
        <v/>
      </c>
      <c r="Y31" s="16" t="str">
        <f ca="1">IF(OFFSET(掉落_design!$E31,0,掉落_design!X$2,1,1)="","",OFFSET(掉落_design!$E31,0,掉落_design!X$2,1,1)&amp;";"&amp;OFFSET(掉落_design!$E31,0,掉落_design!X$2+1,1,1)&amp;";"&amp;OFFSET(掉落_design!$E31,0,掉落_design!X$2+2,1,1)&amp;";"&amp;OFFSET(掉落_design!$E31,0,掉落_design!X$2+3,1,1))</f>
        <v/>
      </c>
    </row>
    <row r="32" spans="1:25" x14ac:dyDescent="0.15">
      <c r="A32" s="11" t="str">
        <f t="shared" si="0"/>
        <v>DATA</v>
      </c>
      <c r="B32" s="25"/>
      <c r="C32" s="25"/>
      <c r="D32" s="15">
        <f>IF(掉落_design!C32="","",掉落_design!C32)</f>
        <v>10501</v>
      </c>
      <c r="E32" s="15">
        <f>IF(A32="","",掉落_design!D32)</f>
        <v>2</v>
      </c>
      <c r="F32" s="16" t="str">
        <f ca="1">IF(OFFSET(掉落_design!$E32,0,掉落_design!E$2,1,1)="","",OFFSET(掉落_design!$E32,0,掉落_design!E$2,1,1)&amp;";"&amp;OFFSET(掉落_design!$E32,0,掉落_design!E$2+1,1,1)&amp;";"&amp;OFFSET(掉落_design!$E32,0,掉落_design!E$2+2,1,1)&amp;";"&amp;OFFSET(掉落_design!$E32,0,掉落_design!E$2+3,1,1))</f>
        <v>20121;1;1;1</v>
      </c>
      <c r="G32" s="16" t="str">
        <f ca="1">IF(OFFSET(掉落_design!$E32,0,掉落_design!F$2,1,1)="","",OFFSET(掉落_design!$E32,0,掉落_design!F$2,1,1)&amp;";"&amp;OFFSET(掉落_design!$E32,0,掉落_design!F$2+1,1,1)&amp;";"&amp;OFFSET(掉落_design!$E32,0,掉落_design!F$2+2,1,1)&amp;";"&amp;OFFSET(掉落_design!$E32,0,掉落_design!F$2+3,1,1))</f>
        <v>20122;1;1;1</v>
      </c>
      <c r="H32" s="16" t="str">
        <f ca="1">IF(OFFSET(掉落_design!$E32,0,掉落_design!G$2,1,1)="","",OFFSET(掉落_design!$E32,0,掉落_design!G$2,1,1)&amp;";"&amp;OFFSET(掉落_design!$E32,0,掉落_design!G$2+1,1,1)&amp;";"&amp;OFFSET(掉落_design!$E32,0,掉落_design!G$2+2,1,1)&amp;";"&amp;OFFSET(掉落_design!$E32,0,掉落_design!G$2+3,1,1))</f>
        <v>20221;1;1;1</v>
      </c>
      <c r="I32" s="16" t="str">
        <f ca="1">IF(OFFSET(掉落_design!$E32,0,掉落_design!H$2,1,1)="","",OFFSET(掉落_design!$E32,0,掉落_design!H$2,1,1)&amp;";"&amp;OFFSET(掉落_design!$E32,0,掉落_design!H$2+1,1,1)&amp;";"&amp;OFFSET(掉落_design!$E32,0,掉落_design!H$2+2,1,1)&amp;";"&amp;OFFSET(掉落_design!$E32,0,掉落_design!H$2+3,1,1))</f>
        <v>20123;1;1;1</v>
      </c>
      <c r="J32" s="16" t="str">
        <f ca="1">IF(OFFSET(掉落_design!$E32,0,掉落_design!I$2,1,1)="","",OFFSET(掉落_design!$E32,0,掉落_design!I$2,1,1)&amp;";"&amp;OFFSET(掉落_design!$E32,0,掉落_design!I$2+1,1,1)&amp;";"&amp;OFFSET(掉落_design!$E32,0,掉落_design!I$2+2,1,1)&amp;";"&amp;OFFSET(掉落_design!$E32,0,掉落_design!I$2+3,1,1))</f>
        <v>20223;1;1;1</v>
      </c>
      <c r="K32" s="16" t="str">
        <f ca="1">IF(OFFSET(掉落_design!$E32,0,掉落_design!J$2,1,1)="","",OFFSET(掉落_design!$E32,0,掉落_design!J$2,1,1)&amp;";"&amp;OFFSET(掉落_design!$E32,0,掉落_design!J$2+1,1,1)&amp;";"&amp;OFFSET(掉落_design!$E32,0,掉落_design!J$2+2,1,1)&amp;";"&amp;OFFSET(掉落_design!$E32,0,掉落_design!J$2+3,1,1))</f>
        <v>20221;1;1;1</v>
      </c>
      <c r="L32" s="16" t="str">
        <f ca="1">IF(OFFSET(掉落_design!$E32,0,掉落_design!K$2,1,1)="","",OFFSET(掉落_design!$E32,0,掉落_design!K$2,1,1)&amp;";"&amp;OFFSET(掉落_design!$E32,0,掉落_design!K$2+1,1,1)&amp;";"&amp;OFFSET(掉落_design!$E32,0,掉落_design!K$2+2,1,1)&amp;";"&amp;OFFSET(掉落_design!$E32,0,掉落_design!K$2+3,1,1))</f>
        <v>20221;1;1;1</v>
      </c>
      <c r="M32" s="16" t="str">
        <f ca="1">IF(OFFSET(掉落_design!$E32,0,掉落_design!L$2,1,1)="","",OFFSET(掉落_design!$E32,0,掉落_design!L$2,1,1)&amp;";"&amp;OFFSET(掉落_design!$E32,0,掉落_design!L$2+1,1,1)&amp;";"&amp;OFFSET(掉落_design!$E32,0,掉落_design!L$2+2,1,1)&amp;";"&amp;OFFSET(掉落_design!$E32,0,掉落_design!L$2+3,1,1))</f>
        <v>20221;1;1;1</v>
      </c>
      <c r="N32" s="16" t="str">
        <f ca="1">IF(OFFSET(掉落_design!$E32,0,掉落_design!M$2,1,1)="","",OFFSET(掉落_design!$E32,0,掉落_design!M$2,1,1)&amp;";"&amp;OFFSET(掉落_design!$E32,0,掉落_design!M$2+1,1,1)&amp;";"&amp;OFFSET(掉落_design!$E32,0,掉落_design!M$2+2,1,1)&amp;";"&amp;OFFSET(掉落_design!$E32,0,掉落_design!M$2+3,1,1))</f>
        <v>20122;1;1;1</v>
      </c>
      <c r="O32" s="16" t="str">
        <f ca="1">IF(OFFSET(掉落_design!$E32,0,掉落_design!N$2,1,1)="","",OFFSET(掉落_design!$E32,0,掉落_design!N$2,1,1)&amp;";"&amp;OFFSET(掉落_design!$E32,0,掉落_design!N$2+1,1,1)&amp;";"&amp;OFFSET(掉落_design!$E32,0,掉落_design!N$2+2,1,1)&amp;";"&amp;OFFSET(掉落_design!$E32,0,掉落_design!N$2+3,1,1))</f>
        <v>20221;1;1;1</v>
      </c>
      <c r="P32" s="16" t="str">
        <f ca="1">IF(OFFSET(掉落_design!$E32,0,掉落_design!O$2,1,1)="","",OFFSET(掉落_design!$E32,0,掉落_design!O$2,1,1)&amp;";"&amp;OFFSET(掉落_design!$E32,0,掉落_design!O$2+1,1,1)&amp;";"&amp;OFFSET(掉落_design!$E32,0,掉落_design!O$2+2,1,1)&amp;";"&amp;OFFSET(掉落_design!$E32,0,掉落_design!O$2+3,1,1))</f>
        <v>1001;250;300;10</v>
      </c>
      <c r="Q32" s="16" t="str">
        <f ca="1">IF(OFFSET(掉落_design!$E32,0,掉落_design!P$2,1,1)="","",OFFSET(掉落_design!$E32,0,掉落_design!P$2,1,1)&amp;";"&amp;OFFSET(掉落_design!$E32,0,掉落_design!P$2+1,1,1)&amp;";"&amp;OFFSET(掉落_design!$E32,0,掉落_design!P$2+2,1,1)&amp;";"&amp;OFFSET(掉落_design!$E32,0,掉落_design!P$2+3,1,1))</f>
        <v/>
      </c>
      <c r="R32" s="16" t="str">
        <f ca="1">IF(OFFSET(掉落_design!$E32,0,掉落_design!Q$2,1,1)="","",OFFSET(掉落_design!$E32,0,掉落_design!Q$2,1,1)&amp;";"&amp;OFFSET(掉落_design!$E32,0,掉落_design!Q$2+1,1,1)&amp;";"&amp;OFFSET(掉落_design!$E32,0,掉落_design!Q$2+2,1,1)&amp;";"&amp;OFFSET(掉落_design!$E32,0,掉落_design!Q$2+3,1,1))</f>
        <v/>
      </c>
      <c r="S32" s="16" t="str">
        <f ca="1">IF(OFFSET(掉落_design!$E32,0,掉落_design!R$2,1,1)="","",OFFSET(掉落_design!$E32,0,掉落_design!R$2,1,1)&amp;";"&amp;OFFSET(掉落_design!$E32,0,掉落_design!R$2+1,1,1)&amp;";"&amp;OFFSET(掉落_design!$E32,0,掉落_design!R$2+2,1,1)&amp;";"&amp;OFFSET(掉落_design!$E32,0,掉落_design!R$2+3,1,1))</f>
        <v/>
      </c>
      <c r="T32" s="16" t="str">
        <f ca="1">IF(OFFSET(掉落_design!$E32,0,掉落_design!S$2,1,1)="","",OFFSET(掉落_design!$E32,0,掉落_design!S$2,1,1)&amp;";"&amp;OFFSET(掉落_design!$E32,0,掉落_design!S$2+1,1,1)&amp;";"&amp;OFFSET(掉落_design!$E32,0,掉落_design!S$2+2,1,1)&amp;";"&amp;OFFSET(掉落_design!$E32,0,掉落_design!S$2+3,1,1))</f>
        <v/>
      </c>
      <c r="U32" s="16" t="str">
        <f ca="1">IF(OFFSET(掉落_design!$E32,0,掉落_design!T$2,1,1)="","",OFFSET(掉落_design!$E32,0,掉落_design!T$2,1,1)&amp;";"&amp;OFFSET(掉落_design!$E32,0,掉落_design!T$2+1,1,1)&amp;";"&amp;OFFSET(掉落_design!$E32,0,掉落_design!T$2+2,1,1)&amp;";"&amp;OFFSET(掉落_design!$E32,0,掉落_design!T$2+3,1,1))</f>
        <v/>
      </c>
      <c r="V32" s="16" t="str">
        <f ca="1">IF(OFFSET(掉落_design!$E32,0,掉落_design!U$2,1,1)="","",OFFSET(掉落_design!$E32,0,掉落_design!U$2,1,1)&amp;";"&amp;OFFSET(掉落_design!$E32,0,掉落_design!U$2+1,1,1)&amp;";"&amp;OFFSET(掉落_design!$E32,0,掉落_design!U$2+2,1,1)&amp;";"&amp;OFFSET(掉落_design!$E32,0,掉落_design!U$2+3,1,1))</f>
        <v/>
      </c>
      <c r="W32" s="16" t="str">
        <f ca="1">IF(OFFSET(掉落_design!$E32,0,掉落_design!V$2,1,1)="","",OFFSET(掉落_design!$E32,0,掉落_design!V$2,1,1)&amp;";"&amp;OFFSET(掉落_design!$E32,0,掉落_design!V$2+1,1,1)&amp;";"&amp;OFFSET(掉落_design!$E32,0,掉落_design!V$2+2,1,1)&amp;";"&amp;OFFSET(掉落_design!$E32,0,掉落_design!V$2+3,1,1))</f>
        <v/>
      </c>
      <c r="X32" s="16" t="str">
        <f ca="1">IF(OFFSET(掉落_design!$E32,0,掉落_design!W$2,1,1)="","",OFFSET(掉落_design!$E32,0,掉落_design!W$2,1,1)&amp;";"&amp;OFFSET(掉落_design!$E32,0,掉落_design!W$2+1,1,1)&amp;";"&amp;OFFSET(掉落_design!$E32,0,掉落_design!W$2+2,1,1)&amp;";"&amp;OFFSET(掉落_design!$E32,0,掉落_design!W$2+3,1,1))</f>
        <v/>
      </c>
      <c r="Y32" s="16" t="str">
        <f ca="1">IF(OFFSET(掉落_design!$E32,0,掉落_design!X$2,1,1)="","",OFFSET(掉落_design!$E32,0,掉落_design!X$2,1,1)&amp;";"&amp;OFFSET(掉落_design!$E32,0,掉落_design!X$2+1,1,1)&amp;";"&amp;OFFSET(掉落_design!$E32,0,掉落_design!X$2+2,1,1)&amp;";"&amp;OFFSET(掉落_design!$E32,0,掉落_design!X$2+3,1,1))</f>
        <v/>
      </c>
    </row>
    <row r="33" spans="1:25" x14ac:dyDescent="0.15">
      <c r="A33" s="11" t="str">
        <f t="shared" si="0"/>
        <v/>
      </c>
      <c r="B33" s="25"/>
      <c r="C33" s="25"/>
      <c r="D33" s="15" t="str">
        <f>IF(掉落_design!C33="","",掉落_design!C33)</f>
        <v/>
      </c>
      <c r="E33" s="15" t="str">
        <f>IF(A33="","",掉落_design!D33)</f>
        <v/>
      </c>
      <c r="F33" s="16" t="str">
        <f ca="1">IF(OFFSET(掉落_design!$E33,0,掉落_design!E$2,1,1)="","",OFFSET(掉落_design!$E33,0,掉落_design!E$2,1,1)&amp;";"&amp;OFFSET(掉落_design!$E33,0,掉落_design!E$2+1,1,1)&amp;";"&amp;OFFSET(掉落_design!$E33,0,掉落_design!E$2+2,1,1)&amp;";"&amp;OFFSET(掉落_design!$E33,0,掉落_design!E$2+3,1,1))</f>
        <v/>
      </c>
      <c r="G33" s="16" t="str">
        <f ca="1">IF(OFFSET(掉落_design!$E33,0,掉落_design!F$2,1,1)="","",OFFSET(掉落_design!$E33,0,掉落_design!F$2,1,1)&amp;";"&amp;OFFSET(掉落_design!$E33,0,掉落_design!F$2+1,1,1)&amp;";"&amp;OFFSET(掉落_design!$E33,0,掉落_design!F$2+2,1,1)&amp;";"&amp;OFFSET(掉落_design!$E33,0,掉落_design!F$2+3,1,1))</f>
        <v/>
      </c>
      <c r="H33" s="16" t="str">
        <f ca="1">IF(OFFSET(掉落_design!$E33,0,掉落_design!G$2,1,1)="","",OFFSET(掉落_design!$E33,0,掉落_design!G$2,1,1)&amp;";"&amp;OFFSET(掉落_design!$E33,0,掉落_design!G$2+1,1,1)&amp;";"&amp;OFFSET(掉落_design!$E33,0,掉落_design!G$2+2,1,1)&amp;";"&amp;OFFSET(掉落_design!$E33,0,掉落_design!G$2+3,1,1))</f>
        <v/>
      </c>
      <c r="I33" s="16" t="str">
        <f ca="1">IF(OFFSET(掉落_design!$E33,0,掉落_design!H$2,1,1)="","",OFFSET(掉落_design!$E33,0,掉落_design!H$2,1,1)&amp;";"&amp;OFFSET(掉落_design!$E33,0,掉落_design!H$2+1,1,1)&amp;";"&amp;OFFSET(掉落_design!$E33,0,掉落_design!H$2+2,1,1)&amp;";"&amp;OFFSET(掉落_design!$E33,0,掉落_design!H$2+3,1,1))</f>
        <v/>
      </c>
      <c r="J33" s="16" t="str">
        <f ca="1">IF(OFFSET(掉落_design!$E33,0,掉落_design!I$2,1,1)="","",OFFSET(掉落_design!$E33,0,掉落_design!I$2,1,1)&amp;";"&amp;OFFSET(掉落_design!$E33,0,掉落_design!I$2+1,1,1)&amp;";"&amp;OFFSET(掉落_design!$E33,0,掉落_design!I$2+2,1,1)&amp;";"&amp;OFFSET(掉落_design!$E33,0,掉落_design!I$2+3,1,1))</f>
        <v/>
      </c>
      <c r="K33" s="16" t="str">
        <f ca="1">IF(OFFSET(掉落_design!$E33,0,掉落_design!J$2,1,1)="","",OFFSET(掉落_design!$E33,0,掉落_design!J$2,1,1)&amp;";"&amp;OFFSET(掉落_design!$E33,0,掉落_design!J$2+1,1,1)&amp;";"&amp;OFFSET(掉落_design!$E33,0,掉落_design!J$2+2,1,1)&amp;";"&amp;OFFSET(掉落_design!$E33,0,掉落_design!J$2+3,1,1))</f>
        <v/>
      </c>
      <c r="L33" s="16" t="str">
        <f ca="1">IF(OFFSET(掉落_design!$E33,0,掉落_design!K$2,1,1)="","",OFFSET(掉落_design!$E33,0,掉落_design!K$2,1,1)&amp;";"&amp;OFFSET(掉落_design!$E33,0,掉落_design!K$2+1,1,1)&amp;";"&amp;OFFSET(掉落_design!$E33,0,掉落_design!K$2+2,1,1)&amp;";"&amp;OFFSET(掉落_design!$E33,0,掉落_design!K$2+3,1,1))</f>
        <v/>
      </c>
      <c r="M33" s="16" t="str">
        <f ca="1">IF(OFFSET(掉落_design!$E33,0,掉落_design!L$2,1,1)="","",OFFSET(掉落_design!$E33,0,掉落_design!L$2,1,1)&amp;";"&amp;OFFSET(掉落_design!$E33,0,掉落_design!L$2+1,1,1)&amp;";"&amp;OFFSET(掉落_design!$E33,0,掉落_design!L$2+2,1,1)&amp;";"&amp;OFFSET(掉落_design!$E33,0,掉落_design!L$2+3,1,1))</f>
        <v/>
      </c>
      <c r="N33" s="16" t="str">
        <f ca="1">IF(OFFSET(掉落_design!$E33,0,掉落_design!M$2,1,1)="","",OFFSET(掉落_design!$E33,0,掉落_design!M$2,1,1)&amp;";"&amp;OFFSET(掉落_design!$E33,0,掉落_design!M$2+1,1,1)&amp;";"&amp;OFFSET(掉落_design!$E33,0,掉落_design!M$2+2,1,1)&amp;";"&amp;OFFSET(掉落_design!$E33,0,掉落_design!M$2+3,1,1))</f>
        <v/>
      </c>
      <c r="O33" s="16" t="str">
        <f ca="1">IF(OFFSET(掉落_design!$E33,0,掉落_design!N$2,1,1)="","",OFFSET(掉落_design!$E33,0,掉落_design!N$2,1,1)&amp;";"&amp;OFFSET(掉落_design!$E33,0,掉落_design!N$2+1,1,1)&amp;";"&amp;OFFSET(掉落_design!$E33,0,掉落_design!N$2+2,1,1)&amp;";"&amp;OFFSET(掉落_design!$E33,0,掉落_design!N$2+3,1,1))</f>
        <v/>
      </c>
      <c r="P33" s="16" t="str">
        <f ca="1">IF(OFFSET(掉落_design!$E33,0,掉落_design!O$2,1,1)="","",OFFSET(掉落_design!$E33,0,掉落_design!O$2,1,1)&amp;";"&amp;OFFSET(掉落_design!$E33,0,掉落_design!O$2+1,1,1)&amp;";"&amp;OFFSET(掉落_design!$E33,0,掉落_design!O$2+2,1,1)&amp;";"&amp;OFFSET(掉落_design!$E33,0,掉落_design!O$2+3,1,1))</f>
        <v/>
      </c>
      <c r="Q33" s="16" t="str">
        <f ca="1">IF(OFFSET(掉落_design!$E33,0,掉落_design!P$2,1,1)="","",OFFSET(掉落_design!$E33,0,掉落_design!P$2,1,1)&amp;";"&amp;OFFSET(掉落_design!$E33,0,掉落_design!P$2+1,1,1)&amp;";"&amp;OFFSET(掉落_design!$E33,0,掉落_design!P$2+2,1,1)&amp;";"&amp;OFFSET(掉落_design!$E33,0,掉落_design!P$2+3,1,1))</f>
        <v/>
      </c>
      <c r="R33" s="16" t="str">
        <f ca="1">IF(OFFSET(掉落_design!$E33,0,掉落_design!Q$2,1,1)="","",OFFSET(掉落_design!$E33,0,掉落_design!Q$2,1,1)&amp;";"&amp;OFFSET(掉落_design!$E33,0,掉落_design!Q$2+1,1,1)&amp;";"&amp;OFFSET(掉落_design!$E33,0,掉落_design!Q$2+2,1,1)&amp;";"&amp;OFFSET(掉落_design!$E33,0,掉落_design!Q$2+3,1,1))</f>
        <v/>
      </c>
      <c r="S33" s="16" t="str">
        <f ca="1">IF(OFFSET(掉落_design!$E33,0,掉落_design!R$2,1,1)="","",OFFSET(掉落_design!$E33,0,掉落_design!R$2,1,1)&amp;";"&amp;OFFSET(掉落_design!$E33,0,掉落_design!R$2+1,1,1)&amp;";"&amp;OFFSET(掉落_design!$E33,0,掉落_design!R$2+2,1,1)&amp;";"&amp;OFFSET(掉落_design!$E33,0,掉落_design!R$2+3,1,1))</f>
        <v/>
      </c>
      <c r="T33" s="16" t="str">
        <f ca="1">IF(OFFSET(掉落_design!$E33,0,掉落_design!S$2,1,1)="","",OFFSET(掉落_design!$E33,0,掉落_design!S$2,1,1)&amp;";"&amp;OFFSET(掉落_design!$E33,0,掉落_design!S$2+1,1,1)&amp;";"&amp;OFFSET(掉落_design!$E33,0,掉落_design!S$2+2,1,1)&amp;";"&amp;OFFSET(掉落_design!$E33,0,掉落_design!S$2+3,1,1))</f>
        <v/>
      </c>
      <c r="U33" s="16" t="str">
        <f ca="1">IF(OFFSET(掉落_design!$E33,0,掉落_design!T$2,1,1)="","",OFFSET(掉落_design!$E33,0,掉落_design!T$2,1,1)&amp;";"&amp;OFFSET(掉落_design!$E33,0,掉落_design!T$2+1,1,1)&amp;";"&amp;OFFSET(掉落_design!$E33,0,掉落_design!T$2+2,1,1)&amp;";"&amp;OFFSET(掉落_design!$E33,0,掉落_design!T$2+3,1,1))</f>
        <v/>
      </c>
      <c r="V33" s="16" t="str">
        <f ca="1">IF(OFFSET(掉落_design!$E33,0,掉落_design!U$2,1,1)="","",OFFSET(掉落_design!$E33,0,掉落_design!U$2,1,1)&amp;";"&amp;OFFSET(掉落_design!$E33,0,掉落_design!U$2+1,1,1)&amp;";"&amp;OFFSET(掉落_design!$E33,0,掉落_design!U$2+2,1,1)&amp;";"&amp;OFFSET(掉落_design!$E33,0,掉落_design!U$2+3,1,1))</f>
        <v/>
      </c>
      <c r="W33" s="16" t="str">
        <f ca="1">IF(OFFSET(掉落_design!$E33,0,掉落_design!V$2,1,1)="","",OFFSET(掉落_design!$E33,0,掉落_design!V$2,1,1)&amp;";"&amp;OFFSET(掉落_design!$E33,0,掉落_design!V$2+1,1,1)&amp;";"&amp;OFFSET(掉落_design!$E33,0,掉落_design!V$2+2,1,1)&amp;";"&amp;OFFSET(掉落_design!$E33,0,掉落_design!V$2+3,1,1))</f>
        <v/>
      </c>
      <c r="X33" s="16" t="str">
        <f ca="1">IF(OFFSET(掉落_design!$E33,0,掉落_design!W$2,1,1)="","",OFFSET(掉落_design!$E33,0,掉落_design!W$2,1,1)&amp;";"&amp;OFFSET(掉落_design!$E33,0,掉落_design!W$2+1,1,1)&amp;";"&amp;OFFSET(掉落_design!$E33,0,掉落_design!W$2+2,1,1)&amp;";"&amp;OFFSET(掉落_design!$E33,0,掉落_design!W$2+3,1,1))</f>
        <v/>
      </c>
      <c r="Y33" s="16" t="str">
        <f ca="1">IF(OFFSET(掉落_design!$E33,0,掉落_design!X$2,1,1)="","",OFFSET(掉落_design!$E33,0,掉落_design!X$2,1,1)&amp;";"&amp;OFFSET(掉落_design!$E33,0,掉落_design!X$2+1,1,1)&amp;";"&amp;OFFSET(掉落_design!$E33,0,掉落_design!X$2+2,1,1)&amp;";"&amp;OFFSET(掉落_design!$E33,0,掉落_design!X$2+3,1,1))</f>
        <v/>
      </c>
    </row>
    <row r="34" spans="1:25" x14ac:dyDescent="0.15">
      <c r="A34" s="11" t="str">
        <f t="shared" si="0"/>
        <v>DATA</v>
      </c>
      <c r="B34" s="25"/>
      <c r="C34" s="25"/>
      <c r="D34" s="15">
        <f>IF(掉落_design!C34="","",掉落_design!C34)</f>
        <v>10600</v>
      </c>
      <c r="E34" s="15">
        <f>IF(A34="","",掉落_design!D34)</f>
        <v>1</v>
      </c>
      <c r="F34" s="16" t="str">
        <f ca="1">IF(OFFSET(掉落_design!$E34,0,掉落_design!E$2,1,1)="","",OFFSET(掉落_design!$E34,0,掉落_design!E$2,1,1)&amp;";"&amp;OFFSET(掉落_design!$E34,0,掉落_design!E$2+1,1,1)&amp;";"&amp;OFFSET(掉落_design!$E34,0,掉落_design!E$2+2,1,1)&amp;";"&amp;OFFSET(掉落_design!$E34,0,掉落_design!E$2+3,1,1))</f>
        <v>1001;80;100;1000</v>
      </c>
      <c r="G34" s="16" t="str">
        <f ca="1">IF(OFFSET(掉落_design!$E34,0,掉落_design!F$2,1,1)="","",OFFSET(掉落_design!$E34,0,掉落_design!F$2,1,1)&amp;";"&amp;OFFSET(掉落_design!$E34,0,掉落_design!F$2+1,1,1)&amp;";"&amp;OFFSET(掉落_design!$E34,0,掉落_design!F$2+2,1,1)&amp;";"&amp;OFFSET(掉落_design!$E34,0,掉落_design!F$2+3,1,1))</f>
        <v>1204;1;1;1000</v>
      </c>
      <c r="H34" s="16" t="str">
        <f ca="1">IF(OFFSET(掉落_design!$E34,0,掉落_design!G$2,1,1)="","",OFFSET(掉落_design!$E34,0,掉落_design!G$2,1,1)&amp;";"&amp;OFFSET(掉落_design!$E34,0,掉落_design!G$2+1,1,1)&amp;";"&amp;OFFSET(掉落_design!$E34,0,掉落_design!G$2+2,1,1)&amp;";"&amp;OFFSET(掉落_design!$E34,0,掉落_design!G$2+3,1,1))</f>
        <v/>
      </c>
      <c r="I34" s="16" t="str">
        <f ca="1">IF(OFFSET(掉落_design!$E34,0,掉落_design!H$2,1,1)="","",OFFSET(掉落_design!$E34,0,掉落_design!H$2,1,1)&amp;";"&amp;OFFSET(掉落_design!$E34,0,掉落_design!H$2+1,1,1)&amp;";"&amp;OFFSET(掉落_design!$E34,0,掉落_design!H$2+2,1,1)&amp;";"&amp;OFFSET(掉落_design!$E34,0,掉落_design!H$2+3,1,1))</f>
        <v/>
      </c>
      <c r="J34" s="16" t="str">
        <f ca="1">IF(OFFSET(掉落_design!$E34,0,掉落_design!I$2,1,1)="","",OFFSET(掉落_design!$E34,0,掉落_design!I$2,1,1)&amp;";"&amp;OFFSET(掉落_design!$E34,0,掉落_design!I$2+1,1,1)&amp;";"&amp;OFFSET(掉落_design!$E34,0,掉落_design!I$2+2,1,1)&amp;";"&amp;OFFSET(掉落_design!$E34,0,掉落_design!I$2+3,1,1))</f>
        <v/>
      </c>
      <c r="K34" s="16" t="str">
        <f ca="1">IF(OFFSET(掉落_design!$E34,0,掉落_design!J$2,1,1)="","",OFFSET(掉落_design!$E34,0,掉落_design!J$2,1,1)&amp;";"&amp;OFFSET(掉落_design!$E34,0,掉落_design!J$2+1,1,1)&amp;";"&amp;OFFSET(掉落_design!$E34,0,掉落_design!J$2+2,1,1)&amp;";"&amp;OFFSET(掉落_design!$E34,0,掉落_design!J$2+3,1,1))</f>
        <v/>
      </c>
      <c r="L34" s="16" t="str">
        <f ca="1">IF(OFFSET(掉落_design!$E34,0,掉落_design!K$2,1,1)="","",OFFSET(掉落_design!$E34,0,掉落_design!K$2,1,1)&amp;";"&amp;OFFSET(掉落_design!$E34,0,掉落_design!K$2+1,1,1)&amp;";"&amp;OFFSET(掉落_design!$E34,0,掉落_design!K$2+2,1,1)&amp;";"&amp;OFFSET(掉落_design!$E34,0,掉落_design!K$2+3,1,1))</f>
        <v/>
      </c>
      <c r="M34" s="16" t="str">
        <f ca="1">IF(OFFSET(掉落_design!$E34,0,掉落_design!L$2,1,1)="","",OFFSET(掉落_design!$E34,0,掉落_design!L$2,1,1)&amp;";"&amp;OFFSET(掉落_design!$E34,0,掉落_design!L$2+1,1,1)&amp;";"&amp;OFFSET(掉落_design!$E34,0,掉落_design!L$2+2,1,1)&amp;";"&amp;OFFSET(掉落_design!$E34,0,掉落_design!L$2+3,1,1))</f>
        <v/>
      </c>
      <c r="N34" s="16" t="str">
        <f ca="1">IF(OFFSET(掉落_design!$E34,0,掉落_design!M$2,1,1)="","",OFFSET(掉落_design!$E34,0,掉落_design!M$2,1,1)&amp;";"&amp;OFFSET(掉落_design!$E34,0,掉落_design!M$2+1,1,1)&amp;";"&amp;OFFSET(掉落_design!$E34,0,掉落_design!M$2+2,1,1)&amp;";"&amp;OFFSET(掉落_design!$E34,0,掉落_design!M$2+3,1,1))</f>
        <v/>
      </c>
      <c r="O34" s="16" t="str">
        <f ca="1">IF(OFFSET(掉落_design!$E34,0,掉落_design!N$2,1,1)="","",OFFSET(掉落_design!$E34,0,掉落_design!N$2,1,1)&amp;";"&amp;OFFSET(掉落_design!$E34,0,掉落_design!N$2+1,1,1)&amp;";"&amp;OFFSET(掉落_design!$E34,0,掉落_design!N$2+2,1,1)&amp;";"&amp;OFFSET(掉落_design!$E34,0,掉落_design!N$2+3,1,1))</f>
        <v/>
      </c>
      <c r="P34" s="16" t="str">
        <f ca="1">IF(OFFSET(掉落_design!$E34,0,掉落_design!O$2,1,1)="","",OFFSET(掉落_design!$E34,0,掉落_design!O$2,1,1)&amp;";"&amp;OFFSET(掉落_design!$E34,0,掉落_design!O$2+1,1,1)&amp;";"&amp;OFFSET(掉落_design!$E34,0,掉落_design!O$2+2,1,1)&amp;";"&amp;OFFSET(掉落_design!$E34,0,掉落_design!O$2+3,1,1))</f>
        <v/>
      </c>
      <c r="Q34" s="16" t="str">
        <f ca="1">IF(OFFSET(掉落_design!$E34,0,掉落_design!P$2,1,1)="","",OFFSET(掉落_design!$E34,0,掉落_design!P$2,1,1)&amp;";"&amp;OFFSET(掉落_design!$E34,0,掉落_design!P$2+1,1,1)&amp;";"&amp;OFFSET(掉落_design!$E34,0,掉落_design!P$2+2,1,1)&amp;";"&amp;OFFSET(掉落_design!$E34,0,掉落_design!P$2+3,1,1))</f>
        <v/>
      </c>
      <c r="R34" s="16" t="str">
        <f ca="1">IF(OFFSET(掉落_design!$E34,0,掉落_design!Q$2,1,1)="","",OFFSET(掉落_design!$E34,0,掉落_design!Q$2,1,1)&amp;";"&amp;OFFSET(掉落_design!$E34,0,掉落_design!Q$2+1,1,1)&amp;";"&amp;OFFSET(掉落_design!$E34,0,掉落_design!Q$2+2,1,1)&amp;";"&amp;OFFSET(掉落_design!$E34,0,掉落_design!Q$2+3,1,1))</f>
        <v/>
      </c>
      <c r="S34" s="16" t="str">
        <f ca="1">IF(OFFSET(掉落_design!$E34,0,掉落_design!R$2,1,1)="","",OFFSET(掉落_design!$E34,0,掉落_design!R$2,1,1)&amp;";"&amp;OFFSET(掉落_design!$E34,0,掉落_design!R$2+1,1,1)&amp;";"&amp;OFFSET(掉落_design!$E34,0,掉落_design!R$2+2,1,1)&amp;";"&amp;OFFSET(掉落_design!$E34,0,掉落_design!R$2+3,1,1))</f>
        <v/>
      </c>
      <c r="T34" s="16" t="str">
        <f ca="1">IF(OFFSET(掉落_design!$E34,0,掉落_design!S$2,1,1)="","",OFFSET(掉落_design!$E34,0,掉落_design!S$2,1,1)&amp;";"&amp;OFFSET(掉落_design!$E34,0,掉落_design!S$2+1,1,1)&amp;";"&amp;OFFSET(掉落_design!$E34,0,掉落_design!S$2+2,1,1)&amp;";"&amp;OFFSET(掉落_design!$E34,0,掉落_design!S$2+3,1,1))</f>
        <v/>
      </c>
      <c r="U34" s="16" t="str">
        <f ca="1">IF(OFFSET(掉落_design!$E34,0,掉落_design!T$2,1,1)="","",OFFSET(掉落_design!$E34,0,掉落_design!T$2,1,1)&amp;";"&amp;OFFSET(掉落_design!$E34,0,掉落_design!T$2+1,1,1)&amp;";"&amp;OFFSET(掉落_design!$E34,0,掉落_design!T$2+2,1,1)&amp;";"&amp;OFFSET(掉落_design!$E34,0,掉落_design!T$2+3,1,1))</f>
        <v/>
      </c>
      <c r="V34" s="16" t="str">
        <f ca="1">IF(OFFSET(掉落_design!$E34,0,掉落_design!U$2,1,1)="","",OFFSET(掉落_design!$E34,0,掉落_design!U$2,1,1)&amp;";"&amp;OFFSET(掉落_design!$E34,0,掉落_design!U$2+1,1,1)&amp;";"&amp;OFFSET(掉落_design!$E34,0,掉落_design!U$2+2,1,1)&amp;";"&amp;OFFSET(掉落_design!$E34,0,掉落_design!U$2+3,1,1))</f>
        <v/>
      </c>
      <c r="W34" s="16" t="str">
        <f ca="1">IF(OFFSET(掉落_design!$E34,0,掉落_design!V$2,1,1)="","",OFFSET(掉落_design!$E34,0,掉落_design!V$2,1,1)&amp;";"&amp;OFFSET(掉落_design!$E34,0,掉落_design!V$2+1,1,1)&amp;";"&amp;OFFSET(掉落_design!$E34,0,掉落_design!V$2+2,1,1)&amp;";"&amp;OFFSET(掉落_design!$E34,0,掉落_design!V$2+3,1,1))</f>
        <v/>
      </c>
      <c r="X34" s="16" t="str">
        <f ca="1">IF(OFFSET(掉落_design!$E34,0,掉落_design!W$2,1,1)="","",OFFSET(掉落_design!$E34,0,掉落_design!W$2,1,1)&amp;";"&amp;OFFSET(掉落_design!$E34,0,掉落_design!W$2+1,1,1)&amp;";"&amp;OFFSET(掉落_design!$E34,0,掉落_design!W$2+2,1,1)&amp;";"&amp;OFFSET(掉落_design!$E34,0,掉落_design!W$2+3,1,1))</f>
        <v/>
      </c>
      <c r="Y34" s="16" t="str">
        <f ca="1">IF(OFFSET(掉落_design!$E34,0,掉落_design!X$2,1,1)="","",OFFSET(掉落_design!$E34,0,掉落_design!X$2,1,1)&amp;";"&amp;OFFSET(掉落_design!$E34,0,掉落_design!X$2+1,1,1)&amp;";"&amp;OFFSET(掉落_design!$E34,0,掉落_design!X$2+2,1,1)&amp;";"&amp;OFFSET(掉落_design!$E34,0,掉落_design!X$2+3,1,1))</f>
        <v/>
      </c>
    </row>
    <row r="35" spans="1:25" x14ac:dyDescent="0.15">
      <c r="A35" s="11" t="str">
        <f t="shared" si="0"/>
        <v>DATA</v>
      </c>
      <c r="B35" s="25"/>
      <c r="C35" s="25"/>
      <c r="D35" s="15">
        <f>IF(掉落_design!C35="","",掉落_design!C35)</f>
        <v>10601</v>
      </c>
      <c r="E35" s="15">
        <f>IF(A35="","",掉落_design!D35)</f>
        <v>2</v>
      </c>
      <c r="F35" s="16" t="str">
        <f ca="1">IF(OFFSET(掉落_design!$E35,0,掉落_design!E$2,1,1)="","",OFFSET(掉落_design!$E35,0,掉落_design!E$2,1,1)&amp;";"&amp;OFFSET(掉落_design!$E35,0,掉落_design!E$2+1,1,1)&amp;";"&amp;OFFSET(掉落_design!$E35,0,掉落_design!E$2+2,1,1)&amp;";"&amp;OFFSET(掉落_design!$E35,0,掉落_design!E$2+3,1,1))</f>
        <v>20226;1;1;1</v>
      </c>
      <c r="G35" s="16" t="str">
        <f ca="1">IF(OFFSET(掉落_design!$E35,0,掉落_design!F$2,1,1)="","",OFFSET(掉落_design!$E35,0,掉落_design!F$2,1,1)&amp;";"&amp;OFFSET(掉落_design!$E35,0,掉落_design!F$2+1,1,1)&amp;";"&amp;OFFSET(掉落_design!$E35,0,掉落_design!F$2+2,1,1)&amp;";"&amp;OFFSET(掉落_design!$E35,0,掉落_design!F$2+3,1,1))</f>
        <v>20124;1;1;1</v>
      </c>
      <c r="H35" s="16" t="str">
        <f ca="1">IF(OFFSET(掉落_design!$E35,0,掉落_design!G$2,1,1)="","",OFFSET(掉落_design!$E35,0,掉落_design!G$2,1,1)&amp;";"&amp;OFFSET(掉落_design!$E35,0,掉落_design!G$2+1,1,1)&amp;";"&amp;OFFSET(掉落_design!$E35,0,掉落_design!G$2+2,1,1)&amp;";"&amp;OFFSET(掉落_design!$E35,0,掉落_design!G$2+3,1,1))</f>
        <v>20226;1;1;1</v>
      </c>
      <c r="I35" s="16" t="str">
        <f ca="1">IF(OFFSET(掉落_design!$E35,0,掉落_design!H$2,1,1)="","",OFFSET(掉落_design!$E35,0,掉落_design!H$2,1,1)&amp;";"&amp;OFFSET(掉落_design!$E35,0,掉落_design!H$2+1,1,1)&amp;";"&amp;OFFSET(掉落_design!$E35,0,掉落_design!H$2+2,1,1)&amp;";"&amp;OFFSET(掉落_design!$E35,0,掉落_design!H$2+3,1,1))</f>
        <v>20226;1;1;1</v>
      </c>
      <c r="J35" s="16" t="str">
        <f ca="1">IF(OFFSET(掉落_design!$E35,0,掉落_design!I$2,1,1)="","",OFFSET(掉落_design!$E35,0,掉落_design!I$2,1,1)&amp;";"&amp;OFFSET(掉落_design!$E35,0,掉落_design!I$2+1,1,1)&amp;";"&amp;OFFSET(掉落_design!$E35,0,掉落_design!I$2+2,1,1)&amp;";"&amp;OFFSET(掉落_design!$E35,0,掉落_design!I$2+3,1,1))</f>
        <v>20125;1;1;1</v>
      </c>
      <c r="K35" s="16" t="str">
        <f ca="1">IF(OFFSET(掉落_design!$E35,0,掉落_design!J$2,1,1)="","",OFFSET(掉落_design!$E35,0,掉落_design!J$2,1,1)&amp;";"&amp;OFFSET(掉落_design!$E35,0,掉落_design!J$2+1,1,1)&amp;";"&amp;OFFSET(掉落_design!$E35,0,掉落_design!J$2+2,1,1)&amp;";"&amp;OFFSET(掉落_design!$E35,0,掉落_design!J$2+3,1,1))</f>
        <v>20223;1;1;1</v>
      </c>
      <c r="L35" s="16" t="str">
        <f ca="1">IF(OFFSET(掉落_design!$E35,0,掉落_design!K$2,1,1)="","",OFFSET(掉落_design!$E35,0,掉落_design!K$2,1,1)&amp;";"&amp;OFFSET(掉落_design!$E35,0,掉落_design!K$2+1,1,1)&amp;";"&amp;OFFSET(掉落_design!$E35,0,掉落_design!K$2+2,1,1)&amp;";"&amp;OFFSET(掉落_design!$E35,0,掉落_design!K$2+3,1,1))</f>
        <v>20226;1;1;1</v>
      </c>
      <c r="M35" s="16" t="str">
        <f ca="1">IF(OFFSET(掉落_design!$E35,0,掉落_design!L$2,1,1)="","",OFFSET(掉落_design!$E35,0,掉落_design!L$2,1,1)&amp;";"&amp;OFFSET(掉落_design!$E35,0,掉落_design!L$2+1,1,1)&amp;";"&amp;OFFSET(掉落_design!$E35,0,掉落_design!L$2+2,1,1)&amp;";"&amp;OFFSET(掉落_design!$E35,0,掉落_design!L$2+3,1,1))</f>
        <v>20126;1;1;1</v>
      </c>
      <c r="N35" s="16" t="str">
        <f ca="1">IF(OFFSET(掉落_design!$E35,0,掉落_design!M$2,1,1)="","",OFFSET(掉落_design!$E35,0,掉落_design!M$2,1,1)&amp;";"&amp;OFFSET(掉落_design!$E35,0,掉落_design!M$2+1,1,1)&amp;";"&amp;OFFSET(掉落_design!$E35,0,掉落_design!M$2+2,1,1)&amp;";"&amp;OFFSET(掉落_design!$E35,0,掉落_design!M$2+3,1,1))</f>
        <v>20123;1;1;1</v>
      </c>
      <c r="O35" s="16" t="str">
        <f ca="1">IF(OFFSET(掉落_design!$E35,0,掉落_design!N$2,1,1)="","",OFFSET(掉落_design!$E35,0,掉落_design!N$2,1,1)&amp;";"&amp;OFFSET(掉落_design!$E35,0,掉落_design!N$2+1,1,1)&amp;";"&amp;OFFSET(掉落_design!$E35,0,掉落_design!N$2+2,1,1)&amp;";"&amp;OFFSET(掉落_design!$E35,0,掉落_design!N$2+3,1,1))</f>
        <v>20226;1;1;1</v>
      </c>
      <c r="P35" s="16" t="str">
        <f ca="1">IF(OFFSET(掉落_design!$E35,0,掉落_design!O$2,1,1)="","",OFFSET(掉落_design!$E35,0,掉落_design!O$2,1,1)&amp;";"&amp;OFFSET(掉落_design!$E35,0,掉落_design!O$2+1,1,1)&amp;";"&amp;OFFSET(掉落_design!$E35,0,掉落_design!O$2+2,1,1)&amp;";"&amp;OFFSET(掉落_design!$E35,0,掉落_design!O$2+3,1,1))</f>
        <v>1001;300;350;10</v>
      </c>
      <c r="Q35" s="16" t="str">
        <f ca="1">IF(OFFSET(掉落_design!$E35,0,掉落_design!P$2,1,1)="","",OFFSET(掉落_design!$E35,0,掉落_design!P$2,1,1)&amp;";"&amp;OFFSET(掉落_design!$E35,0,掉落_design!P$2+1,1,1)&amp;";"&amp;OFFSET(掉落_design!$E35,0,掉落_design!P$2+2,1,1)&amp;";"&amp;OFFSET(掉落_design!$E35,0,掉落_design!P$2+3,1,1))</f>
        <v/>
      </c>
      <c r="R35" s="16" t="str">
        <f ca="1">IF(OFFSET(掉落_design!$E35,0,掉落_design!Q$2,1,1)="","",OFFSET(掉落_design!$E35,0,掉落_design!Q$2,1,1)&amp;";"&amp;OFFSET(掉落_design!$E35,0,掉落_design!Q$2+1,1,1)&amp;";"&amp;OFFSET(掉落_design!$E35,0,掉落_design!Q$2+2,1,1)&amp;";"&amp;OFFSET(掉落_design!$E35,0,掉落_design!Q$2+3,1,1))</f>
        <v/>
      </c>
      <c r="S35" s="16" t="str">
        <f ca="1">IF(OFFSET(掉落_design!$E35,0,掉落_design!R$2,1,1)="","",OFFSET(掉落_design!$E35,0,掉落_design!R$2,1,1)&amp;";"&amp;OFFSET(掉落_design!$E35,0,掉落_design!R$2+1,1,1)&amp;";"&amp;OFFSET(掉落_design!$E35,0,掉落_design!R$2+2,1,1)&amp;";"&amp;OFFSET(掉落_design!$E35,0,掉落_design!R$2+3,1,1))</f>
        <v/>
      </c>
      <c r="T35" s="16" t="str">
        <f ca="1">IF(OFFSET(掉落_design!$E35,0,掉落_design!S$2,1,1)="","",OFFSET(掉落_design!$E35,0,掉落_design!S$2,1,1)&amp;";"&amp;OFFSET(掉落_design!$E35,0,掉落_design!S$2+1,1,1)&amp;";"&amp;OFFSET(掉落_design!$E35,0,掉落_design!S$2+2,1,1)&amp;";"&amp;OFFSET(掉落_design!$E35,0,掉落_design!S$2+3,1,1))</f>
        <v/>
      </c>
      <c r="U35" s="16" t="str">
        <f ca="1">IF(OFFSET(掉落_design!$E35,0,掉落_design!T$2,1,1)="","",OFFSET(掉落_design!$E35,0,掉落_design!T$2,1,1)&amp;";"&amp;OFFSET(掉落_design!$E35,0,掉落_design!T$2+1,1,1)&amp;";"&amp;OFFSET(掉落_design!$E35,0,掉落_design!T$2+2,1,1)&amp;";"&amp;OFFSET(掉落_design!$E35,0,掉落_design!T$2+3,1,1))</f>
        <v/>
      </c>
      <c r="V35" s="16" t="str">
        <f ca="1">IF(OFFSET(掉落_design!$E35,0,掉落_design!U$2,1,1)="","",OFFSET(掉落_design!$E35,0,掉落_design!U$2,1,1)&amp;";"&amp;OFFSET(掉落_design!$E35,0,掉落_design!U$2+1,1,1)&amp;";"&amp;OFFSET(掉落_design!$E35,0,掉落_design!U$2+2,1,1)&amp;";"&amp;OFFSET(掉落_design!$E35,0,掉落_design!U$2+3,1,1))</f>
        <v/>
      </c>
      <c r="W35" s="16" t="str">
        <f ca="1">IF(OFFSET(掉落_design!$E35,0,掉落_design!V$2,1,1)="","",OFFSET(掉落_design!$E35,0,掉落_design!V$2,1,1)&amp;";"&amp;OFFSET(掉落_design!$E35,0,掉落_design!V$2+1,1,1)&amp;";"&amp;OFFSET(掉落_design!$E35,0,掉落_design!V$2+2,1,1)&amp;";"&amp;OFFSET(掉落_design!$E35,0,掉落_design!V$2+3,1,1))</f>
        <v/>
      </c>
      <c r="X35" s="16" t="str">
        <f ca="1">IF(OFFSET(掉落_design!$E35,0,掉落_design!W$2,1,1)="","",OFFSET(掉落_design!$E35,0,掉落_design!W$2,1,1)&amp;";"&amp;OFFSET(掉落_design!$E35,0,掉落_design!W$2+1,1,1)&amp;";"&amp;OFFSET(掉落_design!$E35,0,掉落_design!W$2+2,1,1)&amp;";"&amp;OFFSET(掉落_design!$E35,0,掉落_design!W$2+3,1,1))</f>
        <v/>
      </c>
      <c r="Y35" s="16" t="str">
        <f ca="1">IF(OFFSET(掉落_design!$E35,0,掉落_design!X$2,1,1)="","",OFFSET(掉落_design!$E35,0,掉落_design!X$2,1,1)&amp;";"&amp;OFFSET(掉落_design!$E35,0,掉落_design!X$2+1,1,1)&amp;";"&amp;OFFSET(掉落_design!$E35,0,掉落_design!X$2+2,1,1)&amp;";"&amp;OFFSET(掉落_design!$E35,0,掉落_design!X$2+3,1,1))</f>
        <v/>
      </c>
    </row>
    <row r="36" spans="1:25" x14ac:dyDescent="0.15">
      <c r="A36" s="11" t="str">
        <f t="shared" si="0"/>
        <v/>
      </c>
      <c r="B36" s="25"/>
      <c r="C36" s="25"/>
      <c r="D36" s="15" t="str">
        <f>IF(掉落_design!C36="","",掉落_design!C36)</f>
        <v/>
      </c>
      <c r="E36" s="15" t="str">
        <f>IF(A36="","",掉落_design!D36)</f>
        <v/>
      </c>
      <c r="F36" s="16" t="str">
        <f ca="1">IF(OFFSET(掉落_design!$E36,0,掉落_design!E$2,1,1)="","",OFFSET(掉落_design!$E36,0,掉落_design!E$2,1,1)&amp;";"&amp;OFFSET(掉落_design!$E36,0,掉落_design!E$2+1,1,1)&amp;";"&amp;OFFSET(掉落_design!$E36,0,掉落_design!E$2+2,1,1)&amp;";"&amp;OFFSET(掉落_design!$E36,0,掉落_design!E$2+3,1,1))</f>
        <v/>
      </c>
      <c r="G36" s="16" t="str">
        <f ca="1">IF(OFFSET(掉落_design!$E36,0,掉落_design!F$2,1,1)="","",OFFSET(掉落_design!$E36,0,掉落_design!F$2,1,1)&amp;";"&amp;OFFSET(掉落_design!$E36,0,掉落_design!F$2+1,1,1)&amp;";"&amp;OFFSET(掉落_design!$E36,0,掉落_design!F$2+2,1,1)&amp;";"&amp;OFFSET(掉落_design!$E36,0,掉落_design!F$2+3,1,1))</f>
        <v/>
      </c>
      <c r="H36" s="16" t="str">
        <f ca="1">IF(OFFSET(掉落_design!$E36,0,掉落_design!G$2,1,1)="","",OFFSET(掉落_design!$E36,0,掉落_design!G$2,1,1)&amp;";"&amp;OFFSET(掉落_design!$E36,0,掉落_design!G$2+1,1,1)&amp;";"&amp;OFFSET(掉落_design!$E36,0,掉落_design!G$2+2,1,1)&amp;";"&amp;OFFSET(掉落_design!$E36,0,掉落_design!G$2+3,1,1))</f>
        <v/>
      </c>
      <c r="I36" s="16" t="str">
        <f ca="1">IF(OFFSET(掉落_design!$E36,0,掉落_design!H$2,1,1)="","",OFFSET(掉落_design!$E36,0,掉落_design!H$2,1,1)&amp;";"&amp;OFFSET(掉落_design!$E36,0,掉落_design!H$2+1,1,1)&amp;";"&amp;OFFSET(掉落_design!$E36,0,掉落_design!H$2+2,1,1)&amp;";"&amp;OFFSET(掉落_design!$E36,0,掉落_design!H$2+3,1,1))</f>
        <v/>
      </c>
      <c r="J36" s="16" t="str">
        <f ca="1">IF(OFFSET(掉落_design!$E36,0,掉落_design!I$2,1,1)="","",OFFSET(掉落_design!$E36,0,掉落_design!I$2,1,1)&amp;";"&amp;OFFSET(掉落_design!$E36,0,掉落_design!I$2+1,1,1)&amp;";"&amp;OFFSET(掉落_design!$E36,0,掉落_design!I$2+2,1,1)&amp;";"&amp;OFFSET(掉落_design!$E36,0,掉落_design!I$2+3,1,1))</f>
        <v/>
      </c>
      <c r="K36" s="16" t="str">
        <f ca="1">IF(OFFSET(掉落_design!$E36,0,掉落_design!J$2,1,1)="","",OFFSET(掉落_design!$E36,0,掉落_design!J$2,1,1)&amp;";"&amp;OFFSET(掉落_design!$E36,0,掉落_design!J$2+1,1,1)&amp;";"&amp;OFFSET(掉落_design!$E36,0,掉落_design!J$2+2,1,1)&amp;";"&amp;OFFSET(掉落_design!$E36,0,掉落_design!J$2+3,1,1))</f>
        <v/>
      </c>
      <c r="L36" s="16" t="str">
        <f ca="1">IF(OFFSET(掉落_design!$E36,0,掉落_design!K$2,1,1)="","",OFFSET(掉落_design!$E36,0,掉落_design!K$2,1,1)&amp;";"&amp;OFFSET(掉落_design!$E36,0,掉落_design!K$2+1,1,1)&amp;";"&amp;OFFSET(掉落_design!$E36,0,掉落_design!K$2+2,1,1)&amp;";"&amp;OFFSET(掉落_design!$E36,0,掉落_design!K$2+3,1,1))</f>
        <v/>
      </c>
      <c r="M36" s="16" t="str">
        <f ca="1">IF(OFFSET(掉落_design!$E36,0,掉落_design!L$2,1,1)="","",OFFSET(掉落_design!$E36,0,掉落_design!L$2,1,1)&amp;";"&amp;OFFSET(掉落_design!$E36,0,掉落_design!L$2+1,1,1)&amp;";"&amp;OFFSET(掉落_design!$E36,0,掉落_design!L$2+2,1,1)&amp;";"&amp;OFFSET(掉落_design!$E36,0,掉落_design!L$2+3,1,1))</f>
        <v/>
      </c>
      <c r="N36" s="16" t="str">
        <f ca="1">IF(OFFSET(掉落_design!$E36,0,掉落_design!M$2,1,1)="","",OFFSET(掉落_design!$E36,0,掉落_design!M$2,1,1)&amp;";"&amp;OFFSET(掉落_design!$E36,0,掉落_design!M$2+1,1,1)&amp;";"&amp;OFFSET(掉落_design!$E36,0,掉落_design!M$2+2,1,1)&amp;";"&amp;OFFSET(掉落_design!$E36,0,掉落_design!M$2+3,1,1))</f>
        <v/>
      </c>
      <c r="O36" s="16" t="str">
        <f ca="1">IF(OFFSET(掉落_design!$E36,0,掉落_design!N$2,1,1)="","",OFFSET(掉落_design!$E36,0,掉落_design!N$2,1,1)&amp;";"&amp;OFFSET(掉落_design!$E36,0,掉落_design!N$2+1,1,1)&amp;";"&amp;OFFSET(掉落_design!$E36,0,掉落_design!N$2+2,1,1)&amp;";"&amp;OFFSET(掉落_design!$E36,0,掉落_design!N$2+3,1,1))</f>
        <v/>
      </c>
      <c r="P36" s="16" t="str">
        <f ca="1">IF(OFFSET(掉落_design!$E36,0,掉落_design!O$2,1,1)="","",OFFSET(掉落_design!$E36,0,掉落_design!O$2,1,1)&amp;";"&amp;OFFSET(掉落_design!$E36,0,掉落_design!O$2+1,1,1)&amp;";"&amp;OFFSET(掉落_design!$E36,0,掉落_design!O$2+2,1,1)&amp;";"&amp;OFFSET(掉落_design!$E36,0,掉落_design!O$2+3,1,1))</f>
        <v/>
      </c>
      <c r="Q36" s="16" t="str">
        <f ca="1">IF(OFFSET(掉落_design!$E36,0,掉落_design!P$2,1,1)="","",OFFSET(掉落_design!$E36,0,掉落_design!P$2,1,1)&amp;";"&amp;OFFSET(掉落_design!$E36,0,掉落_design!P$2+1,1,1)&amp;";"&amp;OFFSET(掉落_design!$E36,0,掉落_design!P$2+2,1,1)&amp;";"&amp;OFFSET(掉落_design!$E36,0,掉落_design!P$2+3,1,1))</f>
        <v/>
      </c>
      <c r="R36" s="16" t="str">
        <f ca="1">IF(OFFSET(掉落_design!$E36,0,掉落_design!Q$2,1,1)="","",OFFSET(掉落_design!$E36,0,掉落_design!Q$2,1,1)&amp;";"&amp;OFFSET(掉落_design!$E36,0,掉落_design!Q$2+1,1,1)&amp;";"&amp;OFFSET(掉落_design!$E36,0,掉落_design!Q$2+2,1,1)&amp;";"&amp;OFFSET(掉落_design!$E36,0,掉落_design!Q$2+3,1,1))</f>
        <v/>
      </c>
      <c r="S36" s="16" t="str">
        <f ca="1">IF(OFFSET(掉落_design!$E36,0,掉落_design!R$2,1,1)="","",OFFSET(掉落_design!$E36,0,掉落_design!R$2,1,1)&amp;";"&amp;OFFSET(掉落_design!$E36,0,掉落_design!R$2+1,1,1)&amp;";"&amp;OFFSET(掉落_design!$E36,0,掉落_design!R$2+2,1,1)&amp;";"&amp;OFFSET(掉落_design!$E36,0,掉落_design!R$2+3,1,1))</f>
        <v/>
      </c>
      <c r="T36" s="16" t="str">
        <f ca="1">IF(OFFSET(掉落_design!$E36,0,掉落_design!S$2,1,1)="","",OFFSET(掉落_design!$E36,0,掉落_design!S$2,1,1)&amp;";"&amp;OFFSET(掉落_design!$E36,0,掉落_design!S$2+1,1,1)&amp;";"&amp;OFFSET(掉落_design!$E36,0,掉落_design!S$2+2,1,1)&amp;";"&amp;OFFSET(掉落_design!$E36,0,掉落_design!S$2+3,1,1))</f>
        <v/>
      </c>
      <c r="U36" s="16" t="str">
        <f ca="1">IF(OFFSET(掉落_design!$E36,0,掉落_design!T$2,1,1)="","",OFFSET(掉落_design!$E36,0,掉落_design!T$2,1,1)&amp;";"&amp;OFFSET(掉落_design!$E36,0,掉落_design!T$2+1,1,1)&amp;";"&amp;OFFSET(掉落_design!$E36,0,掉落_design!T$2+2,1,1)&amp;";"&amp;OFFSET(掉落_design!$E36,0,掉落_design!T$2+3,1,1))</f>
        <v/>
      </c>
      <c r="V36" s="16" t="str">
        <f ca="1">IF(OFFSET(掉落_design!$E36,0,掉落_design!U$2,1,1)="","",OFFSET(掉落_design!$E36,0,掉落_design!U$2,1,1)&amp;";"&amp;OFFSET(掉落_design!$E36,0,掉落_design!U$2+1,1,1)&amp;";"&amp;OFFSET(掉落_design!$E36,0,掉落_design!U$2+2,1,1)&amp;";"&amp;OFFSET(掉落_design!$E36,0,掉落_design!U$2+3,1,1))</f>
        <v/>
      </c>
      <c r="W36" s="16" t="str">
        <f ca="1">IF(OFFSET(掉落_design!$E36,0,掉落_design!V$2,1,1)="","",OFFSET(掉落_design!$E36,0,掉落_design!V$2,1,1)&amp;";"&amp;OFFSET(掉落_design!$E36,0,掉落_design!V$2+1,1,1)&amp;";"&amp;OFFSET(掉落_design!$E36,0,掉落_design!V$2+2,1,1)&amp;";"&amp;OFFSET(掉落_design!$E36,0,掉落_design!V$2+3,1,1))</f>
        <v/>
      </c>
      <c r="X36" s="16" t="str">
        <f ca="1">IF(OFFSET(掉落_design!$E36,0,掉落_design!W$2,1,1)="","",OFFSET(掉落_design!$E36,0,掉落_design!W$2,1,1)&amp;";"&amp;OFFSET(掉落_design!$E36,0,掉落_design!W$2+1,1,1)&amp;";"&amp;OFFSET(掉落_design!$E36,0,掉落_design!W$2+2,1,1)&amp;";"&amp;OFFSET(掉落_design!$E36,0,掉落_design!W$2+3,1,1))</f>
        <v/>
      </c>
      <c r="Y36" s="16" t="str">
        <f ca="1">IF(OFFSET(掉落_design!$E36,0,掉落_design!X$2,1,1)="","",OFFSET(掉落_design!$E36,0,掉落_design!X$2,1,1)&amp;";"&amp;OFFSET(掉落_design!$E36,0,掉落_design!X$2+1,1,1)&amp;";"&amp;OFFSET(掉落_design!$E36,0,掉落_design!X$2+2,1,1)&amp;";"&amp;OFFSET(掉落_design!$E36,0,掉落_design!X$2+3,1,1))</f>
        <v/>
      </c>
    </row>
    <row r="37" spans="1:25" x14ac:dyDescent="0.15">
      <c r="A37" s="11" t="str">
        <f t="shared" si="0"/>
        <v>DATA</v>
      </c>
      <c r="B37" s="25"/>
      <c r="C37" s="25"/>
      <c r="D37" s="15">
        <f>IF(掉落_design!C37="","",掉落_design!C37)</f>
        <v>10700</v>
      </c>
      <c r="E37" s="15">
        <f>IF(A37="","",掉落_design!D37)</f>
        <v>1</v>
      </c>
      <c r="F37" s="16" t="str">
        <f ca="1">IF(OFFSET(掉落_design!$E37,0,掉落_design!E$2,1,1)="","",OFFSET(掉落_design!$E37,0,掉落_design!E$2,1,1)&amp;";"&amp;OFFSET(掉落_design!$E37,0,掉落_design!E$2+1,1,1)&amp;";"&amp;OFFSET(掉落_design!$E37,0,掉落_design!E$2+2,1,1)&amp;";"&amp;OFFSET(掉落_design!$E37,0,掉落_design!E$2+3,1,1))</f>
        <v>1001;80;100;1000</v>
      </c>
      <c r="G37" s="16" t="str">
        <f ca="1">IF(OFFSET(掉落_design!$E37,0,掉落_design!F$2,1,1)="","",OFFSET(掉落_design!$E37,0,掉落_design!F$2,1,1)&amp;";"&amp;OFFSET(掉落_design!$E37,0,掉落_design!F$2+1,1,1)&amp;";"&amp;OFFSET(掉落_design!$E37,0,掉落_design!F$2+2,1,1)&amp;";"&amp;OFFSET(掉落_design!$E37,0,掉落_design!F$2+3,1,1))</f>
        <v>1204;1;1;1000</v>
      </c>
      <c r="H37" s="16" t="str">
        <f ca="1">IF(OFFSET(掉落_design!$E37,0,掉落_design!G$2,1,1)="","",OFFSET(掉落_design!$E37,0,掉落_design!G$2,1,1)&amp;";"&amp;OFFSET(掉落_design!$E37,0,掉落_design!G$2+1,1,1)&amp;";"&amp;OFFSET(掉落_design!$E37,0,掉落_design!G$2+2,1,1)&amp;";"&amp;OFFSET(掉落_design!$E37,0,掉落_design!G$2+3,1,1))</f>
        <v/>
      </c>
      <c r="I37" s="16" t="str">
        <f ca="1">IF(OFFSET(掉落_design!$E37,0,掉落_design!H$2,1,1)="","",OFFSET(掉落_design!$E37,0,掉落_design!H$2,1,1)&amp;";"&amp;OFFSET(掉落_design!$E37,0,掉落_design!H$2+1,1,1)&amp;";"&amp;OFFSET(掉落_design!$E37,0,掉落_design!H$2+2,1,1)&amp;";"&amp;OFFSET(掉落_design!$E37,0,掉落_design!H$2+3,1,1))</f>
        <v/>
      </c>
      <c r="J37" s="16" t="str">
        <f ca="1">IF(OFFSET(掉落_design!$E37,0,掉落_design!I$2,1,1)="","",OFFSET(掉落_design!$E37,0,掉落_design!I$2,1,1)&amp;";"&amp;OFFSET(掉落_design!$E37,0,掉落_design!I$2+1,1,1)&amp;";"&amp;OFFSET(掉落_design!$E37,0,掉落_design!I$2+2,1,1)&amp;";"&amp;OFFSET(掉落_design!$E37,0,掉落_design!I$2+3,1,1))</f>
        <v/>
      </c>
      <c r="K37" s="16" t="str">
        <f ca="1">IF(OFFSET(掉落_design!$E37,0,掉落_design!J$2,1,1)="","",OFFSET(掉落_design!$E37,0,掉落_design!J$2,1,1)&amp;";"&amp;OFFSET(掉落_design!$E37,0,掉落_design!J$2+1,1,1)&amp;";"&amp;OFFSET(掉落_design!$E37,0,掉落_design!J$2+2,1,1)&amp;";"&amp;OFFSET(掉落_design!$E37,0,掉落_design!J$2+3,1,1))</f>
        <v/>
      </c>
      <c r="L37" s="16" t="str">
        <f ca="1">IF(OFFSET(掉落_design!$E37,0,掉落_design!K$2,1,1)="","",OFFSET(掉落_design!$E37,0,掉落_design!K$2,1,1)&amp;";"&amp;OFFSET(掉落_design!$E37,0,掉落_design!K$2+1,1,1)&amp;";"&amp;OFFSET(掉落_design!$E37,0,掉落_design!K$2+2,1,1)&amp;";"&amp;OFFSET(掉落_design!$E37,0,掉落_design!K$2+3,1,1))</f>
        <v/>
      </c>
      <c r="M37" s="16" t="str">
        <f ca="1">IF(OFFSET(掉落_design!$E37,0,掉落_design!L$2,1,1)="","",OFFSET(掉落_design!$E37,0,掉落_design!L$2,1,1)&amp;";"&amp;OFFSET(掉落_design!$E37,0,掉落_design!L$2+1,1,1)&amp;";"&amp;OFFSET(掉落_design!$E37,0,掉落_design!L$2+2,1,1)&amp;";"&amp;OFFSET(掉落_design!$E37,0,掉落_design!L$2+3,1,1))</f>
        <v/>
      </c>
      <c r="N37" s="16" t="str">
        <f ca="1">IF(OFFSET(掉落_design!$E37,0,掉落_design!M$2,1,1)="","",OFFSET(掉落_design!$E37,0,掉落_design!M$2,1,1)&amp;";"&amp;OFFSET(掉落_design!$E37,0,掉落_design!M$2+1,1,1)&amp;";"&amp;OFFSET(掉落_design!$E37,0,掉落_design!M$2+2,1,1)&amp;";"&amp;OFFSET(掉落_design!$E37,0,掉落_design!M$2+3,1,1))</f>
        <v/>
      </c>
      <c r="O37" s="16" t="str">
        <f ca="1">IF(OFFSET(掉落_design!$E37,0,掉落_design!N$2,1,1)="","",OFFSET(掉落_design!$E37,0,掉落_design!N$2,1,1)&amp;";"&amp;OFFSET(掉落_design!$E37,0,掉落_design!N$2+1,1,1)&amp;";"&amp;OFFSET(掉落_design!$E37,0,掉落_design!N$2+2,1,1)&amp;";"&amp;OFFSET(掉落_design!$E37,0,掉落_design!N$2+3,1,1))</f>
        <v/>
      </c>
      <c r="P37" s="16" t="str">
        <f ca="1">IF(OFFSET(掉落_design!$E37,0,掉落_design!O$2,1,1)="","",OFFSET(掉落_design!$E37,0,掉落_design!O$2,1,1)&amp;";"&amp;OFFSET(掉落_design!$E37,0,掉落_design!O$2+1,1,1)&amp;";"&amp;OFFSET(掉落_design!$E37,0,掉落_design!O$2+2,1,1)&amp;";"&amp;OFFSET(掉落_design!$E37,0,掉落_design!O$2+3,1,1))</f>
        <v/>
      </c>
      <c r="Q37" s="16" t="str">
        <f ca="1">IF(OFFSET(掉落_design!$E37,0,掉落_design!P$2,1,1)="","",OFFSET(掉落_design!$E37,0,掉落_design!P$2,1,1)&amp;";"&amp;OFFSET(掉落_design!$E37,0,掉落_design!P$2+1,1,1)&amp;";"&amp;OFFSET(掉落_design!$E37,0,掉落_design!P$2+2,1,1)&amp;";"&amp;OFFSET(掉落_design!$E37,0,掉落_design!P$2+3,1,1))</f>
        <v/>
      </c>
      <c r="R37" s="16" t="str">
        <f ca="1">IF(OFFSET(掉落_design!$E37,0,掉落_design!Q$2,1,1)="","",OFFSET(掉落_design!$E37,0,掉落_design!Q$2,1,1)&amp;";"&amp;OFFSET(掉落_design!$E37,0,掉落_design!Q$2+1,1,1)&amp;";"&amp;OFFSET(掉落_design!$E37,0,掉落_design!Q$2+2,1,1)&amp;";"&amp;OFFSET(掉落_design!$E37,0,掉落_design!Q$2+3,1,1))</f>
        <v/>
      </c>
      <c r="S37" s="16" t="str">
        <f ca="1">IF(OFFSET(掉落_design!$E37,0,掉落_design!R$2,1,1)="","",OFFSET(掉落_design!$E37,0,掉落_design!R$2,1,1)&amp;";"&amp;OFFSET(掉落_design!$E37,0,掉落_design!R$2+1,1,1)&amp;";"&amp;OFFSET(掉落_design!$E37,0,掉落_design!R$2+2,1,1)&amp;";"&amp;OFFSET(掉落_design!$E37,0,掉落_design!R$2+3,1,1))</f>
        <v/>
      </c>
      <c r="T37" s="16" t="str">
        <f ca="1">IF(OFFSET(掉落_design!$E37,0,掉落_design!S$2,1,1)="","",OFFSET(掉落_design!$E37,0,掉落_design!S$2,1,1)&amp;";"&amp;OFFSET(掉落_design!$E37,0,掉落_design!S$2+1,1,1)&amp;";"&amp;OFFSET(掉落_design!$E37,0,掉落_design!S$2+2,1,1)&amp;";"&amp;OFFSET(掉落_design!$E37,0,掉落_design!S$2+3,1,1))</f>
        <v/>
      </c>
      <c r="U37" s="16" t="str">
        <f ca="1">IF(OFFSET(掉落_design!$E37,0,掉落_design!T$2,1,1)="","",OFFSET(掉落_design!$E37,0,掉落_design!T$2,1,1)&amp;";"&amp;OFFSET(掉落_design!$E37,0,掉落_design!T$2+1,1,1)&amp;";"&amp;OFFSET(掉落_design!$E37,0,掉落_design!T$2+2,1,1)&amp;";"&amp;OFFSET(掉落_design!$E37,0,掉落_design!T$2+3,1,1))</f>
        <v/>
      </c>
      <c r="V37" s="16" t="str">
        <f ca="1">IF(OFFSET(掉落_design!$E37,0,掉落_design!U$2,1,1)="","",OFFSET(掉落_design!$E37,0,掉落_design!U$2,1,1)&amp;";"&amp;OFFSET(掉落_design!$E37,0,掉落_design!U$2+1,1,1)&amp;";"&amp;OFFSET(掉落_design!$E37,0,掉落_design!U$2+2,1,1)&amp;";"&amp;OFFSET(掉落_design!$E37,0,掉落_design!U$2+3,1,1))</f>
        <v/>
      </c>
      <c r="W37" s="16" t="str">
        <f ca="1">IF(OFFSET(掉落_design!$E37,0,掉落_design!V$2,1,1)="","",OFFSET(掉落_design!$E37,0,掉落_design!V$2,1,1)&amp;";"&amp;OFFSET(掉落_design!$E37,0,掉落_design!V$2+1,1,1)&amp;";"&amp;OFFSET(掉落_design!$E37,0,掉落_design!V$2+2,1,1)&amp;";"&amp;OFFSET(掉落_design!$E37,0,掉落_design!V$2+3,1,1))</f>
        <v/>
      </c>
      <c r="X37" s="16" t="str">
        <f ca="1">IF(OFFSET(掉落_design!$E37,0,掉落_design!W$2,1,1)="","",OFFSET(掉落_design!$E37,0,掉落_design!W$2,1,1)&amp;";"&amp;OFFSET(掉落_design!$E37,0,掉落_design!W$2+1,1,1)&amp;";"&amp;OFFSET(掉落_design!$E37,0,掉落_design!W$2+2,1,1)&amp;";"&amp;OFFSET(掉落_design!$E37,0,掉落_design!W$2+3,1,1))</f>
        <v/>
      </c>
      <c r="Y37" s="16" t="str">
        <f ca="1">IF(OFFSET(掉落_design!$E37,0,掉落_design!X$2,1,1)="","",OFFSET(掉落_design!$E37,0,掉落_design!X$2,1,1)&amp;";"&amp;OFFSET(掉落_design!$E37,0,掉落_design!X$2+1,1,1)&amp;";"&amp;OFFSET(掉落_design!$E37,0,掉落_design!X$2+2,1,1)&amp;";"&amp;OFFSET(掉落_design!$E37,0,掉落_design!X$2+3,1,1))</f>
        <v/>
      </c>
    </row>
    <row r="38" spans="1:25" x14ac:dyDescent="0.15">
      <c r="A38" s="11" t="str">
        <f t="shared" si="0"/>
        <v>DATA</v>
      </c>
      <c r="B38" s="25"/>
      <c r="C38" s="25"/>
      <c r="D38" s="15">
        <f>IF(掉落_design!C38="","",掉落_design!C38)</f>
        <v>10701</v>
      </c>
      <c r="E38" s="15">
        <f>IF(A38="","",掉落_design!D38)</f>
        <v>2</v>
      </c>
      <c r="F38" s="16" t="str">
        <f ca="1">IF(OFFSET(掉落_design!$E38,0,掉落_design!E$2,1,1)="","",OFFSET(掉落_design!$E38,0,掉落_design!E$2,1,1)&amp;";"&amp;OFFSET(掉落_design!$E38,0,掉落_design!E$2+1,1,1)&amp;";"&amp;OFFSET(掉落_design!$E38,0,掉落_design!E$2+2,1,1)&amp;";"&amp;OFFSET(掉落_design!$E38,0,掉落_design!E$2+3,1,1))</f>
        <v>20131;1;1;1</v>
      </c>
      <c r="G38" s="16" t="str">
        <f ca="1">IF(OFFSET(掉落_design!$E38,0,掉落_design!F$2,1,1)="","",OFFSET(掉落_design!$E38,0,掉落_design!F$2,1,1)&amp;";"&amp;OFFSET(掉落_design!$E38,0,掉落_design!F$2+1,1,1)&amp;";"&amp;OFFSET(掉落_design!$E38,0,掉落_design!F$2+2,1,1)&amp;";"&amp;OFFSET(掉落_design!$E38,0,掉落_design!F$2+3,1,1))</f>
        <v>20231;1;1;1</v>
      </c>
      <c r="H38" s="16" t="str">
        <f ca="1">IF(OFFSET(掉落_design!$E38,0,掉落_design!G$2,1,1)="","",OFFSET(掉落_design!$E38,0,掉落_design!G$2,1,1)&amp;";"&amp;OFFSET(掉落_design!$E38,0,掉落_design!G$2+1,1,1)&amp;";"&amp;OFFSET(掉落_design!$E38,0,掉落_design!G$2+2,1,1)&amp;";"&amp;OFFSET(掉落_design!$E38,0,掉落_design!G$2+3,1,1))</f>
        <v>20232;1;1;1</v>
      </c>
      <c r="I38" s="16" t="str">
        <f ca="1">IF(OFFSET(掉落_design!$E38,0,掉落_design!H$2,1,1)="","",OFFSET(掉落_design!$E38,0,掉落_design!H$2,1,1)&amp;";"&amp;OFFSET(掉落_design!$E38,0,掉落_design!H$2+1,1,1)&amp;";"&amp;OFFSET(掉落_design!$E38,0,掉落_design!H$2+2,1,1)&amp;";"&amp;OFFSET(掉落_design!$E38,0,掉落_design!H$2+3,1,1))</f>
        <v>20232;1;1;1</v>
      </c>
      <c r="J38" s="16" t="str">
        <f ca="1">IF(OFFSET(掉落_design!$E38,0,掉落_design!I$2,1,1)="","",OFFSET(掉落_design!$E38,0,掉落_design!I$2,1,1)&amp;";"&amp;OFFSET(掉落_design!$E38,0,掉落_design!I$2+1,1,1)&amp;";"&amp;OFFSET(掉落_design!$E38,0,掉落_design!I$2+2,1,1)&amp;";"&amp;OFFSET(掉落_design!$E38,0,掉落_design!I$2+3,1,1))</f>
        <v>20232;1;1;1</v>
      </c>
      <c r="K38" s="16" t="str">
        <f ca="1">IF(OFFSET(掉落_design!$E38,0,掉落_design!J$2,1,1)="","",OFFSET(掉落_design!$E38,0,掉落_design!J$2,1,1)&amp;";"&amp;OFFSET(掉落_design!$E38,0,掉落_design!J$2+1,1,1)&amp;";"&amp;OFFSET(掉落_design!$E38,0,掉落_design!J$2+2,1,1)&amp;";"&amp;OFFSET(掉落_design!$E38,0,掉落_design!J$2+3,1,1))</f>
        <v>20131;1;1;1</v>
      </c>
      <c r="L38" s="16" t="str">
        <f ca="1">IF(OFFSET(掉落_design!$E38,0,掉落_design!K$2,1,1)="","",OFFSET(掉落_design!$E38,0,掉落_design!K$2,1,1)&amp;";"&amp;OFFSET(掉落_design!$E38,0,掉落_design!K$2+1,1,1)&amp;";"&amp;OFFSET(掉落_design!$E38,0,掉落_design!K$2+2,1,1)&amp;";"&amp;OFFSET(掉落_design!$E38,0,掉落_design!K$2+3,1,1))</f>
        <v>20131;1;1;1</v>
      </c>
      <c r="M38" s="16" t="str">
        <f ca="1">IF(OFFSET(掉落_design!$E38,0,掉落_design!L$2,1,1)="","",OFFSET(掉落_design!$E38,0,掉落_design!L$2,1,1)&amp;";"&amp;OFFSET(掉落_design!$E38,0,掉落_design!L$2+1,1,1)&amp;";"&amp;OFFSET(掉落_design!$E38,0,掉落_design!L$2+2,1,1)&amp;";"&amp;OFFSET(掉落_design!$E38,0,掉落_design!L$2+3,1,1))</f>
        <v>20132;1;1;1</v>
      </c>
      <c r="N38" s="16" t="str">
        <f ca="1">IF(OFFSET(掉落_design!$E38,0,掉落_design!M$2,1,1)="","",OFFSET(掉落_design!$E38,0,掉落_design!M$2,1,1)&amp;";"&amp;OFFSET(掉落_design!$E38,0,掉落_design!M$2+1,1,1)&amp;";"&amp;OFFSET(掉落_design!$E38,0,掉落_design!M$2+2,1,1)&amp;";"&amp;OFFSET(掉落_design!$E38,0,掉落_design!M$2+3,1,1))</f>
        <v>20232;1;1;1</v>
      </c>
      <c r="O38" s="16" t="str">
        <f ca="1">IF(OFFSET(掉落_design!$E38,0,掉落_design!N$2,1,1)="","",OFFSET(掉落_design!$E38,0,掉落_design!N$2,1,1)&amp;";"&amp;OFFSET(掉落_design!$E38,0,掉落_design!N$2+1,1,1)&amp;";"&amp;OFFSET(掉落_design!$E38,0,掉落_design!N$2+2,1,1)&amp;";"&amp;OFFSET(掉落_design!$E38,0,掉落_design!N$2+3,1,1))</f>
        <v>20232;1;1;1</v>
      </c>
      <c r="P38" s="16" t="str">
        <f ca="1">IF(OFFSET(掉落_design!$E38,0,掉落_design!O$2,1,1)="","",OFFSET(掉落_design!$E38,0,掉落_design!O$2,1,1)&amp;";"&amp;OFFSET(掉落_design!$E38,0,掉落_design!O$2+1,1,1)&amp;";"&amp;OFFSET(掉落_design!$E38,0,掉落_design!O$2+2,1,1)&amp;";"&amp;OFFSET(掉落_design!$E38,0,掉落_design!O$2+3,1,1))</f>
        <v>1001;350;400;10</v>
      </c>
      <c r="Q38" s="16" t="str">
        <f ca="1">IF(OFFSET(掉落_design!$E38,0,掉落_design!P$2,1,1)="","",OFFSET(掉落_design!$E38,0,掉落_design!P$2,1,1)&amp;";"&amp;OFFSET(掉落_design!$E38,0,掉落_design!P$2+1,1,1)&amp;";"&amp;OFFSET(掉落_design!$E38,0,掉落_design!P$2+2,1,1)&amp;";"&amp;OFFSET(掉落_design!$E38,0,掉落_design!P$2+3,1,1))</f>
        <v/>
      </c>
      <c r="R38" s="16" t="str">
        <f ca="1">IF(OFFSET(掉落_design!$E38,0,掉落_design!Q$2,1,1)="","",OFFSET(掉落_design!$E38,0,掉落_design!Q$2,1,1)&amp;";"&amp;OFFSET(掉落_design!$E38,0,掉落_design!Q$2+1,1,1)&amp;";"&amp;OFFSET(掉落_design!$E38,0,掉落_design!Q$2+2,1,1)&amp;";"&amp;OFFSET(掉落_design!$E38,0,掉落_design!Q$2+3,1,1))</f>
        <v/>
      </c>
      <c r="S38" s="16" t="str">
        <f ca="1">IF(OFFSET(掉落_design!$E38,0,掉落_design!R$2,1,1)="","",OFFSET(掉落_design!$E38,0,掉落_design!R$2,1,1)&amp;";"&amp;OFFSET(掉落_design!$E38,0,掉落_design!R$2+1,1,1)&amp;";"&amp;OFFSET(掉落_design!$E38,0,掉落_design!R$2+2,1,1)&amp;";"&amp;OFFSET(掉落_design!$E38,0,掉落_design!R$2+3,1,1))</f>
        <v/>
      </c>
      <c r="T38" s="16" t="str">
        <f ca="1">IF(OFFSET(掉落_design!$E38,0,掉落_design!S$2,1,1)="","",OFFSET(掉落_design!$E38,0,掉落_design!S$2,1,1)&amp;";"&amp;OFFSET(掉落_design!$E38,0,掉落_design!S$2+1,1,1)&amp;";"&amp;OFFSET(掉落_design!$E38,0,掉落_design!S$2+2,1,1)&amp;";"&amp;OFFSET(掉落_design!$E38,0,掉落_design!S$2+3,1,1))</f>
        <v/>
      </c>
      <c r="U38" s="16" t="str">
        <f ca="1">IF(OFFSET(掉落_design!$E38,0,掉落_design!T$2,1,1)="","",OFFSET(掉落_design!$E38,0,掉落_design!T$2,1,1)&amp;";"&amp;OFFSET(掉落_design!$E38,0,掉落_design!T$2+1,1,1)&amp;";"&amp;OFFSET(掉落_design!$E38,0,掉落_design!T$2+2,1,1)&amp;";"&amp;OFFSET(掉落_design!$E38,0,掉落_design!T$2+3,1,1))</f>
        <v/>
      </c>
      <c r="V38" s="16" t="str">
        <f ca="1">IF(OFFSET(掉落_design!$E38,0,掉落_design!U$2,1,1)="","",OFFSET(掉落_design!$E38,0,掉落_design!U$2,1,1)&amp;";"&amp;OFFSET(掉落_design!$E38,0,掉落_design!U$2+1,1,1)&amp;";"&amp;OFFSET(掉落_design!$E38,0,掉落_design!U$2+2,1,1)&amp;";"&amp;OFFSET(掉落_design!$E38,0,掉落_design!U$2+3,1,1))</f>
        <v/>
      </c>
      <c r="W38" s="16" t="str">
        <f ca="1">IF(OFFSET(掉落_design!$E38,0,掉落_design!V$2,1,1)="","",OFFSET(掉落_design!$E38,0,掉落_design!V$2,1,1)&amp;";"&amp;OFFSET(掉落_design!$E38,0,掉落_design!V$2+1,1,1)&amp;";"&amp;OFFSET(掉落_design!$E38,0,掉落_design!V$2+2,1,1)&amp;";"&amp;OFFSET(掉落_design!$E38,0,掉落_design!V$2+3,1,1))</f>
        <v/>
      </c>
      <c r="X38" s="16" t="str">
        <f ca="1">IF(OFFSET(掉落_design!$E38,0,掉落_design!W$2,1,1)="","",OFFSET(掉落_design!$E38,0,掉落_design!W$2,1,1)&amp;";"&amp;OFFSET(掉落_design!$E38,0,掉落_design!W$2+1,1,1)&amp;";"&amp;OFFSET(掉落_design!$E38,0,掉落_design!W$2+2,1,1)&amp;";"&amp;OFFSET(掉落_design!$E38,0,掉落_design!W$2+3,1,1))</f>
        <v/>
      </c>
      <c r="Y38" s="16" t="str">
        <f ca="1">IF(OFFSET(掉落_design!$E38,0,掉落_design!X$2,1,1)="","",OFFSET(掉落_design!$E38,0,掉落_design!X$2,1,1)&amp;";"&amp;OFFSET(掉落_design!$E38,0,掉落_design!X$2+1,1,1)&amp;";"&amp;OFFSET(掉落_design!$E38,0,掉落_design!X$2+2,1,1)&amp;";"&amp;OFFSET(掉落_design!$E38,0,掉落_design!X$2+3,1,1))</f>
        <v/>
      </c>
    </row>
    <row r="39" spans="1:25" x14ac:dyDescent="0.15">
      <c r="A39" s="11" t="str">
        <f t="shared" si="0"/>
        <v/>
      </c>
      <c r="B39" s="25"/>
      <c r="C39" s="25"/>
      <c r="D39" s="15" t="str">
        <f>IF(掉落_design!C39="","",掉落_design!C39)</f>
        <v/>
      </c>
      <c r="E39" s="15" t="str">
        <f>IF(A39="","",掉落_design!D39)</f>
        <v/>
      </c>
      <c r="F39" s="16" t="str">
        <f ca="1">IF(OFFSET(掉落_design!$E39,0,掉落_design!E$2,1,1)="","",OFFSET(掉落_design!$E39,0,掉落_design!E$2,1,1)&amp;";"&amp;OFFSET(掉落_design!$E39,0,掉落_design!E$2+1,1,1)&amp;";"&amp;OFFSET(掉落_design!$E39,0,掉落_design!E$2+2,1,1)&amp;";"&amp;OFFSET(掉落_design!$E39,0,掉落_design!E$2+3,1,1))</f>
        <v/>
      </c>
      <c r="G39" s="16" t="str">
        <f ca="1">IF(OFFSET(掉落_design!$E39,0,掉落_design!F$2,1,1)="","",OFFSET(掉落_design!$E39,0,掉落_design!F$2,1,1)&amp;";"&amp;OFFSET(掉落_design!$E39,0,掉落_design!F$2+1,1,1)&amp;";"&amp;OFFSET(掉落_design!$E39,0,掉落_design!F$2+2,1,1)&amp;";"&amp;OFFSET(掉落_design!$E39,0,掉落_design!F$2+3,1,1))</f>
        <v/>
      </c>
      <c r="H39" s="16" t="str">
        <f ca="1">IF(OFFSET(掉落_design!$E39,0,掉落_design!G$2,1,1)="","",OFFSET(掉落_design!$E39,0,掉落_design!G$2,1,1)&amp;";"&amp;OFFSET(掉落_design!$E39,0,掉落_design!G$2+1,1,1)&amp;";"&amp;OFFSET(掉落_design!$E39,0,掉落_design!G$2+2,1,1)&amp;";"&amp;OFFSET(掉落_design!$E39,0,掉落_design!G$2+3,1,1))</f>
        <v/>
      </c>
      <c r="I39" s="16" t="str">
        <f ca="1">IF(OFFSET(掉落_design!$E39,0,掉落_design!H$2,1,1)="","",OFFSET(掉落_design!$E39,0,掉落_design!H$2,1,1)&amp;";"&amp;OFFSET(掉落_design!$E39,0,掉落_design!H$2+1,1,1)&amp;";"&amp;OFFSET(掉落_design!$E39,0,掉落_design!H$2+2,1,1)&amp;";"&amp;OFFSET(掉落_design!$E39,0,掉落_design!H$2+3,1,1))</f>
        <v/>
      </c>
      <c r="J39" s="16" t="str">
        <f ca="1">IF(OFFSET(掉落_design!$E39,0,掉落_design!I$2,1,1)="","",OFFSET(掉落_design!$E39,0,掉落_design!I$2,1,1)&amp;";"&amp;OFFSET(掉落_design!$E39,0,掉落_design!I$2+1,1,1)&amp;";"&amp;OFFSET(掉落_design!$E39,0,掉落_design!I$2+2,1,1)&amp;";"&amp;OFFSET(掉落_design!$E39,0,掉落_design!I$2+3,1,1))</f>
        <v/>
      </c>
      <c r="K39" s="16" t="str">
        <f ca="1">IF(OFFSET(掉落_design!$E39,0,掉落_design!J$2,1,1)="","",OFFSET(掉落_design!$E39,0,掉落_design!J$2,1,1)&amp;";"&amp;OFFSET(掉落_design!$E39,0,掉落_design!J$2+1,1,1)&amp;";"&amp;OFFSET(掉落_design!$E39,0,掉落_design!J$2+2,1,1)&amp;";"&amp;OFFSET(掉落_design!$E39,0,掉落_design!J$2+3,1,1))</f>
        <v/>
      </c>
      <c r="L39" s="16" t="str">
        <f ca="1">IF(OFFSET(掉落_design!$E39,0,掉落_design!K$2,1,1)="","",OFFSET(掉落_design!$E39,0,掉落_design!K$2,1,1)&amp;";"&amp;OFFSET(掉落_design!$E39,0,掉落_design!K$2+1,1,1)&amp;";"&amp;OFFSET(掉落_design!$E39,0,掉落_design!K$2+2,1,1)&amp;";"&amp;OFFSET(掉落_design!$E39,0,掉落_design!K$2+3,1,1))</f>
        <v/>
      </c>
      <c r="M39" s="16" t="str">
        <f ca="1">IF(OFFSET(掉落_design!$E39,0,掉落_design!L$2,1,1)="","",OFFSET(掉落_design!$E39,0,掉落_design!L$2,1,1)&amp;";"&amp;OFFSET(掉落_design!$E39,0,掉落_design!L$2+1,1,1)&amp;";"&amp;OFFSET(掉落_design!$E39,0,掉落_design!L$2+2,1,1)&amp;";"&amp;OFFSET(掉落_design!$E39,0,掉落_design!L$2+3,1,1))</f>
        <v/>
      </c>
      <c r="N39" s="16" t="str">
        <f ca="1">IF(OFFSET(掉落_design!$E39,0,掉落_design!M$2,1,1)="","",OFFSET(掉落_design!$E39,0,掉落_design!M$2,1,1)&amp;";"&amp;OFFSET(掉落_design!$E39,0,掉落_design!M$2+1,1,1)&amp;";"&amp;OFFSET(掉落_design!$E39,0,掉落_design!M$2+2,1,1)&amp;";"&amp;OFFSET(掉落_design!$E39,0,掉落_design!M$2+3,1,1))</f>
        <v/>
      </c>
      <c r="O39" s="16" t="str">
        <f ca="1">IF(OFFSET(掉落_design!$E39,0,掉落_design!N$2,1,1)="","",OFFSET(掉落_design!$E39,0,掉落_design!N$2,1,1)&amp;";"&amp;OFFSET(掉落_design!$E39,0,掉落_design!N$2+1,1,1)&amp;";"&amp;OFFSET(掉落_design!$E39,0,掉落_design!N$2+2,1,1)&amp;";"&amp;OFFSET(掉落_design!$E39,0,掉落_design!N$2+3,1,1))</f>
        <v/>
      </c>
      <c r="P39" s="16" t="str">
        <f ca="1">IF(OFFSET(掉落_design!$E39,0,掉落_design!O$2,1,1)="","",OFFSET(掉落_design!$E39,0,掉落_design!O$2,1,1)&amp;";"&amp;OFFSET(掉落_design!$E39,0,掉落_design!O$2+1,1,1)&amp;";"&amp;OFFSET(掉落_design!$E39,0,掉落_design!O$2+2,1,1)&amp;";"&amp;OFFSET(掉落_design!$E39,0,掉落_design!O$2+3,1,1))</f>
        <v/>
      </c>
      <c r="Q39" s="16" t="str">
        <f ca="1">IF(OFFSET(掉落_design!$E39,0,掉落_design!P$2,1,1)="","",OFFSET(掉落_design!$E39,0,掉落_design!P$2,1,1)&amp;";"&amp;OFFSET(掉落_design!$E39,0,掉落_design!P$2+1,1,1)&amp;";"&amp;OFFSET(掉落_design!$E39,0,掉落_design!P$2+2,1,1)&amp;";"&amp;OFFSET(掉落_design!$E39,0,掉落_design!P$2+3,1,1))</f>
        <v/>
      </c>
      <c r="R39" s="16" t="str">
        <f ca="1">IF(OFFSET(掉落_design!$E39,0,掉落_design!Q$2,1,1)="","",OFFSET(掉落_design!$E39,0,掉落_design!Q$2,1,1)&amp;";"&amp;OFFSET(掉落_design!$E39,0,掉落_design!Q$2+1,1,1)&amp;";"&amp;OFFSET(掉落_design!$E39,0,掉落_design!Q$2+2,1,1)&amp;";"&amp;OFFSET(掉落_design!$E39,0,掉落_design!Q$2+3,1,1))</f>
        <v/>
      </c>
      <c r="S39" s="16" t="str">
        <f ca="1">IF(OFFSET(掉落_design!$E39,0,掉落_design!R$2,1,1)="","",OFFSET(掉落_design!$E39,0,掉落_design!R$2,1,1)&amp;";"&amp;OFFSET(掉落_design!$E39,0,掉落_design!R$2+1,1,1)&amp;";"&amp;OFFSET(掉落_design!$E39,0,掉落_design!R$2+2,1,1)&amp;";"&amp;OFFSET(掉落_design!$E39,0,掉落_design!R$2+3,1,1))</f>
        <v/>
      </c>
      <c r="T39" s="16" t="str">
        <f ca="1">IF(OFFSET(掉落_design!$E39,0,掉落_design!S$2,1,1)="","",OFFSET(掉落_design!$E39,0,掉落_design!S$2,1,1)&amp;";"&amp;OFFSET(掉落_design!$E39,0,掉落_design!S$2+1,1,1)&amp;";"&amp;OFFSET(掉落_design!$E39,0,掉落_design!S$2+2,1,1)&amp;";"&amp;OFFSET(掉落_design!$E39,0,掉落_design!S$2+3,1,1))</f>
        <v/>
      </c>
      <c r="U39" s="16" t="str">
        <f ca="1">IF(OFFSET(掉落_design!$E39,0,掉落_design!T$2,1,1)="","",OFFSET(掉落_design!$E39,0,掉落_design!T$2,1,1)&amp;";"&amp;OFFSET(掉落_design!$E39,0,掉落_design!T$2+1,1,1)&amp;";"&amp;OFFSET(掉落_design!$E39,0,掉落_design!T$2+2,1,1)&amp;";"&amp;OFFSET(掉落_design!$E39,0,掉落_design!T$2+3,1,1))</f>
        <v/>
      </c>
      <c r="V39" s="16" t="str">
        <f ca="1">IF(OFFSET(掉落_design!$E39,0,掉落_design!U$2,1,1)="","",OFFSET(掉落_design!$E39,0,掉落_design!U$2,1,1)&amp;";"&amp;OFFSET(掉落_design!$E39,0,掉落_design!U$2+1,1,1)&amp;";"&amp;OFFSET(掉落_design!$E39,0,掉落_design!U$2+2,1,1)&amp;";"&amp;OFFSET(掉落_design!$E39,0,掉落_design!U$2+3,1,1))</f>
        <v/>
      </c>
      <c r="W39" s="16" t="str">
        <f ca="1">IF(OFFSET(掉落_design!$E39,0,掉落_design!V$2,1,1)="","",OFFSET(掉落_design!$E39,0,掉落_design!V$2,1,1)&amp;";"&amp;OFFSET(掉落_design!$E39,0,掉落_design!V$2+1,1,1)&amp;";"&amp;OFFSET(掉落_design!$E39,0,掉落_design!V$2+2,1,1)&amp;";"&amp;OFFSET(掉落_design!$E39,0,掉落_design!V$2+3,1,1))</f>
        <v/>
      </c>
      <c r="X39" s="16" t="str">
        <f ca="1">IF(OFFSET(掉落_design!$E39,0,掉落_design!W$2,1,1)="","",OFFSET(掉落_design!$E39,0,掉落_design!W$2,1,1)&amp;";"&amp;OFFSET(掉落_design!$E39,0,掉落_design!W$2+1,1,1)&amp;";"&amp;OFFSET(掉落_design!$E39,0,掉落_design!W$2+2,1,1)&amp;";"&amp;OFFSET(掉落_design!$E39,0,掉落_design!W$2+3,1,1))</f>
        <v/>
      </c>
      <c r="Y39" s="16" t="str">
        <f ca="1">IF(OFFSET(掉落_design!$E39,0,掉落_design!X$2,1,1)="","",OFFSET(掉落_design!$E39,0,掉落_design!X$2,1,1)&amp;";"&amp;OFFSET(掉落_design!$E39,0,掉落_design!X$2+1,1,1)&amp;";"&amp;OFFSET(掉落_design!$E39,0,掉落_design!X$2+2,1,1)&amp;";"&amp;OFFSET(掉落_design!$E39,0,掉落_design!X$2+3,1,1))</f>
        <v/>
      </c>
    </row>
    <row r="40" spans="1:25" x14ac:dyDescent="0.15">
      <c r="A40" s="11" t="str">
        <f t="shared" si="0"/>
        <v>DATA</v>
      </c>
      <c r="B40" s="25"/>
      <c r="C40" s="25"/>
      <c r="D40" s="15">
        <f>IF(掉落_design!C40="","",掉落_design!C40)</f>
        <v>10800</v>
      </c>
      <c r="E40" s="15">
        <f>IF(A40="","",掉落_design!D40)</f>
        <v>1</v>
      </c>
      <c r="F40" s="16" t="str">
        <f ca="1">IF(OFFSET(掉落_design!$E40,0,掉落_design!E$2,1,1)="","",OFFSET(掉落_design!$E40,0,掉落_design!E$2,1,1)&amp;";"&amp;OFFSET(掉落_design!$E40,0,掉落_design!E$2+1,1,1)&amp;";"&amp;OFFSET(掉落_design!$E40,0,掉落_design!E$2+2,1,1)&amp;";"&amp;OFFSET(掉落_design!$E40,0,掉落_design!E$2+3,1,1))</f>
        <v>1001;80;100;1000</v>
      </c>
      <c r="G40" s="16" t="str">
        <f ca="1">IF(OFFSET(掉落_design!$E40,0,掉落_design!F$2,1,1)="","",OFFSET(掉落_design!$E40,0,掉落_design!F$2,1,1)&amp;";"&amp;OFFSET(掉落_design!$E40,0,掉落_design!F$2+1,1,1)&amp;";"&amp;OFFSET(掉落_design!$E40,0,掉落_design!F$2+2,1,1)&amp;";"&amp;OFFSET(掉落_design!$E40,0,掉落_design!F$2+3,1,1))</f>
        <v>1204;1;1;1000</v>
      </c>
      <c r="H40" s="16" t="str">
        <f ca="1">IF(OFFSET(掉落_design!$E40,0,掉落_design!G$2,1,1)="","",OFFSET(掉落_design!$E40,0,掉落_design!G$2,1,1)&amp;";"&amp;OFFSET(掉落_design!$E40,0,掉落_design!G$2+1,1,1)&amp;";"&amp;OFFSET(掉落_design!$E40,0,掉落_design!G$2+2,1,1)&amp;";"&amp;OFFSET(掉落_design!$E40,0,掉落_design!G$2+3,1,1))</f>
        <v/>
      </c>
      <c r="I40" s="16" t="str">
        <f ca="1">IF(OFFSET(掉落_design!$E40,0,掉落_design!H$2,1,1)="","",OFFSET(掉落_design!$E40,0,掉落_design!H$2,1,1)&amp;";"&amp;OFFSET(掉落_design!$E40,0,掉落_design!H$2+1,1,1)&amp;";"&amp;OFFSET(掉落_design!$E40,0,掉落_design!H$2+2,1,1)&amp;";"&amp;OFFSET(掉落_design!$E40,0,掉落_design!H$2+3,1,1))</f>
        <v/>
      </c>
      <c r="J40" s="16" t="str">
        <f ca="1">IF(OFFSET(掉落_design!$E40,0,掉落_design!I$2,1,1)="","",OFFSET(掉落_design!$E40,0,掉落_design!I$2,1,1)&amp;";"&amp;OFFSET(掉落_design!$E40,0,掉落_design!I$2+1,1,1)&amp;";"&amp;OFFSET(掉落_design!$E40,0,掉落_design!I$2+2,1,1)&amp;";"&amp;OFFSET(掉落_design!$E40,0,掉落_design!I$2+3,1,1))</f>
        <v/>
      </c>
      <c r="K40" s="16" t="str">
        <f ca="1">IF(OFFSET(掉落_design!$E40,0,掉落_design!J$2,1,1)="","",OFFSET(掉落_design!$E40,0,掉落_design!J$2,1,1)&amp;";"&amp;OFFSET(掉落_design!$E40,0,掉落_design!J$2+1,1,1)&amp;";"&amp;OFFSET(掉落_design!$E40,0,掉落_design!J$2+2,1,1)&amp;";"&amp;OFFSET(掉落_design!$E40,0,掉落_design!J$2+3,1,1))</f>
        <v/>
      </c>
      <c r="L40" s="16" t="str">
        <f ca="1">IF(OFFSET(掉落_design!$E40,0,掉落_design!K$2,1,1)="","",OFFSET(掉落_design!$E40,0,掉落_design!K$2,1,1)&amp;";"&amp;OFFSET(掉落_design!$E40,0,掉落_design!K$2+1,1,1)&amp;";"&amp;OFFSET(掉落_design!$E40,0,掉落_design!K$2+2,1,1)&amp;";"&amp;OFFSET(掉落_design!$E40,0,掉落_design!K$2+3,1,1))</f>
        <v/>
      </c>
      <c r="M40" s="16" t="str">
        <f ca="1">IF(OFFSET(掉落_design!$E40,0,掉落_design!L$2,1,1)="","",OFFSET(掉落_design!$E40,0,掉落_design!L$2,1,1)&amp;";"&amp;OFFSET(掉落_design!$E40,0,掉落_design!L$2+1,1,1)&amp;";"&amp;OFFSET(掉落_design!$E40,0,掉落_design!L$2+2,1,1)&amp;";"&amp;OFFSET(掉落_design!$E40,0,掉落_design!L$2+3,1,1))</f>
        <v/>
      </c>
      <c r="N40" s="16" t="str">
        <f ca="1">IF(OFFSET(掉落_design!$E40,0,掉落_design!M$2,1,1)="","",OFFSET(掉落_design!$E40,0,掉落_design!M$2,1,1)&amp;";"&amp;OFFSET(掉落_design!$E40,0,掉落_design!M$2+1,1,1)&amp;";"&amp;OFFSET(掉落_design!$E40,0,掉落_design!M$2+2,1,1)&amp;";"&amp;OFFSET(掉落_design!$E40,0,掉落_design!M$2+3,1,1))</f>
        <v/>
      </c>
      <c r="O40" s="16" t="str">
        <f ca="1">IF(OFFSET(掉落_design!$E40,0,掉落_design!N$2,1,1)="","",OFFSET(掉落_design!$E40,0,掉落_design!N$2,1,1)&amp;";"&amp;OFFSET(掉落_design!$E40,0,掉落_design!N$2+1,1,1)&amp;";"&amp;OFFSET(掉落_design!$E40,0,掉落_design!N$2+2,1,1)&amp;";"&amp;OFFSET(掉落_design!$E40,0,掉落_design!N$2+3,1,1))</f>
        <v/>
      </c>
      <c r="P40" s="16" t="str">
        <f ca="1">IF(OFFSET(掉落_design!$E40,0,掉落_design!O$2,1,1)="","",OFFSET(掉落_design!$E40,0,掉落_design!O$2,1,1)&amp;";"&amp;OFFSET(掉落_design!$E40,0,掉落_design!O$2+1,1,1)&amp;";"&amp;OFFSET(掉落_design!$E40,0,掉落_design!O$2+2,1,1)&amp;";"&amp;OFFSET(掉落_design!$E40,0,掉落_design!O$2+3,1,1))</f>
        <v/>
      </c>
      <c r="Q40" s="16" t="str">
        <f ca="1">IF(OFFSET(掉落_design!$E40,0,掉落_design!P$2,1,1)="","",OFFSET(掉落_design!$E40,0,掉落_design!P$2,1,1)&amp;";"&amp;OFFSET(掉落_design!$E40,0,掉落_design!P$2+1,1,1)&amp;";"&amp;OFFSET(掉落_design!$E40,0,掉落_design!P$2+2,1,1)&amp;";"&amp;OFFSET(掉落_design!$E40,0,掉落_design!P$2+3,1,1))</f>
        <v/>
      </c>
      <c r="R40" s="16" t="str">
        <f ca="1">IF(OFFSET(掉落_design!$E40,0,掉落_design!Q$2,1,1)="","",OFFSET(掉落_design!$E40,0,掉落_design!Q$2,1,1)&amp;";"&amp;OFFSET(掉落_design!$E40,0,掉落_design!Q$2+1,1,1)&amp;";"&amp;OFFSET(掉落_design!$E40,0,掉落_design!Q$2+2,1,1)&amp;";"&amp;OFFSET(掉落_design!$E40,0,掉落_design!Q$2+3,1,1))</f>
        <v/>
      </c>
      <c r="S40" s="16" t="str">
        <f ca="1">IF(OFFSET(掉落_design!$E40,0,掉落_design!R$2,1,1)="","",OFFSET(掉落_design!$E40,0,掉落_design!R$2,1,1)&amp;";"&amp;OFFSET(掉落_design!$E40,0,掉落_design!R$2+1,1,1)&amp;";"&amp;OFFSET(掉落_design!$E40,0,掉落_design!R$2+2,1,1)&amp;";"&amp;OFFSET(掉落_design!$E40,0,掉落_design!R$2+3,1,1))</f>
        <v/>
      </c>
      <c r="T40" s="16" t="str">
        <f ca="1">IF(OFFSET(掉落_design!$E40,0,掉落_design!S$2,1,1)="","",OFFSET(掉落_design!$E40,0,掉落_design!S$2,1,1)&amp;";"&amp;OFFSET(掉落_design!$E40,0,掉落_design!S$2+1,1,1)&amp;";"&amp;OFFSET(掉落_design!$E40,0,掉落_design!S$2+2,1,1)&amp;";"&amp;OFFSET(掉落_design!$E40,0,掉落_design!S$2+3,1,1))</f>
        <v/>
      </c>
      <c r="U40" s="16" t="str">
        <f ca="1">IF(OFFSET(掉落_design!$E40,0,掉落_design!T$2,1,1)="","",OFFSET(掉落_design!$E40,0,掉落_design!T$2,1,1)&amp;";"&amp;OFFSET(掉落_design!$E40,0,掉落_design!T$2+1,1,1)&amp;";"&amp;OFFSET(掉落_design!$E40,0,掉落_design!T$2+2,1,1)&amp;";"&amp;OFFSET(掉落_design!$E40,0,掉落_design!T$2+3,1,1))</f>
        <v/>
      </c>
      <c r="V40" s="16" t="str">
        <f ca="1">IF(OFFSET(掉落_design!$E40,0,掉落_design!U$2,1,1)="","",OFFSET(掉落_design!$E40,0,掉落_design!U$2,1,1)&amp;";"&amp;OFFSET(掉落_design!$E40,0,掉落_design!U$2+1,1,1)&amp;";"&amp;OFFSET(掉落_design!$E40,0,掉落_design!U$2+2,1,1)&amp;";"&amp;OFFSET(掉落_design!$E40,0,掉落_design!U$2+3,1,1))</f>
        <v/>
      </c>
      <c r="W40" s="16" t="str">
        <f ca="1">IF(OFFSET(掉落_design!$E40,0,掉落_design!V$2,1,1)="","",OFFSET(掉落_design!$E40,0,掉落_design!V$2,1,1)&amp;";"&amp;OFFSET(掉落_design!$E40,0,掉落_design!V$2+1,1,1)&amp;";"&amp;OFFSET(掉落_design!$E40,0,掉落_design!V$2+2,1,1)&amp;";"&amp;OFFSET(掉落_design!$E40,0,掉落_design!V$2+3,1,1))</f>
        <v/>
      </c>
      <c r="X40" s="16" t="str">
        <f ca="1">IF(OFFSET(掉落_design!$E40,0,掉落_design!W$2,1,1)="","",OFFSET(掉落_design!$E40,0,掉落_design!W$2,1,1)&amp;";"&amp;OFFSET(掉落_design!$E40,0,掉落_design!W$2+1,1,1)&amp;";"&amp;OFFSET(掉落_design!$E40,0,掉落_design!W$2+2,1,1)&amp;";"&amp;OFFSET(掉落_design!$E40,0,掉落_design!W$2+3,1,1))</f>
        <v/>
      </c>
      <c r="Y40" s="16" t="str">
        <f ca="1">IF(OFFSET(掉落_design!$E40,0,掉落_design!X$2,1,1)="","",OFFSET(掉落_design!$E40,0,掉落_design!X$2,1,1)&amp;";"&amp;OFFSET(掉落_design!$E40,0,掉落_design!X$2+1,1,1)&amp;";"&amp;OFFSET(掉落_design!$E40,0,掉落_design!X$2+2,1,1)&amp;";"&amp;OFFSET(掉落_design!$E40,0,掉落_design!X$2+3,1,1))</f>
        <v/>
      </c>
    </row>
    <row r="41" spans="1:25" x14ac:dyDescent="0.15">
      <c r="A41" s="11" t="str">
        <f t="shared" si="0"/>
        <v>DATA</v>
      </c>
      <c r="B41" s="25"/>
      <c r="C41" s="25"/>
      <c r="D41" s="15">
        <f>IF(掉落_design!C41="","",掉落_design!C41)</f>
        <v>10801</v>
      </c>
      <c r="E41" s="15">
        <f>IF(A41="","",掉落_design!D41)</f>
        <v>2</v>
      </c>
      <c r="F41" s="16" t="str">
        <f ca="1">IF(OFFSET(掉落_design!$E41,0,掉落_design!E$2,1,1)="","",OFFSET(掉落_design!$E41,0,掉落_design!E$2,1,1)&amp;";"&amp;OFFSET(掉落_design!$E41,0,掉落_design!E$2+1,1,1)&amp;";"&amp;OFFSET(掉落_design!$E41,0,掉落_design!E$2+2,1,1)&amp;";"&amp;OFFSET(掉落_design!$E41,0,掉落_design!E$2+3,1,1))</f>
        <v>20133;1;1;1</v>
      </c>
      <c r="G41" s="16" t="str">
        <f ca="1">IF(OFFSET(掉落_design!$E41,0,掉落_design!F$2,1,1)="","",OFFSET(掉落_design!$E41,0,掉落_design!F$2,1,1)&amp;";"&amp;OFFSET(掉落_design!$E41,0,掉落_design!F$2+1,1,1)&amp;";"&amp;OFFSET(掉落_design!$E41,0,掉落_design!F$2+2,1,1)&amp;";"&amp;OFFSET(掉落_design!$E41,0,掉落_design!F$2+3,1,1))</f>
        <v>20233;1;1;1</v>
      </c>
      <c r="H41" s="16" t="str">
        <f ca="1">IF(OFFSET(掉落_design!$E41,0,掉落_design!G$2,1,1)="","",OFFSET(掉落_design!$E41,0,掉落_design!G$2,1,1)&amp;";"&amp;OFFSET(掉落_design!$E41,0,掉落_design!G$2+1,1,1)&amp;";"&amp;OFFSET(掉落_design!$E41,0,掉落_design!G$2+2,1,1)&amp;";"&amp;OFFSET(掉落_design!$E41,0,掉落_design!G$2+3,1,1))</f>
        <v>20233;1;1;1</v>
      </c>
      <c r="I41" s="16" t="str">
        <f ca="1">IF(OFFSET(掉落_design!$E41,0,掉落_design!H$2,1,1)="","",OFFSET(掉落_design!$E41,0,掉落_design!H$2,1,1)&amp;";"&amp;OFFSET(掉落_design!$E41,0,掉落_design!H$2+1,1,1)&amp;";"&amp;OFFSET(掉落_design!$E41,0,掉落_design!H$2+2,1,1)&amp;";"&amp;OFFSET(掉落_design!$E41,0,掉落_design!H$2+3,1,1))</f>
        <v>20132;1;1;1</v>
      </c>
      <c r="J41" s="16" t="str">
        <f ca="1">IF(OFFSET(掉落_design!$E41,0,掉落_design!I$2,1,1)="","",OFFSET(掉落_design!$E41,0,掉落_design!I$2,1,1)&amp;";"&amp;OFFSET(掉落_design!$E41,0,掉落_design!I$2+1,1,1)&amp;";"&amp;OFFSET(掉落_design!$E41,0,掉落_design!I$2+2,1,1)&amp;";"&amp;OFFSET(掉落_design!$E41,0,掉落_design!I$2+3,1,1))</f>
        <v>20132;1;1;1</v>
      </c>
      <c r="K41" s="16" t="str">
        <f ca="1">IF(OFFSET(掉落_design!$E41,0,掉落_design!J$2,1,1)="","",OFFSET(掉落_design!$E41,0,掉落_design!J$2,1,1)&amp;";"&amp;OFFSET(掉落_design!$E41,0,掉落_design!J$2+1,1,1)&amp;";"&amp;OFFSET(掉落_design!$E41,0,掉落_design!J$2+2,1,1)&amp;";"&amp;OFFSET(掉落_design!$E41,0,掉落_design!J$2+3,1,1))</f>
        <v>20232;1;1;1</v>
      </c>
      <c r="L41" s="16" t="str">
        <f ca="1">IF(OFFSET(掉落_design!$E41,0,掉落_design!K$2,1,1)="","",OFFSET(掉落_design!$E41,0,掉落_design!K$2,1,1)&amp;";"&amp;OFFSET(掉落_design!$E41,0,掉落_design!K$2+1,1,1)&amp;";"&amp;OFFSET(掉落_design!$E41,0,掉落_design!K$2+2,1,1)&amp;";"&amp;OFFSET(掉落_design!$E41,0,掉落_design!K$2+3,1,1))</f>
        <v>20133;1;1;1</v>
      </c>
      <c r="M41" s="16" t="str">
        <f ca="1">IF(OFFSET(掉落_design!$E41,0,掉落_design!L$2,1,1)="","",OFFSET(掉落_design!$E41,0,掉落_design!L$2,1,1)&amp;";"&amp;OFFSET(掉落_design!$E41,0,掉落_design!L$2+1,1,1)&amp;";"&amp;OFFSET(掉落_design!$E41,0,掉落_design!L$2+2,1,1)&amp;";"&amp;OFFSET(掉落_design!$E41,0,掉落_design!L$2+3,1,1))</f>
        <v>20232;1;1;1</v>
      </c>
      <c r="N41" s="16" t="str">
        <f ca="1">IF(OFFSET(掉落_design!$E41,0,掉落_design!M$2,1,1)="","",OFFSET(掉落_design!$E41,0,掉落_design!M$2,1,1)&amp;";"&amp;OFFSET(掉落_design!$E41,0,掉落_design!M$2+1,1,1)&amp;";"&amp;OFFSET(掉落_design!$E41,0,掉落_design!M$2+2,1,1)&amp;";"&amp;OFFSET(掉落_design!$E41,0,掉落_design!M$2+3,1,1))</f>
        <v>20133;1;1;1</v>
      </c>
      <c r="O41" s="16" t="str">
        <f ca="1">IF(OFFSET(掉落_design!$E41,0,掉落_design!N$2,1,1)="","",OFFSET(掉落_design!$E41,0,掉落_design!N$2,1,1)&amp;";"&amp;OFFSET(掉落_design!$E41,0,掉落_design!N$2+1,1,1)&amp;";"&amp;OFFSET(掉落_design!$E41,0,掉落_design!N$2+2,1,1)&amp;";"&amp;OFFSET(掉落_design!$E41,0,掉落_design!N$2+3,1,1))</f>
        <v>20133;1;1;1</v>
      </c>
      <c r="P41" s="16" t="str">
        <f ca="1">IF(OFFSET(掉落_design!$E41,0,掉落_design!O$2,1,1)="","",OFFSET(掉落_design!$E41,0,掉落_design!O$2,1,1)&amp;";"&amp;OFFSET(掉落_design!$E41,0,掉落_design!O$2+1,1,1)&amp;";"&amp;OFFSET(掉落_design!$E41,0,掉落_design!O$2+2,1,1)&amp;";"&amp;OFFSET(掉落_design!$E41,0,掉落_design!O$2+3,1,1))</f>
        <v>1001;400;450;10</v>
      </c>
      <c r="Q41" s="16" t="str">
        <f ca="1">IF(OFFSET(掉落_design!$E41,0,掉落_design!P$2,1,1)="","",OFFSET(掉落_design!$E41,0,掉落_design!P$2,1,1)&amp;";"&amp;OFFSET(掉落_design!$E41,0,掉落_design!P$2+1,1,1)&amp;";"&amp;OFFSET(掉落_design!$E41,0,掉落_design!P$2+2,1,1)&amp;";"&amp;OFFSET(掉落_design!$E41,0,掉落_design!P$2+3,1,1))</f>
        <v/>
      </c>
      <c r="R41" s="16" t="str">
        <f ca="1">IF(OFFSET(掉落_design!$E41,0,掉落_design!Q$2,1,1)="","",OFFSET(掉落_design!$E41,0,掉落_design!Q$2,1,1)&amp;";"&amp;OFFSET(掉落_design!$E41,0,掉落_design!Q$2+1,1,1)&amp;";"&amp;OFFSET(掉落_design!$E41,0,掉落_design!Q$2+2,1,1)&amp;";"&amp;OFFSET(掉落_design!$E41,0,掉落_design!Q$2+3,1,1))</f>
        <v/>
      </c>
      <c r="S41" s="16" t="str">
        <f ca="1">IF(OFFSET(掉落_design!$E41,0,掉落_design!R$2,1,1)="","",OFFSET(掉落_design!$E41,0,掉落_design!R$2,1,1)&amp;";"&amp;OFFSET(掉落_design!$E41,0,掉落_design!R$2+1,1,1)&amp;";"&amp;OFFSET(掉落_design!$E41,0,掉落_design!R$2+2,1,1)&amp;";"&amp;OFFSET(掉落_design!$E41,0,掉落_design!R$2+3,1,1))</f>
        <v/>
      </c>
      <c r="T41" s="16" t="str">
        <f ca="1">IF(OFFSET(掉落_design!$E41,0,掉落_design!S$2,1,1)="","",OFFSET(掉落_design!$E41,0,掉落_design!S$2,1,1)&amp;";"&amp;OFFSET(掉落_design!$E41,0,掉落_design!S$2+1,1,1)&amp;";"&amp;OFFSET(掉落_design!$E41,0,掉落_design!S$2+2,1,1)&amp;";"&amp;OFFSET(掉落_design!$E41,0,掉落_design!S$2+3,1,1))</f>
        <v/>
      </c>
      <c r="U41" s="16" t="str">
        <f ca="1">IF(OFFSET(掉落_design!$E41,0,掉落_design!T$2,1,1)="","",OFFSET(掉落_design!$E41,0,掉落_design!T$2,1,1)&amp;";"&amp;OFFSET(掉落_design!$E41,0,掉落_design!T$2+1,1,1)&amp;";"&amp;OFFSET(掉落_design!$E41,0,掉落_design!T$2+2,1,1)&amp;";"&amp;OFFSET(掉落_design!$E41,0,掉落_design!T$2+3,1,1))</f>
        <v/>
      </c>
      <c r="V41" s="16" t="str">
        <f ca="1">IF(OFFSET(掉落_design!$E41,0,掉落_design!U$2,1,1)="","",OFFSET(掉落_design!$E41,0,掉落_design!U$2,1,1)&amp;";"&amp;OFFSET(掉落_design!$E41,0,掉落_design!U$2+1,1,1)&amp;";"&amp;OFFSET(掉落_design!$E41,0,掉落_design!U$2+2,1,1)&amp;";"&amp;OFFSET(掉落_design!$E41,0,掉落_design!U$2+3,1,1))</f>
        <v/>
      </c>
      <c r="W41" s="16" t="str">
        <f ca="1">IF(OFFSET(掉落_design!$E41,0,掉落_design!V$2,1,1)="","",OFFSET(掉落_design!$E41,0,掉落_design!V$2,1,1)&amp;";"&amp;OFFSET(掉落_design!$E41,0,掉落_design!V$2+1,1,1)&amp;";"&amp;OFFSET(掉落_design!$E41,0,掉落_design!V$2+2,1,1)&amp;";"&amp;OFFSET(掉落_design!$E41,0,掉落_design!V$2+3,1,1))</f>
        <v/>
      </c>
      <c r="X41" s="16" t="str">
        <f ca="1">IF(OFFSET(掉落_design!$E41,0,掉落_design!W$2,1,1)="","",OFFSET(掉落_design!$E41,0,掉落_design!W$2,1,1)&amp;";"&amp;OFFSET(掉落_design!$E41,0,掉落_design!W$2+1,1,1)&amp;";"&amp;OFFSET(掉落_design!$E41,0,掉落_design!W$2+2,1,1)&amp;";"&amp;OFFSET(掉落_design!$E41,0,掉落_design!W$2+3,1,1))</f>
        <v/>
      </c>
      <c r="Y41" s="16" t="str">
        <f ca="1">IF(OFFSET(掉落_design!$E41,0,掉落_design!X$2,1,1)="","",OFFSET(掉落_design!$E41,0,掉落_design!X$2,1,1)&amp;";"&amp;OFFSET(掉落_design!$E41,0,掉落_design!X$2+1,1,1)&amp;";"&amp;OFFSET(掉落_design!$E41,0,掉落_design!X$2+2,1,1)&amp;";"&amp;OFFSET(掉落_design!$E41,0,掉落_design!X$2+3,1,1))</f>
        <v/>
      </c>
    </row>
    <row r="42" spans="1:25" x14ac:dyDescent="0.15">
      <c r="A42" s="11" t="str">
        <f t="shared" si="0"/>
        <v/>
      </c>
      <c r="B42" s="25"/>
      <c r="C42" s="25"/>
      <c r="D42" s="15" t="str">
        <f>IF(掉落_design!C42="","",掉落_design!C42)</f>
        <v/>
      </c>
      <c r="E42" s="15" t="str">
        <f>IF(A42="","",掉落_design!D42)</f>
        <v/>
      </c>
      <c r="F42" s="16" t="str">
        <f ca="1">IF(OFFSET(掉落_design!$E42,0,掉落_design!E$2,1,1)="","",OFFSET(掉落_design!$E42,0,掉落_design!E$2,1,1)&amp;";"&amp;OFFSET(掉落_design!$E42,0,掉落_design!E$2+1,1,1)&amp;";"&amp;OFFSET(掉落_design!$E42,0,掉落_design!E$2+2,1,1)&amp;";"&amp;OFFSET(掉落_design!$E42,0,掉落_design!E$2+3,1,1))</f>
        <v/>
      </c>
      <c r="G42" s="16" t="str">
        <f ca="1">IF(OFFSET(掉落_design!$E42,0,掉落_design!F$2,1,1)="","",OFFSET(掉落_design!$E42,0,掉落_design!F$2,1,1)&amp;";"&amp;OFFSET(掉落_design!$E42,0,掉落_design!F$2+1,1,1)&amp;";"&amp;OFFSET(掉落_design!$E42,0,掉落_design!F$2+2,1,1)&amp;";"&amp;OFFSET(掉落_design!$E42,0,掉落_design!F$2+3,1,1))</f>
        <v/>
      </c>
      <c r="H42" s="16" t="str">
        <f ca="1">IF(OFFSET(掉落_design!$E42,0,掉落_design!G$2,1,1)="","",OFFSET(掉落_design!$E42,0,掉落_design!G$2,1,1)&amp;";"&amp;OFFSET(掉落_design!$E42,0,掉落_design!G$2+1,1,1)&amp;";"&amp;OFFSET(掉落_design!$E42,0,掉落_design!G$2+2,1,1)&amp;";"&amp;OFFSET(掉落_design!$E42,0,掉落_design!G$2+3,1,1))</f>
        <v/>
      </c>
      <c r="I42" s="16" t="str">
        <f ca="1">IF(OFFSET(掉落_design!$E42,0,掉落_design!H$2,1,1)="","",OFFSET(掉落_design!$E42,0,掉落_design!H$2,1,1)&amp;";"&amp;OFFSET(掉落_design!$E42,0,掉落_design!H$2+1,1,1)&amp;";"&amp;OFFSET(掉落_design!$E42,0,掉落_design!H$2+2,1,1)&amp;";"&amp;OFFSET(掉落_design!$E42,0,掉落_design!H$2+3,1,1))</f>
        <v/>
      </c>
      <c r="J42" s="16" t="str">
        <f ca="1">IF(OFFSET(掉落_design!$E42,0,掉落_design!I$2,1,1)="","",OFFSET(掉落_design!$E42,0,掉落_design!I$2,1,1)&amp;";"&amp;OFFSET(掉落_design!$E42,0,掉落_design!I$2+1,1,1)&amp;";"&amp;OFFSET(掉落_design!$E42,0,掉落_design!I$2+2,1,1)&amp;";"&amp;OFFSET(掉落_design!$E42,0,掉落_design!I$2+3,1,1))</f>
        <v/>
      </c>
      <c r="K42" s="16" t="str">
        <f ca="1">IF(OFFSET(掉落_design!$E42,0,掉落_design!J$2,1,1)="","",OFFSET(掉落_design!$E42,0,掉落_design!J$2,1,1)&amp;";"&amp;OFFSET(掉落_design!$E42,0,掉落_design!J$2+1,1,1)&amp;";"&amp;OFFSET(掉落_design!$E42,0,掉落_design!J$2+2,1,1)&amp;";"&amp;OFFSET(掉落_design!$E42,0,掉落_design!J$2+3,1,1))</f>
        <v/>
      </c>
      <c r="L42" s="16" t="str">
        <f ca="1">IF(OFFSET(掉落_design!$E42,0,掉落_design!K$2,1,1)="","",OFFSET(掉落_design!$E42,0,掉落_design!K$2,1,1)&amp;";"&amp;OFFSET(掉落_design!$E42,0,掉落_design!K$2+1,1,1)&amp;";"&amp;OFFSET(掉落_design!$E42,0,掉落_design!K$2+2,1,1)&amp;";"&amp;OFFSET(掉落_design!$E42,0,掉落_design!K$2+3,1,1))</f>
        <v/>
      </c>
      <c r="M42" s="16" t="str">
        <f ca="1">IF(OFFSET(掉落_design!$E42,0,掉落_design!L$2,1,1)="","",OFFSET(掉落_design!$E42,0,掉落_design!L$2,1,1)&amp;";"&amp;OFFSET(掉落_design!$E42,0,掉落_design!L$2+1,1,1)&amp;";"&amp;OFFSET(掉落_design!$E42,0,掉落_design!L$2+2,1,1)&amp;";"&amp;OFFSET(掉落_design!$E42,0,掉落_design!L$2+3,1,1))</f>
        <v/>
      </c>
      <c r="N42" s="16" t="str">
        <f ca="1">IF(OFFSET(掉落_design!$E42,0,掉落_design!M$2,1,1)="","",OFFSET(掉落_design!$E42,0,掉落_design!M$2,1,1)&amp;";"&amp;OFFSET(掉落_design!$E42,0,掉落_design!M$2+1,1,1)&amp;";"&amp;OFFSET(掉落_design!$E42,0,掉落_design!M$2+2,1,1)&amp;";"&amp;OFFSET(掉落_design!$E42,0,掉落_design!M$2+3,1,1))</f>
        <v/>
      </c>
      <c r="O42" s="16" t="str">
        <f ca="1">IF(OFFSET(掉落_design!$E42,0,掉落_design!N$2,1,1)="","",OFFSET(掉落_design!$E42,0,掉落_design!N$2,1,1)&amp;";"&amp;OFFSET(掉落_design!$E42,0,掉落_design!N$2+1,1,1)&amp;";"&amp;OFFSET(掉落_design!$E42,0,掉落_design!N$2+2,1,1)&amp;";"&amp;OFFSET(掉落_design!$E42,0,掉落_design!N$2+3,1,1))</f>
        <v/>
      </c>
      <c r="P42" s="16" t="str">
        <f ca="1">IF(OFFSET(掉落_design!$E42,0,掉落_design!O$2,1,1)="","",OFFSET(掉落_design!$E42,0,掉落_design!O$2,1,1)&amp;";"&amp;OFFSET(掉落_design!$E42,0,掉落_design!O$2+1,1,1)&amp;";"&amp;OFFSET(掉落_design!$E42,0,掉落_design!O$2+2,1,1)&amp;";"&amp;OFFSET(掉落_design!$E42,0,掉落_design!O$2+3,1,1))</f>
        <v/>
      </c>
      <c r="Q42" s="16" t="str">
        <f ca="1">IF(OFFSET(掉落_design!$E42,0,掉落_design!P$2,1,1)="","",OFFSET(掉落_design!$E42,0,掉落_design!P$2,1,1)&amp;";"&amp;OFFSET(掉落_design!$E42,0,掉落_design!P$2+1,1,1)&amp;";"&amp;OFFSET(掉落_design!$E42,0,掉落_design!P$2+2,1,1)&amp;";"&amp;OFFSET(掉落_design!$E42,0,掉落_design!P$2+3,1,1))</f>
        <v/>
      </c>
      <c r="R42" s="16" t="str">
        <f ca="1">IF(OFFSET(掉落_design!$E42,0,掉落_design!Q$2,1,1)="","",OFFSET(掉落_design!$E42,0,掉落_design!Q$2,1,1)&amp;";"&amp;OFFSET(掉落_design!$E42,0,掉落_design!Q$2+1,1,1)&amp;";"&amp;OFFSET(掉落_design!$E42,0,掉落_design!Q$2+2,1,1)&amp;";"&amp;OFFSET(掉落_design!$E42,0,掉落_design!Q$2+3,1,1))</f>
        <v/>
      </c>
      <c r="S42" s="16" t="str">
        <f ca="1">IF(OFFSET(掉落_design!$E42,0,掉落_design!R$2,1,1)="","",OFFSET(掉落_design!$E42,0,掉落_design!R$2,1,1)&amp;";"&amp;OFFSET(掉落_design!$E42,0,掉落_design!R$2+1,1,1)&amp;";"&amp;OFFSET(掉落_design!$E42,0,掉落_design!R$2+2,1,1)&amp;";"&amp;OFFSET(掉落_design!$E42,0,掉落_design!R$2+3,1,1))</f>
        <v/>
      </c>
      <c r="T42" s="16" t="str">
        <f ca="1">IF(OFFSET(掉落_design!$E42,0,掉落_design!S$2,1,1)="","",OFFSET(掉落_design!$E42,0,掉落_design!S$2,1,1)&amp;";"&amp;OFFSET(掉落_design!$E42,0,掉落_design!S$2+1,1,1)&amp;";"&amp;OFFSET(掉落_design!$E42,0,掉落_design!S$2+2,1,1)&amp;";"&amp;OFFSET(掉落_design!$E42,0,掉落_design!S$2+3,1,1))</f>
        <v/>
      </c>
      <c r="U42" s="16" t="str">
        <f ca="1">IF(OFFSET(掉落_design!$E42,0,掉落_design!T$2,1,1)="","",OFFSET(掉落_design!$E42,0,掉落_design!T$2,1,1)&amp;";"&amp;OFFSET(掉落_design!$E42,0,掉落_design!T$2+1,1,1)&amp;";"&amp;OFFSET(掉落_design!$E42,0,掉落_design!T$2+2,1,1)&amp;";"&amp;OFFSET(掉落_design!$E42,0,掉落_design!T$2+3,1,1))</f>
        <v/>
      </c>
      <c r="V42" s="16" t="str">
        <f ca="1">IF(OFFSET(掉落_design!$E42,0,掉落_design!U$2,1,1)="","",OFFSET(掉落_design!$E42,0,掉落_design!U$2,1,1)&amp;";"&amp;OFFSET(掉落_design!$E42,0,掉落_design!U$2+1,1,1)&amp;";"&amp;OFFSET(掉落_design!$E42,0,掉落_design!U$2+2,1,1)&amp;";"&amp;OFFSET(掉落_design!$E42,0,掉落_design!U$2+3,1,1))</f>
        <v/>
      </c>
      <c r="W42" s="16" t="str">
        <f ca="1">IF(OFFSET(掉落_design!$E42,0,掉落_design!V$2,1,1)="","",OFFSET(掉落_design!$E42,0,掉落_design!V$2,1,1)&amp;";"&amp;OFFSET(掉落_design!$E42,0,掉落_design!V$2+1,1,1)&amp;";"&amp;OFFSET(掉落_design!$E42,0,掉落_design!V$2+2,1,1)&amp;";"&amp;OFFSET(掉落_design!$E42,0,掉落_design!V$2+3,1,1))</f>
        <v/>
      </c>
      <c r="X42" s="16" t="str">
        <f ca="1">IF(OFFSET(掉落_design!$E42,0,掉落_design!W$2,1,1)="","",OFFSET(掉落_design!$E42,0,掉落_design!W$2,1,1)&amp;";"&amp;OFFSET(掉落_design!$E42,0,掉落_design!W$2+1,1,1)&amp;";"&amp;OFFSET(掉落_design!$E42,0,掉落_design!W$2+2,1,1)&amp;";"&amp;OFFSET(掉落_design!$E42,0,掉落_design!W$2+3,1,1))</f>
        <v/>
      </c>
      <c r="Y42" s="16" t="str">
        <f ca="1">IF(OFFSET(掉落_design!$E42,0,掉落_design!X$2,1,1)="","",OFFSET(掉落_design!$E42,0,掉落_design!X$2,1,1)&amp;";"&amp;OFFSET(掉落_design!$E42,0,掉落_design!X$2+1,1,1)&amp;";"&amp;OFFSET(掉落_design!$E42,0,掉落_design!X$2+2,1,1)&amp;";"&amp;OFFSET(掉落_design!$E42,0,掉落_design!X$2+3,1,1))</f>
        <v/>
      </c>
    </row>
    <row r="43" spans="1:25" x14ac:dyDescent="0.15">
      <c r="A43" s="11" t="str">
        <f t="shared" si="0"/>
        <v>DATA</v>
      </c>
      <c r="B43" s="25"/>
      <c r="C43" s="25"/>
      <c r="D43" s="15">
        <f>IF(掉落_design!C43="","",掉落_design!C43)</f>
        <v>10900</v>
      </c>
      <c r="E43" s="15">
        <f>IF(A43="","",掉落_design!D43)</f>
        <v>1</v>
      </c>
      <c r="F43" s="16" t="str">
        <f ca="1">IF(OFFSET(掉落_design!$E43,0,掉落_design!E$2,1,1)="","",OFFSET(掉落_design!$E43,0,掉落_design!E$2,1,1)&amp;";"&amp;OFFSET(掉落_design!$E43,0,掉落_design!E$2+1,1,1)&amp;";"&amp;OFFSET(掉落_design!$E43,0,掉落_design!E$2+2,1,1)&amp;";"&amp;OFFSET(掉落_design!$E43,0,掉落_design!E$2+3,1,1))</f>
        <v>1001;80;100;1000</v>
      </c>
      <c r="G43" s="16" t="str">
        <f ca="1">IF(OFFSET(掉落_design!$E43,0,掉落_design!F$2,1,1)="","",OFFSET(掉落_design!$E43,0,掉落_design!F$2,1,1)&amp;";"&amp;OFFSET(掉落_design!$E43,0,掉落_design!F$2+1,1,1)&amp;";"&amp;OFFSET(掉落_design!$E43,0,掉落_design!F$2+2,1,1)&amp;";"&amp;OFFSET(掉落_design!$E43,0,掉落_design!F$2+3,1,1))</f>
        <v>1204;1;1;1000</v>
      </c>
      <c r="H43" s="16" t="str">
        <f ca="1">IF(OFFSET(掉落_design!$E43,0,掉落_design!G$2,1,1)="","",OFFSET(掉落_design!$E43,0,掉落_design!G$2,1,1)&amp;";"&amp;OFFSET(掉落_design!$E43,0,掉落_design!G$2+1,1,1)&amp;";"&amp;OFFSET(掉落_design!$E43,0,掉落_design!G$2+2,1,1)&amp;";"&amp;OFFSET(掉落_design!$E43,0,掉落_design!G$2+3,1,1))</f>
        <v/>
      </c>
      <c r="I43" s="16" t="str">
        <f ca="1">IF(OFFSET(掉落_design!$E43,0,掉落_design!H$2,1,1)="","",OFFSET(掉落_design!$E43,0,掉落_design!H$2,1,1)&amp;";"&amp;OFFSET(掉落_design!$E43,0,掉落_design!H$2+1,1,1)&amp;";"&amp;OFFSET(掉落_design!$E43,0,掉落_design!H$2+2,1,1)&amp;";"&amp;OFFSET(掉落_design!$E43,0,掉落_design!H$2+3,1,1))</f>
        <v/>
      </c>
      <c r="J43" s="16" t="str">
        <f ca="1">IF(OFFSET(掉落_design!$E43,0,掉落_design!I$2,1,1)="","",OFFSET(掉落_design!$E43,0,掉落_design!I$2,1,1)&amp;";"&amp;OFFSET(掉落_design!$E43,0,掉落_design!I$2+1,1,1)&amp;";"&amp;OFFSET(掉落_design!$E43,0,掉落_design!I$2+2,1,1)&amp;";"&amp;OFFSET(掉落_design!$E43,0,掉落_design!I$2+3,1,1))</f>
        <v/>
      </c>
      <c r="K43" s="16" t="str">
        <f ca="1">IF(OFFSET(掉落_design!$E43,0,掉落_design!J$2,1,1)="","",OFFSET(掉落_design!$E43,0,掉落_design!J$2,1,1)&amp;";"&amp;OFFSET(掉落_design!$E43,0,掉落_design!J$2+1,1,1)&amp;";"&amp;OFFSET(掉落_design!$E43,0,掉落_design!J$2+2,1,1)&amp;";"&amp;OFFSET(掉落_design!$E43,0,掉落_design!J$2+3,1,1))</f>
        <v/>
      </c>
      <c r="L43" s="16" t="str">
        <f ca="1">IF(OFFSET(掉落_design!$E43,0,掉落_design!K$2,1,1)="","",OFFSET(掉落_design!$E43,0,掉落_design!K$2,1,1)&amp;";"&amp;OFFSET(掉落_design!$E43,0,掉落_design!K$2+1,1,1)&amp;";"&amp;OFFSET(掉落_design!$E43,0,掉落_design!K$2+2,1,1)&amp;";"&amp;OFFSET(掉落_design!$E43,0,掉落_design!K$2+3,1,1))</f>
        <v/>
      </c>
      <c r="M43" s="16" t="str">
        <f ca="1">IF(OFFSET(掉落_design!$E43,0,掉落_design!L$2,1,1)="","",OFFSET(掉落_design!$E43,0,掉落_design!L$2,1,1)&amp;";"&amp;OFFSET(掉落_design!$E43,0,掉落_design!L$2+1,1,1)&amp;";"&amp;OFFSET(掉落_design!$E43,0,掉落_design!L$2+2,1,1)&amp;";"&amp;OFFSET(掉落_design!$E43,0,掉落_design!L$2+3,1,1))</f>
        <v/>
      </c>
      <c r="N43" s="16" t="str">
        <f ca="1">IF(OFFSET(掉落_design!$E43,0,掉落_design!M$2,1,1)="","",OFFSET(掉落_design!$E43,0,掉落_design!M$2,1,1)&amp;";"&amp;OFFSET(掉落_design!$E43,0,掉落_design!M$2+1,1,1)&amp;";"&amp;OFFSET(掉落_design!$E43,0,掉落_design!M$2+2,1,1)&amp;";"&amp;OFFSET(掉落_design!$E43,0,掉落_design!M$2+3,1,1))</f>
        <v/>
      </c>
      <c r="O43" s="16" t="str">
        <f ca="1">IF(OFFSET(掉落_design!$E43,0,掉落_design!N$2,1,1)="","",OFFSET(掉落_design!$E43,0,掉落_design!N$2,1,1)&amp;";"&amp;OFFSET(掉落_design!$E43,0,掉落_design!N$2+1,1,1)&amp;";"&amp;OFFSET(掉落_design!$E43,0,掉落_design!N$2+2,1,1)&amp;";"&amp;OFFSET(掉落_design!$E43,0,掉落_design!N$2+3,1,1))</f>
        <v/>
      </c>
      <c r="P43" s="16" t="str">
        <f ca="1">IF(OFFSET(掉落_design!$E43,0,掉落_design!O$2,1,1)="","",OFFSET(掉落_design!$E43,0,掉落_design!O$2,1,1)&amp;";"&amp;OFFSET(掉落_design!$E43,0,掉落_design!O$2+1,1,1)&amp;";"&amp;OFFSET(掉落_design!$E43,0,掉落_design!O$2+2,1,1)&amp;";"&amp;OFFSET(掉落_design!$E43,0,掉落_design!O$2+3,1,1))</f>
        <v/>
      </c>
      <c r="Q43" s="16" t="str">
        <f ca="1">IF(OFFSET(掉落_design!$E43,0,掉落_design!P$2,1,1)="","",OFFSET(掉落_design!$E43,0,掉落_design!P$2,1,1)&amp;";"&amp;OFFSET(掉落_design!$E43,0,掉落_design!P$2+1,1,1)&amp;";"&amp;OFFSET(掉落_design!$E43,0,掉落_design!P$2+2,1,1)&amp;";"&amp;OFFSET(掉落_design!$E43,0,掉落_design!P$2+3,1,1))</f>
        <v/>
      </c>
      <c r="R43" s="16" t="str">
        <f ca="1">IF(OFFSET(掉落_design!$E43,0,掉落_design!Q$2,1,1)="","",OFFSET(掉落_design!$E43,0,掉落_design!Q$2,1,1)&amp;";"&amp;OFFSET(掉落_design!$E43,0,掉落_design!Q$2+1,1,1)&amp;";"&amp;OFFSET(掉落_design!$E43,0,掉落_design!Q$2+2,1,1)&amp;";"&amp;OFFSET(掉落_design!$E43,0,掉落_design!Q$2+3,1,1))</f>
        <v/>
      </c>
      <c r="S43" s="16" t="str">
        <f ca="1">IF(OFFSET(掉落_design!$E43,0,掉落_design!R$2,1,1)="","",OFFSET(掉落_design!$E43,0,掉落_design!R$2,1,1)&amp;";"&amp;OFFSET(掉落_design!$E43,0,掉落_design!R$2+1,1,1)&amp;";"&amp;OFFSET(掉落_design!$E43,0,掉落_design!R$2+2,1,1)&amp;";"&amp;OFFSET(掉落_design!$E43,0,掉落_design!R$2+3,1,1))</f>
        <v/>
      </c>
      <c r="T43" s="16" t="str">
        <f ca="1">IF(OFFSET(掉落_design!$E43,0,掉落_design!S$2,1,1)="","",OFFSET(掉落_design!$E43,0,掉落_design!S$2,1,1)&amp;";"&amp;OFFSET(掉落_design!$E43,0,掉落_design!S$2+1,1,1)&amp;";"&amp;OFFSET(掉落_design!$E43,0,掉落_design!S$2+2,1,1)&amp;";"&amp;OFFSET(掉落_design!$E43,0,掉落_design!S$2+3,1,1))</f>
        <v/>
      </c>
      <c r="U43" s="16" t="str">
        <f ca="1">IF(OFFSET(掉落_design!$E43,0,掉落_design!T$2,1,1)="","",OFFSET(掉落_design!$E43,0,掉落_design!T$2,1,1)&amp;";"&amp;OFFSET(掉落_design!$E43,0,掉落_design!T$2+1,1,1)&amp;";"&amp;OFFSET(掉落_design!$E43,0,掉落_design!T$2+2,1,1)&amp;";"&amp;OFFSET(掉落_design!$E43,0,掉落_design!T$2+3,1,1))</f>
        <v/>
      </c>
      <c r="V43" s="16" t="str">
        <f ca="1">IF(OFFSET(掉落_design!$E43,0,掉落_design!U$2,1,1)="","",OFFSET(掉落_design!$E43,0,掉落_design!U$2,1,1)&amp;";"&amp;OFFSET(掉落_design!$E43,0,掉落_design!U$2+1,1,1)&amp;";"&amp;OFFSET(掉落_design!$E43,0,掉落_design!U$2+2,1,1)&amp;";"&amp;OFFSET(掉落_design!$E43,0,掉落_design!U$2+3,1,1))</f>
        <v/>
      </c>
      <c r="W43" s="16" t="str">
        <f ca="1">IF(OFFSET(掉落_design!$E43,0,掉落_design!V$2,1,1)="","",OFFSET(掉落_design!$E43,0,掉落_design!V$2,1,1)&amp;";"&amp;OFFSET(掉落_design!$E43,0,掉落_design!V$2+1,1,1)&amp;";"&amp;OFFSET(掉落_design!$E43,0,掉落_design!V$2+2,1,1)&amp;";"&amp;OFFSET(掉落_design!$E43,0,掉落_design!V$2+3,1,1))</f>
        <v/>
      </c>
      <c r="X43" s="16" t="str">
        <f ca="1">IF(OFFSET(掉落_design!$E43,0,掉落_design!W$2,1,1)="","",OFFSET(掉落_design!$E43,0,掉落_design!W$2,1,1)&amp;";"&amp;OFFSET(掉落_design!$E43,0,掉落_design!W$2+1,1,1)&amp;";"&amp;OFFSET(掉落_design!$E43,0,掉落_design!W$2+2,1,1)&amp;";"&amp;OFFSET(掉落_design!$E43,0,掉落_design!W$2+3,1,1))</f>
        <v/>
      </c>
      <c r="Y43" s="16" t="str">
        <f ca="1">IF(OFFSET(掉落_design!$E43,0,掉落_design!X$2,1,1)="","",OFFSET(掉落_design!$E43,0,掉落_design!X$2,1,1)&amp;";"&amp;OFFSET(掉落_design!$E43,0,掉落_design!X$2+1,1,1)&amp;";"&amp;OFFSET(掉落_design!$E43,0,掉落_design!X$2+2,1,1)&amp;";"&amp;OFFSET(掉落_design!$E43,0,掉落_design!X$2+3,1,1))</f>
        <v/>
      </c>
    </row>
    <row r="44" spans="1:25" x14ac:dyDescent="0.15">
      <c r="A44" s="11" t="str">
        <f t="shared" si="0"/>
        <v>DATA</v>
      </c>
      <c r="B44" s="25"/>
      <c r="C44" s="25"/>
      <c r="D44" s="15">
        <f>IF(掉落_design!C44="","",掉落_design!C44)</f>
        <v>10901</v>
      </c>
      <c r="E44" s="15">
        <f>IF(A44="","",掉落_design!D44)</f>
        <v>2</v>
      </c>
      <c r="F44" s="16" t="str">
        <f ca="1">IF(OFFSET(掉落_design!$E44,0,掉落_design!E$2,1,1)="","",OFFSET(掉落_design!$E44,0,掉落_design!E$2,1,1)&amp;";"&amp;OFFSET(掉落_design!$E44,0,掉落_design!E$2+1,1,1)&amp;";"&amp;OFFSET(掉落_design!$E44,0,掉落_design!E$2+2,1,1)&amp;";"&amp;OFFSET(掉落_design!$E44,0,掉落_design!E$2+3,1,1))</f>
        <v>20234;1;1;1</v>
      </c>
      <c r="G44" s="16" t="str">
        <f ca="1">IF(OFFSET(掉落_design!$E44,0,掉落_design!F$2,1,1)="","",OFFSET(掉落_design!$E44,0,掉落_design!F$2,1,1)&amp;";"&amp;OFFSET(掉落_design!$E44,0,掉落_design!F$2+1,1,1)&amp;";"&amp;OFFSET(掉落_design!$E44,0,掉落_design!F$2+2,1,1)&amp;";"&amp;OFFSET(掉落_design!$E44,0,掉落_design!F$2+3,1,1))</f>
        <v>20233;1;1;1</v>
      </c>
      <c r="H44" s="16" t="str">
        <f ca="1">IF(OFFSET(掉落_design!$E44,0,掉落_design!G$2,1,1)="","",OFFSET(掉落_design!$E44,0,掉落_design!G$2,1,1)&amp;";"&amp;OFFSET(掉落_design!$E44,0,掉落_design!G$2+1,1,1)&amp;";"&amp;OFFSET(掉落_design!$E44,0,掉落_design!G$2+2,1,1)&amp;";"&amp;OFFSET(掉落_design!$E44,0,掉落_design!G$2+3,1,1))</f>
        <v>20233;1;1;1</v>
      </c>
      <c r="I44" s="16" t="str">
        <f ca="1">IF(OFFSET(掉落_design!$E44,0,掉落_design!H$2,1,1)="","",OFFSET(掉落_design!$E44,0,掉落_design!H$2,1,1)&amp;";"&amp;OFFSET(掉落_design!$E44,0,掉落_design!H$2+1,1,1)&amp;";"&amp;OFFSET(掉落_design!$E44,0,掉落_design!H$2+2,1,1)&amp;";"&amp;OFFSET(掉落_design!$E44,0,掉落_design!H$2+3,1,1))</f>
        <v>20233;1;1;1</v>
      </c>
      <c r="J44" s="16" t="str">
        <f ca="1">IF(OFFSET(掉落_design!$E44,0,掉落_design!I$2,1,1)="","",OFFSET(掉落_design!$E44,0,掉落_design!I$2,1,1)&amp;";"&amp;OFFSET(掉落_design!$E44,0,掉落_design!I$2+1,1,1)&amp;";"&amp;OFFSET(掉落_design!$E44,0,掉落_design!I$2+2,1,1)&amp;";"&amp;OFFSET(掉落_design!$E44,0,掉落_design!I$2+3,1,1))</f>
        <v>20233;1;1;1</v>
      </c>
      <c r="K44" s="16" t="str">
        <f ca="1">IF(OFFSET(掉落_design!$E44,0,掉落_design!J$2,1,1)="","",OFFSET(掉落_design!$E44,0,掉落_design!J$2,1,1)&amp;";"&amp;OFFSET(掉落_design!$E44,0,掉落_design!J$2+1,1,1)&amp;";"&amp;OFFSET(掉落_design!$E44,0,掉落_design!J$2+2,1,1)&amp;";"&amp;OFFSET(掉落_design!$E44,0,掉落_design!J$2+3,1,1))</f>
        <v>20134;1;1;1</v>
      </c>
      <c r="L44" s="16" t="str">
        <f ca="1">IF(OFFSET(掉落_design!$E44,0,掉落_design!K$2,1,1)="","",OFFSET(掉落_design!$E44,0,掉落_design!K$2,1,1)&amp;";"&amp;OFFSET(掉落_design!$E44,0,掉落_design!K$2+1,1,1)&amp;";"&amp;OFFSET(掉落_design!$E44,0,掉落_design!K$2+2,1,1)&amp;";"&amp;OFFSET(掉落_design!$E44,0,掉落_design!K$2+3,1,1))</f>
        <v>20234;1;1;1</v>
      </c>
      <c r="M44" s="16" t="str">
        <f ca="1">IF(OFFSET(掉落_design!$E44,0,掉落_design!L$2,1,1)="","",OFFSET(掉落_design!$E44,0,掉落_design!L$2,1,1)&amp;";"&amp;OFFSET(掉落_design!$E44,0,掉落_design!L$2+1,1,1)&amp;";"&amp;OFFSET(掉落_design!$E44,0,掉落_design!L$2+2,1,1)&amp;";"&amp;OFFSET(掉落_design!$E44,0,掉落_design!L$2+3,1,1))</f>
        <v>20133;1;1;1</v>
      </c>
      <c r="N44" s="16" t="str">
        <f ca="1">IF(OFFSET(掉落_design!$E44,0,掉落_design!M$2,1,1)="","",OFFSET(掉落_design!$E44,0,掉落_design!M$2,1,1)&amp;";"&amp;OFFSET(掉落_design!$E44,0,掉落_design!M$2+1,1,1)&amp;";"&amp;OFFSET(掉落_design!$E44,0,掉落_design!M$2+2,1,1)&amp;";"&amp;OFFSET(掉落_design!$E44,0,掉落_design!M$2+3,1,1))</f>
        <v>20133;1;1;1</v>
      </c>
      <c r="O44" s="16" t="str">
        <f ca="1">IF(OFFSET(掉落_design!$E44,0,掉落_design!N$2,1,1)="","",OFFSET(掉落_design!$E44,0,掉落_design!N$2,1,1)&amp;";"&amp;OFFSET(掉落_design!$E44,0,掉落_design!N$2+1,1,1)&amp;";"&amp;OFFSET(掉落_design!$E44,0,掉落_design!N$2+2,1,1)&amp;";"&amp;OFFSET(掉落_design!$E44,0,掉落_design!N$2+3,1,1))</f>
        <v>20234;1;1;1</v>
      </c>
      <c r="P44" s="16" t="str">
        <f ca="1">IF(OFFSET(掉落_design!$E44,0,掉落_design!O$2,1,1)="","",OFFSET(掉落_design!$E44,0,掉落_design!O$2,1,1)&amp;";"&amp;OFFSET(掉落_design!$E44,0,掉落_design!O$2+1,1,1)&amp;";"&amp;OFFSET(掉落_design!$E44,0,掉落_design!O$2+2,1,1)&amp;";"&amp;OFFSET(掉落_design!$E44,0,掉落_design!O$2+3,1,1))</f>
        <v>1001;450;500;10</v>
      </c>
      <c r="Q44" s="16" t="str">
        <f ca="1">IF(OFFSET(掉落_design!$E44,0,掉落_design!P$2,1,1)="","",OFFSET(掉落_design!$E44,0,掉落_design!P$2,1,1)&amp;";"&amp;OFFSET(掉落_design!$E44,0,掉落_design!P$2+1,1,1)&amp;";"&amp;OFFSET(掉落_design!$E44,0,掉落_design!P$2+2,1,1)&amp;";"&amp;OFFSET(掉落_design!$E44,0,掉落_design!P$2+3,1,1))</f>
        <v/>
      </c>
      <c r="R44" s="16" t="str">
        <f ca="1">IF(OFFSET(掉落_design!$E44,0,掉落_design!Q$2,1,1)="","",OFFSET(掉落_design!$E44,0,掉落_design!Q$2,1,1)&amp;";"&amp;OFFSET(掉落_design!$E44,0,掉落_design!Q$2+1,1,1)&amp;";"&amp;OFFSET(掉落_design!$E44,0,掉落_design!Q$2+2,1,1)&amp;";"&amp;OFFSET(掉落_design!$E44,0,掉落_design!Q$2+3,1,1))</f>
        <v/>
      </c>
      <c r="S44" s="16" t="str">
        <f ca="1">IF(OFFSET(掉落_design!$E44,0,掉落_design!R$2,1,1)="","",OFFSET(掉落_design!$E44,0,掉落_design!R$2,1,1)&amp;";"&amp;OFFSET(掉落_design!$E44,0,掉落_design!R$2+1,1,1)&amp;";"&amp;OFFSET(掉落_design!$E44,0,掉落_design!R$2+2,1,1)&amp;";"&amp;OFFSET(掉落_design!$E44,0,掉落_design!R$2+3,1,1))</f>
        <v/>
      </c>
      <c r="T44" s="16" t="str">
        <f ca="1">IF(OFFSET(掉落_design!$E44,0,掉落_design!S$2,1,1)="","",OFFSET(掉落_design!$E44,0,掉落_design!S$2,1,1)&amp;";"&amp;OFFSET(掉落_design!$E44,0,掉落_design!S$2+1,1,1)&amp;";"&amp;OFFSET(掉落_design!$E44,0,掉落_design!S$2+2,1,1)&amp;";"&amp;OFFSET(掉落_design!$E44,0,掉落_design!S$2+3,1,1))</f>
        <v/>
      </c>
      <c r="U44" s="16" t="str">
        <f ca="1">IF(OFFSET(掉落_design!$E44,0,掉落_design!T$2,1,1)="","",OFFSET(掉落_design!$E44,0,掉落_design!T$2,1,1)&amp;";"&amp;OFFSET(掉落_design!$E44,0,掉落_design!T$2+1,1,1)&amp;";"&amp;OFFSET(掉落_design!$E44,0,掉落_design!T$2+2,1,1)&amp;";"&amp;OFFSET(掉落_design!$E44,0,掉落_design!T$2+3,1,1))</f>
        <v/>
      </c>
      <c r="V44" s="16" t="str">
        <f ca="1">IF(OFFSET(掉落_design!$E44,0,掉落_design!U$2,1,1)="","",OFFSET(掉落_design!$E44,0,掉落_design!U$2,1,1)&amp;";"&amp;OFFSET(掉落_design!$E44,0,掉落_design!U$2+1,1,1)&amp;";"&amp;OFFSET(掉落_design!$E44,0,掉落_design!U$2+2,1,1)&amp;";"&amp;OFFSET(掉落_design!$E44,0,掉落_design!U$2+3,1,1))</f>
        <v/>
      </c>
      <c r="W44" s="16" t="str">
        <f ca="1">IF(OFFSET(掉落_design!$E44,0,掉落_design!V$2,1,1)="","",OFFSET(掉落_design!$E44,0,掉落_design!V$2,1,1)&amp;";"&amp;OFFSET(掉落_design!$E44,0,掉落_design!V$2+1,1,1)&amp;";"&amp;OFFSET(掉落_design!$E44,0,掉落_design!V$2+2,1,1)&amp;";"&amp;OFFSET(掉落_design!$E44,0,掉落_design!V$2+3,1,1))</f>
        <v/>
      </c>
      <c r="X44" s="16" t="str">
        <f ca="1">IF(OFFSET(掉落_design!$E44,0,掉落_design!W$2,1,1)="","",OFFSET(掉落_design!$E44,0,掉落_design!W$2,1,1)&amp;";"&amp;OFFSET(掉落_design!$E44,0,掉落_design!W$2+1,1,1)&amp;";"&amp;OFFSET(掉落_design!$E44,0,掉落_design!W$2+2,1,1)&amp;";"&amp;OFFSET(掉落_design!$E44,0,掉落_design!W$2+3,1,1))</f>
        <v/>
      </c>
      <c r="Y44" s="16" t="str">
        <f ca="1">IF(OFFSET(掉落_design!$E44,0,掉落_design!X$2,1,1)="","",OFFSET(掉落_design!$E44,0,掉落_design!X$2,1,1)&amp;";"&amp;OFFSET(掉落_design!$E44,0,掉落_design!X$2+1,1,1)&amp;";"&amp;OFFSET(掉落_design!$E44,0,掉落_design!X$2+2,1,1)&amp;";"&amp;OFFSET(掉落_design!$E44,0,掉落_design!X$2+3,1,1))</f>
        <v/>
      </c>
    </row>
    <row r="45" spans="1:25" x14ac:dyDescent="0.15">
      <c r="A45" s="11" t="str">
        <f t="shared" si="0"/>
        <v/>
      </c>
      <c r="B45" s="25"/>
      <c r="C45" s="25"/>
      <c r="D45" s="15" t="str">
        <f>IF(掉落_design!C45="","",掉落_design!C45)</f>
        <v/>
      </c>
      <c r="E45" s="15" t="str">
        <f>IF(A45="","",掉落_design!D45)</f>
        <v/>
      </c>
      <c r="F45" s="16" t="str">
        <f ca="1">IF(OFFSET(掉落_design!$E45,0,掉落_design!E$2,1,1)="","",OFFSET(掉落_design!$E45,0,掉落_design!E$2,1,1)&amp;";"&amp;OFFSET(掉落_design!$E45,0,掉落_design!E$2+1,1,1)&amp;";"&amp;OFFSET(掉落_design!$E45,0,掉落_design!E$2+2,1,1)&amp;";"&amp;OFFSET(掉落_design!$E45,0,掉落_design!E$2+3,1,1))</f>
        <v/>
      </c>
      <c r="G45" s="16" t="str">
        <f ca="1">IF(OFFSET(掉落_design!$E45,0,掉落_design!F$2,1,1)="","",OFFSET(掉落_design!$E45,0,掉落_design!F$2,1,1)&amp;";"&amp;OFFSET(掉落_design!$E45,0,掉落_design!F$2+1,1,1)&amp;";"&amp;OFFSET(掉落_design!$E45,0,掉落_design!F$2+2,1,1)&amp;";"&amp;OFFSET(掉落_design!$E45,0,掉落_design!F$2+3,1,1))</f>
        <v/>
      </c>
      <c r="H45" s="16" t="str">
        <f ca="1">IF(OFFSET(掉落_design!$E45,0,掉落_design!G$2,1,1)="","",OFFSET(掉落_design!$E45,0,掉落_design!G$2,1,1)&amp;";"&amp;OFFSET(掉落_design!$E45,0,掉落_design!G$2+1,1,1)&amp;";"&amp;OFFSET(掉落_design!$E45,0,掉落_design!G$2+2,1,1)&amp;";"&amp;OFFSET(掉落_design!$E45,0,掉落_design!G$2+3,1,1))</f>
        <v/>
      </c>
      <c r="I45" s="16" t="str">
        <f ca="1">IF(OFFSET(掉落_design!$E45,0,掉落_design!H$2,1,1)="","",OFFSET(掉落_design!$E45,0,掉落_design!H$2,1,1)&amp;";"&amp;OFFSET(掉落_design!$E45,0,掉落_design!H$2+1,1,1)&amp;";"&amp;OFFSET(掉落_design!$E45,0,掉落_design!H$2+2,1,1)&amp;";"&amp;OFFSET(掉落_design!$E45,0,掉落_design!H$2+3,1,1))</f>
        <v/>
      </c>
      <c r="J45" s="16" t="str">
        <f ca="1">IF(OFFSET(掉落_design!$E45,0,掉落_design!I$2,1,1)="","",OFFSET(掉落_design!$E45,0,掉落_design!I$2,1,1)&amp;";"&amp;OFFSET(掉落_design!$E45,0,掉落_design!I$2+1,1,1)&amp;";"&amp;OFFSET(掉落_design!$E45,0,掉落_design!I$2+2,1,1)&amp;";"&amp;OFFSET(掉落_design!$E45,0,掉落_design!I$2+3,1,1))</f>
        <v/>
      </c>
      <c r="K45" s="16" t="str">
        <f ca="1">IF(OFFSET(掉落_design!$E45,0,掉落_design!J$2,1,1)="","",OFFSET(掉落_design!$E45,0,掉落_design!J$2,1,1)&amp;";"&amp;OFFSET(掉落_design!$E45,0,掉落_design!J$2+1,1,1)&amp;";"&amp;OFFSET(掉落_design!$E45,0,掉落_design!J$2+2,1,1)&amp;";"&amp;OFFSET(掉落_design!$E45,0,掉落_design!J$2+3,1,1))</f>
        <v/>
      </c>
      <c r="L45" s="16" t="str">
        <f ca="1">IF(OFFSET(掉落_design!$E45,0,掉落_design!K$2,1,1)="","",OFFSET(掉落_design!$E45,0,掉落_design!K$2,1,1)&amp;";"&amp;OFFSET(掉落_design!$E45,0,掉落_design!K$2+1,1,1)&amp;";"&amp;OFFSET(掉落_design!$E45,0,掉落_design!K$2+2,1,1)&amp;";"&amp;OFFSET(掉落_design!$E45,0,掉落_design!K$2+3,1,1))</f>
        <v/>
      </c>
      <c r="M45" s="16" t="str">
        <f ca="1">IF(OFFSET(掉落_design!$E45,0,掉落_design!L$2,1,1)="","",OFFSET(掉落_design!$E45,0,掉落_design!L$2,1,1)&amp;";"&amp;OFFSET(掉落_design!$E45,0,掉落_design!L$2+1,1,1)&amp;";"&amp;OFFSET(掉落_design!$E45,0,掉落_design!L$2+2,1,1)&amp;";"&amp;OFFSET(掉落_design!$E45,0,掉落_design!L$2+3,1,1))</f>
        <v/>
      </c>
      <c r="N45" s="16" t="str">
        <f ca="1">IF(OFFSET(掉落_design!$E45,0,掉落_design!M$2,1,1)="","",OFFSET(掉落_design!$E45,0,掉落_design!M$2,1,1)&amp;";"&amp;OFFSET(掉落_design!$E45,0,掉落_design!M$2+1,1,1)&amp;";"&amp;OFFSET(掉落_design!$E45,0,掉落_design!M$2+2,1,1)&amp;";"&amp;OFFSET(掉落_design!$E45,0,掉落_design!M$2+3,1,1))</f>
        <v/>
      </c>
      <c r="O45" s="16" t="str">
        <f ca="1">IF(OFFSET(掉落_design!$E45,0,掉落_design!N$2,1,1)="","",OFFSET(掉落_design!$E45,0,掉落_design!N$2,1,1)&amp;";"&amp;OFFSET(掉落_design!$E45,0,掉落_design!N$2+1,1,1)&amp;";"&amp;OFFSET(掉落_design!$E45,0,掉落_design!N$2+2,1,1)&amp;";"&amp;OFFSET(掉落_design!$E45,0,掉落_design!N$2+3,1,1))</f>
        <v/>
      </c>
      <c r="P45" s="16" t="str">
        <f ca="1">IF(OFFSET(掉落_design!$E45,0,掉落_design!O$2,1,1)="","",OFFSET(掉落_design!$E45,0,掉落_design!O$2,1,1)&amp;";"&amp;OFFSET(掉落_design!$E45,0,掉落_design!O$2+1,1,1)&amp;";"&amp;OFFSET(掉落_design!$E45,0,掉落_design!O$2+2,1,1)&amp;";"&amp;OFFSET(掉落_design!$E45,0,掉落_design!O$2+3,1,1))</f>
        <v/>
      </c>
      <c r="Q45" s="16" t="str">
        <f ca="1">IF(OFFSET(掉落_design!$E45,0,掉落_design!P$2,1,1)="","",OFFSET(掉落_design!$E45,0,掉落_design!P$2,1,1)&amp;";"&amp;OFFSET(掉落_design!$E45,0,掉落_design!P$2+1,1,1)&amp;";"&amp;OFFSET(掉落_design!$E45,0,掉落_design!P$2+2,1,1)&amp;";"&amp;OFFSET(掉落_design!$E45,0,掉落_design!P$2+3,1,1))</f>
        <v/>
      </c>
      <c r="R45" s="16" t="str">
        <f ca="1">IF(OFFSET(掉落_design!$E45,0,掉落_design!Q$2,1,1)="","",OFFSET(掉落_design!$E45,0,掉落_design!Q$2,1,1)&amp;";"&amp;OFFSET(掉落_design!$E45,0,掉落_design!Q$2+1,1,1)&amp;";"&amp;OFFSET(掉落_design!$E45,0,掉落_design!Q$2+2,1,1)&amp;";"&amp;OFFSET(掉落_design!$E45,0,掉落_design!Q$2+3,1,1))</f>
        <v/>
      </c>
      <c r="S45" s="16" t="str">
        <f ca="1">IF(OFFSET(掉落_design!$E45,0,掉落_design!R$2,1,1)="","",OFFSET(掉落_design!$E45,0,掉落_design!R$2,1,1)&amp;";"&amp;OFFSET(掉落_design!$E45,0,掉落_design!R$2+1,1,1)&amp;";"&amp;OFFSET(掉落_design!$E45,0,掉落_design!R$2+2,1,1)&amp;";"&amp;OFFSET(掉落_design!$E45,0,掉落_design!R$2+3,1,1))</f>
        <v/>
      </c>
      <c r="T45" s="16" t="str">
        <f ca="1">IF(OFFSET(掉落_design!$E45,0,掉落_design!S$2,1,1)="","",OFFSET(掉落_design!$E45,0,掉落_design!S$2,1,1)&amp;";"&amp;OFFSET(掉落_design!$E45,0,掉落_design!S$2+1,1,1)&amp;";"&amp;OFFSET(掉落_design!$E45,0,掉落_design!S$2+2,1,1)&amp;";"&amp;OFFSET(掉落_design!$E45,0,掉落_design!S$2+3,1,1))</f>
        <v/>
      </c>
      <c r="U45" s="16" t="str">
        <f ca="1">IF(OFFSET(掉落_design!$E45,0,掉落_design!T$2,1,1)="","",OFFSET(掉落_design!$E45,0,掉落_design!T$2,1,1)&amp;";"&amp;OFFSET(掉落_design!$E45,0,掉落_design!T$2+1,1,1)&amp;";"&amp;OFFSET(掉落_design!$E45,0,掉落_design!T$2+2,1,1)&amp;";"&amp;OFFSET(掉落_design!$E45,0,掉落_design!T$2+3,1,1))</f>
        <v/>
      </c>
      <c r="V45" s="16" t="str">
        <f ca="1">IF(OFFSET(掉落_design!$E45,0,掉落_design!U$2,1,1)="","",OFFSET(掉落_design!$E45,0,掉落_design!U$2,1,1)&amp;";"&amp;OFFSET(掉落_design!$E45,0,掉落_design!U$2+1,1,1)&amp;";"&amp;OFFSET(掉落_design!$E45,0,掉落_design!U$2+2,1,1)&amp;";"&amp;OFFSET(掉落_design!$E45,0,掉落_design!U$2+3,1,1))</f>
        <v/>
      </c>
      <c r="W45" s="16" t="str">
        <f ca="1">IF(OFFSET(掉落_design!$E45,0,掉落_design!V$2,1,1)="","",OFFSET(掉落_design!$E45,0,掉落_design!V$2,1,1)&amp;";"&amp;OFFSET(掉落_design!$E45,0,掉落_design!V$2+1,1,1)&amp;";"&amp;OFFSET(掉落_design!$E45,0,掉落_design!V$2+2,1,1)&amp;";"&amp;OFFSET(掉落_design!$E45,0,掉落_design!V$2+3,1,1))</f>
        <v/>
      </c>
      <c r="X45" s="16" t="str">
        <f ca="1">IF(OFFSET(掉落_design!$E45,0,掉落_design!W$2,1,1)="","",OFFSET(掉落_design!$E45,0,掉落_design!W$2,1,1)&amp;";"&amp;OFFSET(掉落_design!$E45,0,掉落_design!W$2+1,1,1)&amp;";"&amp;OFFSET(掉落_design!$E45,0,掉落_design!W$2+2,1,1)&amp;";"&amp;OFFSET(掉落_design!$E45,0,掉落_design!W$2+3,1,1))</f>
        <v/>
      </c>
      <c r="Y45" s="16" t="str">
        <f ca="1">IF(OFFSET(掉落_design!$E45,0,掉落_design!X$2,1,1)="","",OFFSET(掉落_design!$E45,0,掉落_design!X$2,1,1)&amp;";"&amp;OFFSET(掉落_design!$E45,0,掉落_design!X$2+1,1,1)&amp;";"&amp;OFFSET(掉落_design!$E45,0,掉落_design!X$2+2,1,1)&amp;";"&amp;OFFSET(掉落_design!$E45,0,掉落_design!X$2+3,1,1))</f>
        <v/>
      </c>
    </row>
    <row r="46" spans="1:25" x14ac:dyDescent="0.15">
      <c r="A46" s="11" t="str">
        <f t="shared" si="0"/>
        <v>DATA</v>
      </c>
      <c r="B46" s="25"/>
      <c r="C46" s="25"/>
      <c r="D46" s="15">
        <f>IF(掉落_design!C46="","",掉落_design!C46)</f>
        <v>11000</v>
      </c>
      <c r="E46" s="15">
        <f>IF(A46="","",掉落_design!D46)</f>
        <v>1</v>
      </c>
      <c r="F46" s="16" t="str">
        <f ca="1">IF(OFFSET(掉落_design!$E46,0,掉落_design!E$2,1,1)="","",OFFSET(掉落_design!$E46,0,掉落_design!E$2,1,1)&amp;";"&amp;OFFSET(掉落_design!$E46,0,掉落_design!E$2+1,1,1)&amp;";"&amp;OFFSET(掉落_design!$E46,0,掉落_design!E$2+2,1,1)&amp;";"&amp;OFFSET(掉落_design!$E46,0,掉落_design!E$2+3,1,1))</f>
        <v>1001;80;100;1000</v>
      </c>
      <c r="G46" s="16" t="str">
        <f ca="1">IF(OFFSET(掉落_design!$E46,0,掉落_design!F$2,1,1)="","",OFFSET(掉落_design!$E46,0,掉落_design!F$2,1,1)&amp;";"&amp;OFFSET(掉落_design!$E46,0,掉落_design!F$2+1,1,1)&amp;";"&amp;OFFSET(掉落_design!$E46,0,掉落_design!F$2+2,1,1)&amp;";"&amp;OFFSET(掉落_design!$E46,0,掉落_design!F$2+3,1,1))</f>
        <v>1204;1;1;1000</v>
      </c>
      <c r="H46" s="16" t="str">
        <f ca="1">IF(OFFSET(掉落_design!$E46,0,掉落_design!G$2,1,1)="","",OFFSET(掉落_design!$E46,0,掉落_design!G$2,1,1)&amp;";"&amp;OFFSET(掉落_design!$E46,0,掉落_design!G$2+1,1,1)&amp;";"&amp;OFFSET(掉落_design!$E46,0,掉落_design!G$2+2,1,1)&amp;";"&amp;OFFSET(掉落_design!$E46,0,掉落_design!G$2+3,1,1))</f>
        <v/>
      </c>
      <c r="I46" s="16" t="str">
        <f ca="1">IF(OFFSET(掉落_design!$E46,0,掉落_design!H$2,1,1)="","",OFFSET(掉落_design!$E46,0,掉落_design!H$2,1,1)&amp;";"&amp;OFFSET(掉落_design!$E46,0,掉落_design!H$2+1,1,1)&amp;";"&amp;OFFSET(掉落_design!$E46,0,掉落_design!H$2+2,1,1)&amp;";"&amp;OFFSET(掉落_design!$E46,0,掉落_design!H$2+3,1,1))</f>
        <v/>
      </c>
      <c r="J46" s="16" t="str">
        <f ca="1">IF(OFFSET(掉落_design!$E46,0,掉落_design!I$2,1,1)="","",OFFSET(掉落_design!$E46,0,掉落_design!I$2,1,1)&amp;";"&amp;OFFSET(掉落_design!$E46,0,掉落_design!I$2+1,1,1)&amp;";"&amp;OFFSET(掉落_design!$E46,0,掉落_design!I$2+2,1,1)&amp;";"&amp;OFFSET(掉落_design!$E46,0,掉落_design!I$2+3,1,1))</f>
        <v/>
      </c>
      <c r="K46" s="16" t="str">
        <f ca="1">IF(OFFSET(掉落_design!$E46,0,掉落_design!J$2,1,1)="","",OFFSET(掉落_design!$E46,0,掉落_design!J$2,1,1)&amp;";"&amp;OFFSET(掉落_design!$E46,0,掉落_design!J$2+1,1,1)&amp;";"&amp;OFFSET(掉落_design!$E46,0,掉落_design!J$2+2,1,1)&amp;";"&amp;OFFSET(掉落_design!$E46,0,掉落_design!J$2+3,1,1))</f>
        <v/>
      </c>
      <c r="L46" s="16" t="str">
        <f ca="1">IF(OFFSET(掉落_design!$E46,0,掉落_design!K$2,1,1)="","",OFFSET(掉落_design!$E46,0,掉落_design!K$2,1,1)&amp;";"&amp;OFFSET(掉落_design!$E46,0,掉落_design!K$2+1,1,1)&amp;";"&amp;OFFSET(掉落_design!$E46,0,掉落_design!K$2+2,1,1)&amp;";"&amp;OFFSET(掉落_design!$E46,0,掉落_design!K$2+3,1,1))</f>
        <v/>
      </c>
      <c r="M46" s="16" t="str">
        <f ca="1">IF(OFFSET(掉落_design!$E46,0,掉落_design!L$2,1,1)="","",OFFSET(掉落_design!$E46,0,掉落_design!L$2,1,1)&amp;";"&amp;OFFSET(掉落_design!$E46,0,掉落_design!L$2+1,1,1)&amp;";"&amp;OFFSET(掉落_design!$E46,0,掉落_design!L$2+2,1,1)&amp;";"&amp;OFFSET(掉落_design!$E46,0,掉落_design!L$2+3,1,1))</f>
        <v/>
      </c>
      <c r="N46" s="16" t="str">
        <f ca="1">IF(OFFSET(掉落_design!$E46,0,掉落_design!M$2,1,1)="","",OFFSET(掉落_design!$E46,0,掉落_design!M$2,1,1)&amp;";"&amp;OFFSET(掉落_design!$E46,0,掉落_design!M$2+1,1,1)&amp;";"&amp;OFFSET(掉落_design!$E46,0,掉落_design!M$2+2,1,1)&amp;";"&amp;OFFSET(掉落_design!$E46,0,掉落_design!M$2+3,1,1))</f>
        <v/>
      </c>
      <c r="O46" s="16" t="str">
        <f ca="1">IF(OFFSET(掉落_design!$E46,0,掉落_design!N$2,1,1)="","",OFFSET(掉落_design!$E46,0,掉落_design!N$2,1,1)&amp;";"&amp;OFFSET(掉落_design!$E46,0,掉落_design!N$2+1,1,1)&amp;";"&amp;OFFSET(掉落_design!$E46,0,掉落_design!N$2+2,1,1)&amp;";"&amp;OFFSET(掉落_design!$E46,0,掉落_design!N$2+3,1,1))</f>
        <v/>
      </c>
      <c r="P46" s="16" t="str">
        <f ca="1">IF(OFFSET(掉落_design!$E46,0,掉落_design!O$2,1,1)="","",OFFSET(掉落_design!$E46,0,掉落_design!O$2,1,1)&amp;";"&amp;OFFSET(掉落_design!$E46,0,掉落_design!O$2+1,1,1)&amp;";"&amp;OFFSET(掉落_design!$E46,0,掉落_design!O$2+2,1,1)&amp;";"&amp;OFFSET(掉落_design!$E46,0,掉落_design!O$2+3,1,1))</f>
        <v/>
      </c>
      <c r="Q46" s="16" t="str">
        <f ca="1">IF(OFFSET(掉落_design!$E46,0,掉落_design!P$2,1,1)="","",OFFSET(掉落_design!$E46,0,掉落_design!P$2,1,1)&amp;";"&amp;OFFSET(掉落_design!$E46,0,掉落_design!P$2+1,1,1)&amp;";"&amp;OFFSET(掉落_design!$E46,0,掉落_design!P$2+2,1,1)&amp;";"&amp;OFFSET(掉落_design!$E46,0,掉落_design!P$2+3,1,1))</f>
        <v/>
      </c>
      <c r="R46" s="16" t="str">
        <f ca="1">IF(OFFSET(掉落_design!$E46,0,掉落_design!Q$2,1,1)="","",OFFSET(掉落_design!$E46,0,掉落_design!Q$2,1,1)&amp;";"&amp;OFFSET(掉落_design!$E46,0,掉落_design!Q$2+1,1,1)&amp;";"&amp;OFFSET(掉落_design!$E46,0,掉落_design!Q$2+2,1,1)&amp;";"&amp;OFFSET(掉落_design!$E46,0,掉落_design!Q$2+3,1,1))</f>
        <v/>
      </c>
      <c r="S46" s="16" t="str">
        <f ca="1">IF(OFFSET(掉落_design!$E46,0,掉落_design!R$2,1,1)="","",OFFSET(掉落_design!$E46,0,掉落_design!R$2,1,1)&amp;";"&amp;OFFSET(掉落_design!$E46,0,掉落_design!R$2+1,1,1)&amp;";"&amp;OFFSET(掉落_design!$E46,0,掉落_design!R$2+2,1,1)&amp;";"&amp;OFFSET(掉落_design!$E46,0,掉落_design!R$2+3,1,1))</f>
        <v/>
      </c>
      <c r="T46" s="16" t="str">
        <f ca="1">IF(OFFSET(掉落_design!$E46,0,掉落_design!S$2,1,1)="","",OFFSET(掉落_design!$E46,0,掉落_design!S$2,1,1)&amp;";"&amp;OFFSET(掉落_design!$E46,0,掉落_design!S$2+1,1,1)&amp;";"&amp;OFFSET(掉落_design!$E46,0,掉落_design!S$2+2,1,1)&amp;";"&amp;OFFSET(掉落_design!$E46,0,掉落_design!S$2+3,1,1))</f>
        <v/>
      </c>
      <c r="U46" s="16" t="str">
        <f ca="1">IF(OFFSET(掉落_design!$E46,0,掉落_design!T$2,1,1)="","",OFFSET(掉落_design!$E46,0,掉落_design!T$2,1,1)&amp;";"&amp;OFFSET(掉落_design!$E46,0,掉落_design!T$2+1,1,1)&amp;";"&amp;OFFSET(掉落_design!$E46,0,掉落_design!T$2+2,1,1)&amp;";"&amp;OFFSET(掉落_design!$E46,0,掉落_design!T$2+3,1,1))</f>
        <v/>
      </c>
      <c r="V46" s="16" t="str">
        <f ca="1">IF(OFFSET(掉落_design!$E46,0,掉落_design!U$2,1,1)="","",OFFSET(掉落_design!$E46,0,掉落_design!U$2,1,1)&amp;";"&amp;OFFSET(掉落_design!$E46,0,掉落_design!U$2+1,1,1)&amp;";"&amp;OFFSET(掉落_design!$E46,0,掉落_design!U$2+2,1,1)&amp;";"&amp;OFFSET(掉落_design!$E46,0,掉落_design!U$2+3,1,1))</f>
        <v/>
      </c>
      <c r="W46" s="16" t="str">
        <f ca="1">IF(OFFSET(掉落_design!$E46,0,掉落_design!V$2,1,1)="","",OFFSET(掉落_design!$E46,0,掉落_design!V$2,1,1)&amp;";"&amp;OFFSET(掉落_design!$E46,0,掉落_design!V$2+1,1,1)&amp;";"&amp;OFFSET(掉落_design!$E46,0,掉落_design!V$2+2,1,1)&amp;";"&amp;OFFSET(掉落_design!$E46,0,掉落_design!V$2+3,1,1))</f>
        <v/>
      </c>
      <c r="X46" s="16" t="str">
        <f ca="1">IF(OFFSET(掉落_design!$E46,0,掉落_design!W$2,1,1)="","",OFFSET(掉落_design!$E46,0,掉落_design!W$2,1,1)&amp;";"&amp;OFFSET(掉落_design!$E46,0,掉落_design!W$2+1,1,1)&amp;";"&amp;OFFSET(掉落_design!$E46,0,掉落_design!W$2+2,1,1)&amp;";"&amp;OFFSET(掉落_design!$E46,0,掉落_design!W$2+3,1,1))</f>
        <v/>
      </c>
      <c r="Y46" s="16" t="str">
        <f ca="1">IF(OFFSET(掉落_design!$E46,0,掉落_design!X$2,1,1)="","",OFFSET(掉落_design!$E46,0,掉落_design!X$2,1,1)&amp;";"&amp;OFFSET(掉落_design!$E46,0,掉落_design!X$2+1,1,1)&amp;";"&amp;OFFSET(掉落_design!$E46,0,掉落_design!X$2+2,1,1)&amp;";"&amp;OFFSET(掉落_design!$E46,0,掉落_design!X$2+3,1,1))</f>
        <v/>
      </c>
    </row>
    <row r="47" spans="1:25" x14ac:dyDescent="0.15">
      <c r="A47" s="11" t="str">
        <f t="shared" si="0"/>
        <v>DATA</v>
      </c>
      <c r="B47" s="25"/>
      <c r="C47" s="25"/>
      <c r="D47" s="15">
        <f>IF(掉落_design!C47="","",掉落_design!C47)</f>
        <v>11001</v>
      </c>
      <c r="E47" s="15">
        <f>IF(A47="","",掉落_design!D47)</f>
        <v>2</v>
      </c>
      <c r="F47" s="16" t="str">
        <f ca="1">IF(OFFSET(掉落_design!$E47,0,掉落_design!E$2,1,1)="","",OFFSET(掉落_design!$E47,0,掉落_design!E$2,1,1)&amp;";"&amp;OFFSET(掉落_design!$E47,0,掉落_design!E$2+1,1,1)&amp;";"&amp;OFFSET(掉落_design!$E47,0,掉落_design!E$2+2,1,1)&amp;";"&amp;OFFSET(掉落_design!$E47,0,掉落_design!E$2+3,1,1))</f>
        <v>20134;1;1;1</v>
      </c>
      <c r="G47" s="16" t="str">
        <f ca="1">IF(OFFSET(掉落_design!$E47,0,掉落_design!F$2,1,1)="","",OFFSET(掉落_design!$E47,0,掉落_design!F$2,1,1)&amp;";"&amp;OFFSET(掉落_design!$E47,0,掉落_design!F$2+1,1,1)&amp;";"&amp;OFFSET(掉落_design!$E47,0,掉落_design!F$2+2,1,1)&amp;";"&amp;OFFSET(掉落_design!$E47,0,掉落_design!F$2+3,1,1))</f>
        <v>20235;1;1;1</v>
      </c>
      <c r="H47" s="16" t="str">
        <f ca="1">IF(OFFSET(掉落_design!$E47,0,掉落_design!G$2,1,1)="","",OFFSET(掉落_design!$E47,0,掉落_design!G$2,1,1)&amp;";"&amp;OFFSET(掉落_design!$E47,0,掉落_design!G$2+1,1,1)&amp;";"&amp;OFFSET(掉落_design!$E47,0,掉落_design!G$2+2,1,1)&amp;";"&amp;OFFSET(掉落_design!$E47,0,掉落_design!G$2+3,1,1))</f>
        <v>20134;1;1;1</v>
      </c>
      <c r="I47" s="16" t="str">
        <f ca="1">IF(OFFSET(掉落_design!$E47,0,掉落_design!H$2,1,1)="","",OFFSET(掉落_design!$E47,0,掉落_design!H$2,1,1)&amp;";"&amp;OFFSET(掉落_design!$E47,0,掉落_design!H$2+1,1,1)&amp;";"&amp;OFFSET(掉落_design!$E47,0,掉落_design!H$2+2,1,1)&amp;";"&amp;OFFSET(掉落_design!$E47,0,掉落_design!H$2+3,1,1))</f>
        <v>20236;1;1;1</v>
      </c>
      <c r="J47" s="16" t="str">
        <f ca="1">IF(OFFSET(掉落_design!$E47,0,掉落_design!I$2,1,1)="","",OFFSET(掉落_design!$E47,0,掉落_design!I$2,1,1)&amp;";"&amp;OFFSET(掉落_design!$E47,0,掉落_design!I$2+1,1,1)&amp;";"&amp;OFFSET(掉落_design!$E47,0,掉落_design!I$2+2,1,1)&amp;";"&amp;OFFSET(掉落_design!$E47,0,掉落_design!I$2+3,1,1))</f>
        <v>20234;1;1;1</v>
      </c>
      <c r="K47" s="16" t="str">
        <f ca="1">IF(OFFSET(掉落_design!$E47,0,掉落_design!J$2,1,1)="","",OFFSET(掉落_design!$E47,0,掉落_design!J$2,1,1)&amp;";"&amp;OFFSET(掉落_design!$E47,0,掉落_design!J$2+1,1,1)&amp;";"&amp;OFFSET(掉落_design!$E47,0,掉落_design!J$2+2,1,1)&amp;";"&amp;OFFSET(掉落_design!$E47,0,掉落_design!J$2+3,1,1))</f>
        <v>20235;1;1;1</v>
      </c>
      <c r="L47" s="16" t="str">
        <f ca="1">IF(OFFSET(掉落_design!$E47,0,掉落_design!K$2,1,1)="","",OFFSET(掉落_design!$E47,0,掉落_design!K$2,1,1)&amp;";"&amp;OFFSET(掉落_design!$E47,0,掉落_design!K$2+1,1,1)&amp;";"&amp;OFFSET(掉落_design!$E47,0,掉落_design!K$2+2,1,1)&amp;";"&amp;OFFSET(掉落_design!$E47,0,掉落_design!K$2+3,1,1))</f>
        <v>20234;1;1;1</v>
      </c>
      <c r="M47" s="16" t="str">
        <f ca="1">IF(OFFSET(掉落_design!$E47,0,掉落_design!L$2,1,1)="","",OFFSET(掉落_design!$E47,0,掉落_design!L$2,1,1)&amp;";"&amp;OFFSET(掉落_design!$E47,0,掉落_design!L$2+1,1,1)&amp;";"&amp;OFFSET(掉落_design!$E47,0,掉落_design!L$2+2,1,1)&amp;";"&amp;OFFSET(掉落_design!$E47,0,掉落_design!L$2+3,1,1))</f>
        <v>20135;1;1;1</v>
      </c>
      <c r="N47" s="16" t="str">
        <f ca="1">IF(OFFSET(掉落_design!$E47,0,掉落_design!M$2,1,1)="","",OFFSET(掉落_design!$E47,0,掉落_design!M$2,1,1)&amp;";"&amp;OFFSET(掉落_design!$E47,0,掉落_design!M$2+1,1,1)&amp;";"&amp;OFFSET(掉落_design!$E47,0,掉落_design!M$2+2,1,1)&amp;";"&amp;OFFSET(掉落_design!$E47,0,掉落_design!M$2+3,1,1))</f>
        <v>20135;1;1;1</v>
      </c>
      <c r="O47" s="16" t="str">
        <f ca="1">IF(OFFSET(掉落_design!$E47,0,掉落_design!N$2,1,1)="","",OFFSET(掉落_design!$E47,0,掉落_design!N$2,1,1)&amp;";"&amp;OFFSET(掉落_design!$E47,0,掉落_design!N$2+1,1,1)&amp;";"&amp;OFFSET(掉落_design!$E47,0,掉落_design!N$2+2,1,1)&amp;";"&amp;OFFSET(掉落_design!$E47,0,掉落_design!N$2+3,1,1))</f>
        <v>20236;1;1;1</v>
      </c>
      <c r="P47" s="16" t="str">
        <f ca="1">IF(OFFSET(掉落_design!$E47,0,掉落_design!O$2,1,1)="","",OFFSET(掉落_design!$E47,0,掉落_design!O$2,1,1)&amp;";"&amp;OFFSET(掉落_design!$E47,0,掉落_design!O$2+1,1,1)&amp;";"&amp;OFFSET(掉落_design!$E47,0,掉落_design!O$2+2,1,1)&amp;";"&amp;OFFSET(掉落_design!$E47,0,掉落_design!O$2+3,1,1))</f>
        <v>1001;500;550;10</v>
      </c>
      <c r="Q47" s="16" t="str">
        <f ca="1">IF(OFFSET(掉落_design!$E47,0,掉落_design!P$2,1,1)="","",OFFSET(掉落_design!$E47,0,掉落_design!P$2,1,1)&amp;";"&amp;OFFSET(掉落_design!$E47,0,掉落_design!P$2+1,1,1)&amp;";"&amp;OFFSET(掉落_design!$E47,0,掉落_design!P$2+2,1,1)&amp;";"&amp;OFFSET(掉落_design!$E47,0,掉落_design!P$2+3,1,1))</f>
        <v/>
      </c>
      <c r="R47" s="16" t="str">
        <f ca="1">IF(OFFSET(掉落_design!$E47,0,掉落_design!Q$2,1,1)="","",OFFSET(掉落_design!$E47,0,掉落_design!Q$2,1,1)&amp;";"&amp;OFFSET(掉落_design!$E47,0,掉落_design!Q$2+1,1,1)&amp;";"&amp;OFFSET(掉落_design!$E47,0,掉落_design!Q$2+2,1,1)&amp;";"&amp;OFFSET(掉落_design!$E47,0,掉落_design!Q$2+3,1,1))</f>
        <v/>
      </c>
      <c r="S47" s="16" t="str">
        <f ca="1">IF(OFFSET(掉落_design!$E47,0,掉落_design!R$2,1,1)="","",OFFSET(掉落_design!$E47,0,掉落_design!R$2,1,1)&amp;";"&amp;OFFSET(掉落_design!$E47,0,掉落_design!R$2+1,1,1)&amp;";"&amp;OFFSET(掉落_design!$E47,0,掉落_design!R$2+2,1,1)&amp;";"&amp;OFFSET(掉落_design!$E47,0,掉落_design!R$2+3,1,1))</f>
        <v/>
      </c>
      <c r="T47" s="16" t="str">
        <f ca="1">IF(OFFSET(掉落_design!$E47,0,掉落_design!S$2,1,1)="","",OFFSET(掉落_design!$E47,0,掉落_design!S$2,1,1)&amp;";"&amp;OFFSET(掉落_design!$E47,0,掉落_design!S$2+1,1,1)&amp;";"&amp;OFFSET(掉落_design!$E47,0,掉落_design!S$2+2,1,1)&amp;";"&amp;OFFSET(掉落_design!$E47,0,掉落_design!S$2+3,1,1))</f>
        <v/>
      </c>
      <c r="U47" s="16" t="str">
        <f ca="1">IF(OFFSET(掉落_design!$E47,0,掉落_design!T$2,1,1)="","",OFFSET(掉落_design!$E47,0,掉落_design!T$2,1,1)&amp;";"&amp;OFFSET(掉落_design!$E47,0,掉落_design!T$2+1,1,1)&amp;";"&amp;OFFSET(掉落_design!$E47,0,掉落_design!T$2+2,1,1)&amp;";"&amp;OFFSET(掉落_design!$E47,0,掉落_design!T$2+3,1,1))</f>
        <v/>
      </c>
      <c r="V47" s="16" t="str">
        <f ca="1">IF(OFFSET(掉落_design!$E47,0,掉落_design!U$2,1,1)="","",OFFSET(掉落_design!$E47,0,掉落_design!U$2,1,1)&amp;";"&amp;OFFSET(掉落_design!$E47,0,掉落_design!U$2+1,1,1)&amp;";"&amp;OFFSET(掉落_design!$E47,0,掉落_design!U$2+2,1,1)&amp;";"&amp;OFFSET(掉落_design!$E47,0,掉落_design!U$2+3,1,1))</f>
        <v/>
      </c>
      <c r="W47" s="16" t="str">
        <f ca="1">IF(OFFSET(掉落_design!$E47,0,掉落_design!V$2,1,1)="","",OFFSET(掉落_design!$E47,0,掉落_design!V$2,1,1)&amp;";"&amp;OFFSET(掉落_design!$E47,0,掉落_design!V$2+1,1,1)&amp;";"&amp;OFFSET(掉落_design!$E47,0,掉落_design!V$2+2,1,1)&amp;";"&amp;OFFSET(掉落_design!$E47,0,掉落_design!V$2+3,1,1))</f>
        <v/>
      </c>
      <c r="X47" s="16" t="str">
        <f ca="1">IF(OFFSET(掉落_design!$E47,0,掉落_design!W$2,1,1)="","",OFFSET(掉落_design!$E47,0,掉落_design!W$2,1,1)&amp;";"&amp;OFFSET(掉落_design!$E47,0,掉落_design!W$2+1,1,1)&amp;";"&amp;OFFSET(掉落_design!$E47,0,掉落_design!W$2+2,1,1)&amp;";"&amp;OFFSET(掉落_design!$E47,0,掉落_design!W$2+3,1,1))</f>
        <v/>
      </c>
      <c r="Y47" s="16" t="str">
        <f ca="1">IF(OFFSET(掉落_design!$E47,0,掉落_design!X$2,1,1)="","",OFFSET(掉落_design!$E47,0,掉落_design!X$2,1,1)&amp;";"&amp;OFFSET(掉落_design!$E47,0,掉落_design!X$2+1,1,1)&amp;";"&amp;OFFSET(掉落_design!$E47,0,掉落_design!X$2+2,1,1)&amp;";"&amp;OFFSET(掉落_design!$E47,0,掉落_design!X$2+3,1,1))</f>
        <v/>
      </c>
    </row>
    <row r="48" spans="1:25" x14ac:dyDescent="0.15">
      <c r="A48" s="11" t="str">
        <f t="shared" si="0"/>
        <v/>
      </c>
      <c r="B48" s="25"/>
      <c r="C48" s="25"/>
      <c r="D48" s="15" t="str">
        <f>IF(掉落_design!C48="","",掉落_design!C48)</f>
        <v/>
      </c>
      <c r="E48" s="15" t="str">
        <f>IF(A48="","",掉落_design!D48)</f>
        <v/>
      </c>
      <c r="F48" s="16" t="str">
        <f ca="1">IF(OFFSET(掉落_design!$E48,0,掉落_design!E$2,1,1)="","",OFFSET(掉落_design!$E48,0,掉落_design!E$2,1,1)&amp;";"&amp;OFFSET(掉落_design!$E48,0,掉落_design!E$2+1,1,1)&amp;";"&amp;OFFSET(掉落_design!$E48,0,掉落_design!E$2+2,1,1)&amp;";"&amp;OFFSET(掉落_design!$E48,0,掉落_design!E$2+3,1,1))</f>
        <v/>
      </c>
      <c r="G48" s="16" t="str">
        <f ca="1">IF(OFFSET(掉落_design!$E48,0,掉落_design!F$2,1,1)="","",OFFSET(掉落_design!$E48,0,掉落_design!F$2,1,1)&amp;";"&amp;OFFSET(掉落_design!$E48,0,掉落_design!F$2+1,1,1)&amp;";"&amp;OFFSET(掉落_design!$E48,0,掉落_design!F$2+2,1,1)&amp;";"&amp;OFFSET(掉落_design!$E48,0,掉落_design!F$2+3,1,1))</f>
        <v/>
      </c>
      <c r="H48" s="16" t="str">
        <f ca="1">IF(OFFSET(掉落_design!$E48,0,掉落_design!G$2,1,1)="","",OFFSET(掉落_design!$E48,0,掉落_design!G$2,1,1)&amp;";"&amp;OFFSET(掉落_design!$E48,0,掉落_design!G$2+1,1,1)&amp;";"&amp;OFFSET(掉落_design!$E48,0,掉落_design!G$2+2,1,1)&amp;";"&amp;OFFSET(掉落_design!$E48,0,掉落_design!G$2+3,1,1))</f>
        <v/>
      </c>
      <c r="I48" s="16" t="str">
        <f ca="1">IF(OFFSET(掉落_design!$E48,0,掉落_design!H$2,1,1)="","",OFFSET(掉落_design!$E48,0,掉落_design!H$2,1,1)&amp;";"&amp;OFFSET(掉落_design!$E48,0,掉落_design!H$2+1,1,1)&amp;";"&amp;OFFSET(掉落_design!$E48,0,掉落_design!H$2+2,1,1)&amp;";"&amp;OFFSET(掉落_design!$E48,0,掉落_design!H$2+3,1,1))</f>
        <v/>
      </c>
      <c r="J48" s="16" t="str">
        <f ca="1">IF(OFFSET(掉落_design!$E48,0,掉落_design!I$2,1,1)="","",OFFSET(掉落_design!$E48,0,掉落_design!I$2,1,1)&amp;";"&amp;OFFSET(掉落_design!$E48,0,掉落_design!I$2+1,1,1)&amp;";"&amp;OFFSET(掉落_design!$E48,0,掉落_design!I$2+2,1,1)&amp;";"&amp;OFFSET(掉落_design!$E48,0,掉落_design!I$2+3,1,1))</f>
        <v/>
      </c>
      <c r="K48" s="16" t="str">
        <f ca="1">IF(OFFSET(掉落_design!$E48,0,掉落_design!J$2,1,1)="","",OFFSET(掉落_design!$E48,0,掉落_design!J$2,1,1)&amp;";"&amp;OFFSET(掉落_design!$E48,0,掉落_design!J$2+1,1,1)&amp;";"&amp;OFFSET(掉落_design!$E48,0,掉落_design!J$2+2,1,1)&amp;";"&amp;OFFSET(掉落_design!$E48,0,掉落_design!J$2+3,1,1))</f>
        <v/>
      </c>
      <c r="L48" s="16" t="str">
        <f ca="1">IF(OFFSET(掉落_design!$E48,0,掉落_design!K$2,1,1)="","",OFFSET(掉落_design!$E48,0,掉落_design!K$2,1,1)&amp;";"&amp;OFFSET(掉落_design!$E48,0,掉落_design!K$2+1,1,1)&amp;";"&amp;OFFSET(掉落_design!$E48,0,掉落_design!K$2+2,1,1)&amp;";"&amp;OFFSET(掉落_design!$E48,0,掉落_design!K$2+3,1,1))</f>
        <v/>
      </c>
      <c r="M48" s="16" t="str">
        <f ca="1">IF(OFFSET(掉落_design!$E48,0,掉落_design!L$2,1,1)="","",OFFSET(掉落_design!$E48,0,掉落_design!L$2,1,1)&amp;";"&amp;OFFSET(掉落_design!$E48,0,掉落_design!L$2+1,1,1)&amp;";"&amp;OFFSET(掉落_design!$E48,0,掉落_design!L$2+2,1,1)&amp;";"&amp;OFFSET(掉落_design!$E48,0,掉落_design!L$2+3,1,1))</f>
        <v/>
      </c>
      <c r="N48" s="16" t="str">
        <f ca="1">IF(OFFSET(掉落_design!$E48,0,掉落_design!M$2,1,1)="","",OFFSET(掉落_design!$E48,0,掉落_design!M$2,1,1)&amp;";"&amp;OFFSET(掉落_design!$E48,0,掉落_design!M$2+1,1,1)&amp;";"&amp;OFFSET(掉落_design!$E48,0,掉落_design!M$2+2,1,1)&amp;";"&amp;OFFSET(掉落_design!$E48,0,掉落_design!M$2+3,1,1))</f>
        <v/>
      </c>
      <c r="O48" s="16" t="str">
        <f ca="1">IF(OFFSET(掉落_design!$E48,0,掉落_design!N$2,1,1)="","",OFFSET(掉落_design!$E48,0,掉落_design!N$2,1,1)&amp;";"&amp;OFFSET(掉落_design!$E48,0,掉落_design!N$2+1,1,1)&amp;";"&amp;OFFSET(掉落_design!$E48,0,掉落_design!N$2+2,1,1)&amp;";"&amp;OFFSET(掉落_design!$E48,0,掉落_design!N$2+3,1,1))</f>
        <v/>
      </c>
      <c r="P48" s="16" t="str">
        <f ca="1">IF(OFFSET(掉落_design!$E48,0,掉落_design!O$2,1,1)="","",OFFSET(掉落_design!$E48,0,掉落_design!O$2,1,1)&amp;";"&amp;OFFSET(掉落_design!$E48,0,掉落_design!O$2+1,1,1)&amp;";"&amp;OFFSET(掉落_design!$E48,0,掉落_design!O$2+2,1,1)&amp;";"&amp;OFFSET(掉落_design!$E48,0,掉落_design!O$2+3,1,1))</f>
        <v/>
      </c>
      <c r="Q48" s="16" t="str">
        <f ca="1">IF(OFFSET(掉落_design!$E48,0,掉落_design!P$2,1,1)="","",OFFSET(掉落_design!$E48,0,掉落_design!P$2,1,1)&amp;";"&amp;OFFSET(掉落_design!$E48,0,掉落_design!P$2+1,1,1)&amp;";"&amp;OFFSET(掉落_design!$E48,0,掉落_design!P$2+2,1,1)&amp;";"&amp;OFFSET(掉落_design!$E48,0,掉落_design!P$2+3,1,1))</f>
        <v/>
      </c>
      <c r="R48" s="16" t="str">
        <f ca="1">IF(OFFSET(掉落_design!$E48,0,掉落_design!Q$2,1,1)="","",OFFSET(掉落_design!$E48,0,掉落_design!Q$2,1,1)&amp;";"&amp;OFFSET(掉落_design!$E48,0,掉落_design!Q$2+1,1,1)&amp;";"&amp;OFFSET(掉落_design!$E48,0,掉落_design!Q$2+2,1,1)&amp;";"&amp;OFFSET(掉落_design!$E48,0,掉落_design!Q$2+3,1,1))</f>
        <v/>
      </c>
      <c r="S48" s="16" t="str">
        <f ca="1">IF(OFFSET(掉落_design!$E48,0,掉落_design!R$2,1,1)="","",OFFSET(掉落_design!$E48,0,掉落_design!R$2,1,1)&amp;";"&amp;OFFSET(掉落_design!$E48,0,掉落_design!R$2+1,1,1)&amp;";"&amp;OFFSET(掉落_design!$E48,0,掉落_design!R$2+2,1,1)&amp;";"&amp;OFFSET(掉落_design!$E48,0,掉落_design!R$2+3,1,1))</f>
        <v/>
      </c>
      <c r="T48" s="16" t="str">
        <f ca="1">IF(OFFSET(掉落_design!$E48,0,掉落_design!S$2,1,1)="","",OFFSET(掉落_design!$E48,0,掉落_design!S$2,1,1)&amp;";"&amp;OFFSET(掉落_design!$E48,0,掉落_design!S$2+1,1,1)&amp;";"&amp;OFFSET(掉落_design!$E48,0,掉落_design!S$2+2,1,1)&amp;";"&amp;OFFSET(掉落_design!$E48,0,掉落_design!S$2+3,1,1))</f>
        <v/>
      </c>
      <c r="U48" s="16" t="str">
        <f ca="1">IF(OFFSET(掉落_design!$E48,0,掉落_design!T$2,1,1)="","",OFFSET(掉落_design!$E48,0,掉落_design!T$2,1,1)&amp;";"&amp;OFFSET(掉落_design!$E48,0,掉落_design!T$2+1,1,1)&amp;";"&amp;OFFSET(掉落_design!$E48,0,掉落_design!T$2+2,1,1)&amp;";"&amp;OFFSET(掉落_design!$E48,0,掉落_design!T$2+3,1,1))</f>
        <v/>
      </c>
      <c r="V48" s="16" t="str">
        <f ca="1">IF(OFFSET(掉落_design!$E48,0,掉落_design!U$2,1,1)="","",OFFSET(掉落_design!$E48,0,掉落_design!U$2,1,1)&amp;";"&amp;OFFSET(掉落_design!$E48,0,掉落_design!U$2+1,1,1)&amp;";"&amp;OFFSET(掉落_design!$E48,0,掉落_design!U$2+2,1,1)&amp;";"&amp;OFFSET(掉落_design!$E48,0,掉落_design!U$2+3,1,1))</f>
        <v/>
      </c>
      <c r="W48" s="16" t="str">
        <f ca="1">IF(OFFSET(掉落_design!$E48,0,掉落_design!V$2,1,1)="","",OFFSET(掉落_design!$E48,0,掉落_design!V$2,1,1)&amp;";"&amp;OFFSET(掉落_design!$E48,0,掉落_design!V$2+1,1,1)&amp;";"&amp;OFFSET(掉落_design!$E48,0,掉落_design!V$2+2,1,1)&amp;";"&amp;OFFSET(掉落_design!$E48,0,掉落_design!V$2+3,1,1))</f>
        <v/>
      </c>
      <c r="X48" s="16" t="str">
        <f ca="1">IF(OFFSET(掉落_design!$E48,0,掉落_design!W$2,1,1)="","",OFFSET(掉落_design!$E48,0,掉落_design!W$2,1,1)&amp;";"&amp;OFFSET(掉落_design!$E48,0,掉落_design!W$2+1,1,1)&amp;";"&amp;OFFSET(掉落_design!$E48,0,掉落_design!W$2+2,1,1)&amp;";"&amp;OFFSET(掉落_design!$E48,0,掉落_design!W$2+3,1,1))</f>
        <v/>
      </c>
      <c r="Y48" s="16" t="str">
        <f ca="1">IF(OFFSET(掉落_design!$E48,0,掉落_design!X$2,1,1)="","",OFFSET(掉落_design!$E48,0,掉落_design!X$2,1,1)&amp;";"&amp;OFFSET(掉落_design!$E48,0,掉落_design!X$2+1,1,1)&amp;";"&amp;OFFSET(掉落_design!$E48,0,掉落_design!X$2+2,1,1)&amp;";"&amp;OFFSET(掉落_design!$E48,0,掉落_design!X$2+3,1,1))</f>
        <v/>
      </c>
    </row>
    <row r="49" spans="1:25" x14ac:dyDescent="0.15">
      <c r="A49" s="11" t="str">
        <f t="shared" si="0"/>
        <v/>
      </c>
      <c r="B49" s="25"/>
      <c r="C49" s="25"/>
      <c r="D49" s="15" t="str">
        <f>IF(掉落_design!C49="","",掉落_design!C49)</f>
        <v/>
      </c>
      <c r="E49" s="15" t="str">
        <f>IF(A49="","",掉落_design!D49)</f>
        <v/>
      </c>
      <c r="F49" s="16" t="str">
        <f ca="1">IF(OFFSET(掉落_design!$E49,0,掉落_design!E$2,1,1)="","",OFFSET(掉落_design!$E49,0,掉落_design!E$2,1,1)&amp;";"&amp;OFFSET(掉落_design!$E49,0,掉落_design!E$2+1,1,1)&amp;";"&amp;OFFSET(掉落_design!$E49,0,掉落_design!E$2+2,1,1)&amp;";"&amp;OFFSET(掉落_design!$E49,0,掉落_design!E$2+3,1,1))</f>
        <v/>
      </c>
      <c r="G49" s="16" t="str">
        <f ca="1">IF(OFFSET(掉落_design!$E49,0,掉落_design!F$2,1,1)="","",OFFSET(掉落_design!$E49,0,掉落_design!F$2,1,1)&amp;";"&amp;OFFSET(掉落_design!$E49,0,掉落_design!F$2+1,1,1)&amp;";"&amp;OFFSET(掉落_design!$E49,0,掉落_design!F$2+2,1,1)&amp;";"&amp;OFFSET(掉落_design!$E49,0,掉落_design!F$2+3,1,1))</f>
        <v/>
      </c>
      <c r="H49" s="16" t="str">
        <f ca="1">IF(OFFSET(掉落_design!$E49,0,掉落_design!G$2,1,1)="","",OFFSET(掉落_design!$E49,0,掉落_design!G$2,1,1)&amp;";"&amp;OFFSET(掉落_design!$E49,0,掉落_design!G$2+1,1,1)&amp;";"&amp;OFFSET(掉落_design!$E49,0,掉落_design!G$2+2,1,1)&amp;";"&amp;OFFSET(掉落_design!$E49,0,掉落_design!G$2+3,1,1))</f>
        <v/>
      </c>
      <c r="I49" s="16" t="str">
        <f ca="1">IF(OFFSET(掉落_design!$E49,0,掉落_design!H$2,1,1)="","",OFFSET(掉落_design!$E49,0,掉落_design!H$2,1,1)&amp;";"&amp;OFFSET(掉落_design!$E49,0,掉落_design!H$2+1,1,1)&amp;";"&amp;OFFSET(掉落_design!$E49,0,掉落_design!H$2+2,1,1)&amp;";"&amp;OFFSET(掉落_design!$E49,0,掉落_design!H$2+3,1,1))</f>
        <v/>
      </c>
      <c r="J49" s="16" t="str">
        <f ca="1">IF(OFFSET(掉落_design!$E49,0,掉落_design!I$2,1,1)="","",OFFSET(掉落_design!$E49,0,掉落_design!I$2,1,1)&amp;";"&amp;OFFSET(掉落_design!$E49,0,掉落_design!I$2+1,1,1)&amp;";"&amp;OFFSET(掉落_design!$E49,0,掉落_design!I$2+2,1,1)&amp;";"&amp;OFFSET(掉落_design!$E49,0,掉落_design!I$2+3,1,1))</f>
        <v/>
      </c>
      <c r="K49" s="16" t="str">
        <f ca="1">IF(OFFSET(掉落_design!$E49,0,掉落_design!J$2,1,1)="","",OFFSET(掉落_design!$E49,0,掉落_design!J$2,1,1)&amp;";"&amp;OFFSET(掉落_design!$E49,0,掉落_design!J$2+1,1,1)&amp;";"&amp;OFFSET(掉落_design!$E49,0,掉落_design!J$2+2,1,1)&amp;";"&amp;OFFSET(掉落_design!$E49,0,掉落_design!J$2+3,1,1))</f>
        <v/>
      </c>
      <c r="L49" s="16" t="str">
        <f ca="1">IF(OFFSET(掉落_design!$E49,0,掉落_design!K$2,1,1)="","",OFFSET(掉落_design!$E49,0,掉落_design!K$2,1,1)&amp;";"&amp;OFFSET(掉落_design!$E49,0,掉落_design!K$2+1,1,1)&amp;";"&amp;OFFSET(掉落_design!$E49,0,掉落_design!K$2+2,1,1)&amp;";"&amp;OFFSET(掉落_design!$E49,0,掉落_design!K$2+3,1,1))</f>
        <v/>
      </c>
      <c r="M49" s="16" t="str">
        <f ca="1">IF(OFFSET(掉落_design!$E49,0,掉落_design!L$2,1,1)="","",OFFSET(掉落_design!$E49,0,掉落_design!L$2,1,1)&amp;";"&amp;OFFSET(掉落_design!$E49,0,掉落_design!L$2+1,1,1)&amp;";"&amp;OFFSET(掉落_design!$E49,0,掉落_design!L$2+2,1,1)&amp;";"&amp;OFFSET(掉落_design!$E49,0,掉落_design!L$2+3,1,1))</f>
        <v/>
      </c>
      <c r="N49" s="16" t="str">
        <f ca="1">IF(OFFSET(掉落_design!$E49,0,掉落_design!M$2,1,1)="","",OFFSET(掉落_design!$E49,0,掉落_design!M$2,1,1)&amp;";"&amp;OFFSET(掉落_design!$E49,0,掉落_design!M$2+1,1,1)&amp;";"&amp;OFFSET(掉落_design!$E49,0,掉落_design!M$2+2,1,1)&amp;";"&amp;OFFSET(掉落_design!$E49,0,掉落_design!M$2+3,1,1))</f>
        <v/>
      </c>
      <c r="O49" s="16" t="str">
        <f ca="1">IF(OFFSET(掉落_design!$E49,0,掉落_design!N$2,1,1)="","",OFFSET(掉落_design!$E49,0,掉落_design!N$2,1,1)&amp;";"&amp;OFFSET(掉落_design!$E49,0,掉落_design!N$2+1,1,1)&amp;";"&amp;OFFSET(掉落_design!$E49,0,掉落_design!N$2+2,1,1)&amp;";"&amp;OFFSET(掉落_design!$E49,0,掉落_design!N$2+3,1,1))</f>
        <v/>
      </c>
      <c r="P49" s="16" t="str">
        <f ca="1">IF(OFFSET(掉落_design!$E49,0,掉落_design!O$2,1,1)="","",OFFSET(掉落_design!$E49,0,掉落_design!O$2,1,1)&amp;";"&amp;OFFSET(掉落_design!$E49,0,掉落_design!O$2+1,1,1)&amp;";"&amp;OFFSET(掉落_design!$E49,0,掉落_design!O$2+2,1,1)&amp;";"&amp;OFFSET(掉落_design!$E49,0,掉落_design!O$2+3,1,1))</f>
        <v/>
      </c>
      <c r="Q49" s="16" t="str">
        <f ca="1">IF(OFFSET(掉落_design!$E49,0,掉落_design!P$2,1,1)="","",OFFSET(掉落_design!$E49,0,掉落_design!P$2,1,1)&amp;";"&amp;OFFSET(掉落_design!$E49,0,掉落_design!P$2+1,1,1)&amp;";"&amp;OFFSET(掉落_design!$E49,0,掉落_design!P$2+2,1,1)&amp;";"&amp;OFFSET(掉落_design!$E49,0,掉落_design!P$2+3,1,1))</f>
        <v/>
      </c>
      <c r="R49" s="16" t="str">
        <f ca="1">IF(OFFSET(掉落_design!$E49,0,掉落_design!Q$2,1,1)="","",OFFSET(掉落_design!$E49,0,掉落_design!Q$2,1,1)&amp;";"&amp;OFFSET(掉落_design!$E49,0,掉落_design!Q$2+1,1,1)&amp;";"&amp;OFFSET(掉落_design!$E49,0,掉落_design!Q$2+2,1,1)&amp;";"&amp;OFFSET(掉落_design!$E49,0,掉落_design!Q$2+3,1,1))</f>
        <v/>
      </c>
      <c r="S49" s="16" t="str">
        <f ca="1">IF(OFFSET(掉落_design!$E49,0,掉落_design!R$2,1,1)="","",OFFSET(掉落_design!$E49,0,掉落_design!R$2,1,1)&amp;";"&amp;OFFSET(掉落_design!$E49,0,掉落_design!R$2+1,1,1)&amp;";"&amp;OFFSET(掉落_design!$E49,0,掉落_design!R$2+2,1,1)&amp;";"&amp;OFFSET(掉落_design!$E49,0,掉落_design!R$2+3,1,1))</f>
        <v/>
      </c>
      <c r="T49" s="16" t="str">
        <f ca="1">IF(OFFSET(掉落_design!$E49,0,掉落_design!S$2,1,1)="","",OFFSET(掉落_design!$E49,0,掉落_design!S$2,1,1)&amp;";"&amp;OFFSET(掉落_design!$E49,0,掉落_design!S$2+1,1,1)&amp;";"&amp;OFFSET(掉落_design!$E49,0,掉落_design!S$2+2,1,1)&amp;";"&amp;OFFSET(掉落_design!$E49,0,掉落_design!S$2+3,1,1))</f>
        <v/>
      </c>
      <c r="U49" s="16" t="str">
        <f ca="1">IF(OFFSET(掉落_design!$E49,0,掉落_design!T$2,1,1)="","",OFFSET(掉落_design!$E49,0,掉落_design!T$2,1,1)&amp;";"&amp;OFFSET(掉落_design!$E49,0,掉落_design!T$2+1,1,1)&amp;";"&amp;OFFSET(掉落_design!$E49,0,掉落_design!T$2+2,1,1)&amp;";"&amp;OFFSET(掉落_design!$E49,0,掉落_design!T$2+3,1,1))</f>
        <v/>
      </c>
      <c r="V49" s="16" t="str">
        <f ca="1">IF(OFFSET(掉落_design!$E49,0,掉落_design!U$2,1,1)="","",OFFSET(掉落_design!$E49,0,掉落_design!U$2,1,1)&amp;";"&amp;OFFSET(掉落_design!$E49,0,掉落_design!U$2+1,1,1)&amp;";"&amp;OFFSET(掉落_design!$E49,0,掉落_design!U$2+2,1,1)&amp;";"&amp;OFFSET(掉落_design!$E49,0,掉落_design!U$2+3,1,1))</f>
        <v/>
      </c>
      <c r="W49" s="16" t="str">
        <f ca="1">IF(OFFSET(掉落_design!$E49,0,掉落_design!V$2,1,1)="","",OFFSET(掉落_design!$E49,0,掉落_design!V$2,1,1)&amp;";"&amp;OFFSET(掉落_design!$E49,0,掉落_design!V$2+1,1,1)&amp;";"&amp;OFFSET(掉落_design!$E49,0,掉落_design!V$2+2,1,1)&amp;";"&amp;OFFSET(掉落_design!$E49,0,掉落_design!V$2+3,1,1))</f>
        <v/>
      </c>
      <c r="X49" s="16" t="str">
        <f ca="1">IF(OFFSET(掉落_design!$E49,0,掉落_design!W$2,1,1)="","",OFFSET(掉落_design!$E49,0,掉落_design!W$2,1,1)&amp;";"&amp;OFFSET(掉落_design!$E49,0,掉落_design!W$2+1,1,1)&amp;";"&amp;OFFSET(掉落_design!$E49,0,掉落_design!W$2+2,1,1)&amp;";"&amp;OFFSET(掉落_design!$E49,0,掉落_design!W$2+3,1,1))</f>
        <v/>
      </c>
      <c r="Y49" s="16" t="str">
        <f ca="1">IF(OFFSET(掉落_design!$E49,0,掉落_design!X$2,1,1)="","",OFFSET(掉落_design!$E49,0,掉落_design!X$2,1,1)&amp;";"&amp;OFFSET(掉落_design!$E49,0,掉落_design!X$2+1,1,1)&amp;";"&amp;OFFSET(掉落_design!$E49,0,掉落_design!X$2+2,1,1)&amp;";"&amp;OFFSET(掉落_design!$E49,0,掉落_design!X$2+3,1,1))</f>
        <v/>
      </c>
    </row>
    <row r="50" spans="1:25" x14ac:dyDescent="0.15">
      <c r="A50" s="11" t="str">
        <f t="shared" si="0"/>
        <v>DATA</v>
      </c>
      <c r="B50" s="25"/>
      <c r="C50" s="25"/>
      <c r="D50" s="15">
        <f>IF(掉落_design!C50="","",掉落_design!C50)</f>
        <v>20100</v>
      </c>
      <c r="E50" s="15">
        <f>IF(A50="","",掉落_design!D50)</f>
        <v>1</v>
      </c>
      <c r="F50" s="16" t="str">
        <f ca="1">IF(OFFSET(掉落_design!$E50,0,掉落_design!E$2,1,1)="","",OFFSET(掉落_design!$E50,0,掉落_design!E$2,1,1)&amp;";"&amp;OFFSET(掉落_design!$E50,0,掉落_design!E$2+1,1,1)&amp;";"&amp;OFFSET(掉落_design!$E50,0,掉落_design!E$2+2,1,1)&amp;";"&amp;OFFSET(掉落_design!$E50,0,掉落_design!E$2+3,1,1))</f>
        <v>1001;1;20;1000</v>
      </c>
      <c r="G50" s="16" t="str">
        <f ca="1">IF(OFFSET(掉落_design!$E50,0,掉落_design!F$2,1,1)="","",OFFSET(掉落_design!$E50,0,掉落_design!F$2,1,1)&amp;";"&amp;OFFSET(掉落_design!$E50,0,掉落_design!F$2+1,1,1)&amp;";"&amp;OFFSET(掉落_design!$E50,0,掉落_design!F$2+2,1,1)&amp;";"&amp;OFFSET(掉落_design!$E50,0,掉落_design!F$2+3,1,1))</f>
        <v>1204;1;1;1000</v>
      </c>
      <c r="H50" s="16" t="str">
        <f ca="1">IF(OFFSET(掉落_design!$E50,0,掉落_design!G$2,1,1)="","",OFFSET(掉落_design!$E50,0,掉落_design!G$2,1,1)&amp;";"&amp;OFFSET(掉落_design!$E50,0,掉落_design!G$2+1,1,1)&amp;";"&amp;OFFSET(掉落_design!$E50,0,掉落_design!G$2+2,1,1)&amp;";"&amp;OFFSET(掉落_design!$E50,0,掉落_design!G$2+3,1,1))</f>
        <v/>
      </c>
      <c r="I50" s="16" t="str">
        <f ca="1">IF(OFFSET(掉落_design!$E50,0,掉落_design!H$2,1,1)="","",OFFSET(掉落_design!$E50,0,掉落_design!H$2,1,1)&amp;";"&amp;OFFSET(掉落_design!$E50,0,掉落_design!H$2+1,1,1)&amp;";"&amp;OFFSET(掉落_design!$E50,0,掉落_design!H$2+2,1,1)&amp;";"&amp;OFFSET(掉落_design!$E50,0,掉落_design!H$2+3,1,1))</f>
        <v/>
      </c>
      <c r="J50" s="16" t="str">
        <f ca="1">IF(OFFSET(掉落_design!$E50,0,掉落_design!I$2,1,1)="","",OFFSET(掉落_design!$E50,0,掉落_design!I$2,1,1)&amp;";"&amp;OFFSET(掉落_design!$E50,0,掉落_design!I$2+1,1,1)&amp;";"&amp;OFFSET(掉落_design!$E50,0,掉落_design!I$2+2,1,1)&amp;";"&amp;OFFSET(掉落_design!$E50,0,掉落_design!I$2+3,1,1))</f>
        <v/>
      </c>
      <c r="K50" s="16" t="str">
        <f ca="1">IF(OFFSET(掉落_design!$E50,0,掉落_design!J$2,1,1)="","",OFFSET(掉落_design!$E50,0,掉落_design!J$2,1,1)&amp;";"&amp;OFFSET(掉落_design!$E50,0,掉落_design!J$2+1,1,1)&amp;";"&amp;OFFSET(掉落_design!$E50,0,掉落_design!J$2+2,1,1)&amp;";"&amp;OFFSET(掉落_design!$E50,0,掉落_design!J$2+3,1,1))</f>
        <v/>
      </c>
      <c r="L50" s="16" t="str">
        <f ca="1">IF(OFFSET(掉落_design!$E50,0,掉落_design!K$2,1,1)="","",OFFSET(掉落_design!$E50,0,掉落_design!K$2,1,1)&amp;";"&amp;OFFSET(掉落_design!$E50,0,掉落_design!K$2+1,1,1)&amp;";"&amp;OFFSET(掉落_design!$E50,0,掉落_design!K$2+2,1,1)&amp;";"&amp;OFFSET(掉落_design!$E50,0,掉落_design!K$2+3,1,1))</f>
        <v/>
      </c>
      <c r="M50" s="16" t="str">
        <f ca="1">IF(OFFSET(掉落_design!$E50,0,掉落_design!L$2,1,1)="","",OFFSET(掉落_design!$E50,0,掉落_design!L$2,1,1)&amp;";"&amp;OFFSET(掉落_design!$E50,0,掉落_design!L$2+1,1,1)&amp;";"&amp;OFFSET(掉落_design!$E50,0,掉落_design!L$2+2,1,1)&amp;";"&amp;OFFSET(掉落_design!$E50,0,掉落_design!L$2+3,1,1))</f>
        <v/>
      </c>
      <c r="N50" s="16" t="str">
        <f ca="1">IF(OFFSET(掉落_design!$E50,0,掉落_design!M$2,1,1)="","",OFFSET(掉落_design!$E50,0,掉落_design!M$2,1,1)&amp;";"&amp;OFFSET(掉落_design!$E50,0,掉落_design!M$2+1,1,1)&amp;";"&amp;OFFSET(掉落_design!$E50,0,掉落_design!M$2+2,1,1)&amp;";"&amp;OFFSET(掉落_design!$E50,0,掉落_design!M$2+3,1,1))</f>
        <v/>
      </c>
      <c r="O50" s="16" t="str">
        <f ca="1">IF(OFFSET(掉落_design!$E50,0,掉落_design!N$2,1,1)="","",OFFSET(掉落_design!$E50,0,掉落_design!N$2,1,1)&amp;";"&amp;OFFSET(掉落_design!$E50,0,掉落_design!N$2+1,1,1)&amp;";"&amp;OFFSET(掉落_design!$E50,0,掉落_design!N$2+2,1,1)&amp;";"&amp;OFFSET(掉落_design!$E50,0,掉落_design!N$2+3,1,1))</f>
        <v/>
      </c>
      <c r="P50" s="16" t="str">
        <f ca="1">IF(OFFSET(掉落_design!$E50,0,掉落_design!O$2,1,1)="","",OFFSET(掉落_design!$E50,0,掉落_design!O$2,1,1)&amp;";"&amp;OFFSET(掉落_design!$E50,0,掉落_design!O$2+1,1,1)&amp;";"&amp;OFFSET(掉落_design!$E50,0,掉落_design!O$2+2,1,1)&amp;";"&amp;OFFSET(掉落_design!$E50,0,掉落_design!O$2+3,1,1))</f>
        <v/>
      </c>
      <c r="Q50" s="16" t="str">
        <f ca="1">IF(OFFSET(掉落_design!$E50,0,掉落_design!P$2,1,1)="","",OFFSET(掉落_design!$E50,0,掉落_design!P$2,1,1)&amp;";"&amp;OFFSET(掉落_design!$E50,0,掉落_design!P$2+1,1,1)&amp;";"&amp;OFFSET(掉落_design!$E50,0,掉落_design!P$2+2,1,1)&amp;";"&amp;OFFSET(掉落_design!$E50,0,掉落_design!P$2+3,1,1))</f>
        <v/>
      </c>
      <c r="R50" s="16" t="str">
        <f ca="1">IF(OFFSET(掉落_design!$E50,0,掉落_design!Q$2,1,1)="","",OFFSET(掉落_design!$E50,0,掉落_design!Q$2,1,1)&amp;";"&amp;OFFSET(掉落_design!$E50,0,掉落_design!Q$2+1,1,1)&amp;";"&amp;OFFSET(掉落_design!$E50,0,掉落_design!Q$2+2,1,1)&amp;";"&amp;OFFSET(掉落_design!$E50,0,掉落_design!Q$2+3,1,1))</f>
        <v/>
      </c>
      <c r="S50" s="16" t="str">
        <f ca="1">IF(OFFSET(掉落_design!$E50,0,掉落_design!R$2,1,1)="","",OFFSET(掉落_design!$E50,0,掉落_design!R$2,1,1)&amp;";"&amp;OFFSET(掉落_design!$E50,0,掉落_design!R$2+1,1,1)&amp;";"&amp;OFFSET(掉落_design!$E50,0,掉落_design!R$2+2,1,1)&amp;";"&amp;OFFSET(掉落_design!$E50,0,掉落_design!R$2+3,1,1))</f>
        <v/>
      </c>
      <c r="T50" s="16" t="str">
        <f ca="1">IF(OFFSET(掉落_design!$E50,0,掉落_design!S$2,1,1)="","",OFFSET(掉落_design!$E50,0,掉落_design!S$2,1,1)&amp;";"&amp;OFFSET(掉落_design!$E50,0,掉落_design!S$2+1,1,1)&amp;";"&amp;OFFSET(掉落_design!$E50,0,掉落_design!S$2+2,1,1)&amp;";"&amp;OFFSET(掉落_design!$E50,0,掉落_design!S$2+3,1,1))</f>
        <v/>
      </c>
      <c r="U50" s="16" t="str">
        <f ca="1">IF(OFFSET(掉落_design!$E50,0,掉落_design!T$2,1,1)="","",OFFSET(掉落_design!$E50,0,掉落_design!T$2,1,1)&amp;";"&amp;OFFSET(掉落_design!$E50,0,掉落_design!T$2+1,1,1)&amp;";"&amp;OFFSET(掉落_design!$E50,0,掉落_design!T$2+2,1,1)&amp;";"&amp;OFFSET(掉落_design!$E50,0,掉落_design!T$2+3,1,1))</f>
        <v/>
      </c>
      <c r="V50" s="16" t="str">
        <f ca="1">IF(OFFSET(掉落_design!$E50,0,掉落_design!U$2,1,1)="","",OFFSET(掉落_design!$E50,0,掉落_design!U$2,1,1)&amp;";"&amp;OFFSET(掉落_design!$E50,0,掉落_design!U$2+1,1,1)&amp;";"&amp;OFFSET(掉落_design!$E50,0,掉落_design!U$2+2,1,1)&amp;";"&amp;OFFSET(掉落_design!$E50,0,掉落_design!U$2+3,1,1))</f>
        <v/>
      </c>
      <c r="W50" s="16" t="str">
        <f ca="1">IF(OFFSET(掉落_design!$E50,0,掉落_design!V$2,1,1)="","",OFFSET(掉落_design!$E50,0,掉落_design!V$2,1,1)&amp;";"&amp;OFFSET(掉落_design!$E50,0,掉落_design!V$2+1,1,1)&amp;";"&amp;OFFSET(掉落_design!$E50,0,掉落_design!V$2+2,1,1)&amp;";"&amp;OFFSET(掉落_design!$E50,0,掉落_design!V$2+3,1,1))</f>
        <v/>
      </c>
      <c r="X50" s="16" t="str">
        <f ca="1">IF(OFFSET(掉落_design!$E50,0,掉落_design!W$2,1,1)="","",OFFSET(掉落_design!$E50,0,掉落_design!W$2,1,1)&amp;";"&amp;OFFSET(掉落_design!$E50,0,掉落_design!W$2+1,1,1)&amp;";"&amp;OFFSET(掉落_design!$E50,0,掉落_design!W$2+2,1,1)&amp;";"&amp;OFFSET(掉落_design!$E50,0,掉落_design!W$2+3,1,1))</f>
        <v/>
      </c>
      <c r="Y50" s="16" t="str">
        <f ca="1">IF(OFFSET(掉落_design!$E50,0,掉落_design!X$2,1,1)="","",OFFSET(掉落_design!$E50,0,掉落_design!X$2,1,1)&amp;";"&amp;OFFSET(掉落_design!$E50,0,掉落_design!X$2+1,1,1)&amp;";"&amp;OFFSET(掉落_design!$E50,0,掉落_design!X$2+2,1,1)&amp;";"&amp;OFFSET(掉落_design!$E50,0,掉落_design!X$2+3,1,1))</f>
        <v/>
      </c>
    </row>
    <row r="51" spans="1:25" x14ac:dyDescent="0.15">
      <c r="A51" s="11" t="str">
        <f t="shared" si="0"/>
        <v>DATA</v>
      </c>
      <c r="B51" s="25"/>
      <c r="C51" s="25"/>
      <c r="D51" s="15">
        <f>IF(掉落_design!C51="","",掉落_design!C51)</f>
        <v>20101</v>
      </c>
      <c r="E51" s="15">
        <f>IF(A51="","",掉落_design!D51)</f>
        <v>2</v>
      </c>
      <c r="F51" s="16" t="str">
        <f ca="1">IF(OFFSET(掉落_design!$E51,0,掉落_design!E$2,1,1)="","",OFFSET(掉落_design!$E51,0,掉落_design!E$2,1,1)&amp;";"&amp;OFFSET(掉落_design!$E51,0,掉落_design!E$2+1,1,1)&amp;";"&amp;OFFSET(掉落_design!$E51,0,掉落_design!E$2+2,1,1)&amp;";"&amp;OFFSET(掉落_design!$E51,0,掉落_design!E$2+3,1,1))</f>
        <v>20602;1;1;1</v>
      </c>
      <c r="G51" s="16" t="str">
        <f ca="1">IF(OFFSET(掉落_design!$E51,0,掉落_design!F$2,1,1)="","",OFFSET(掉落_design!$E51,0,掉落_design!F$2,1,1)&amp;";"&amp;OFFSET(掉落_design!$E51,0,掉落_design!F$2+1,1,1)&amp;";"&amp;OFFSET(掉落_design!$E51,0,掉落_design!F$2+2,1,1)&amp;";"&amp;OFFSET(掉落_design!$E51,0,掉落_design!F$2+3,1,1))</f>
        <v>20501;1;1;1</v>
      </c>
      <c r="H51" s="16" t="str">
        <f ca="1">IF(OFFSET(掉落_design!$E51,0,掉落_design!G$2,1,1)="","",OFFSET(掉落_design!$E51,0,掉落_design!G$2,1,1)&amp;";"&amp;OFFSET(掉落_design!$E51,0,掉落_design!G$2+1,1,1)&amp;";"&amp;OFFSET(掉落_design!$E51,0,掉落_design!G$2+2,1,1)&amp;";"&amp;OFFSET(掉落_design!$E51,0,掉落_design!G$2+3,1,1))</f>
        <v>20402;1;1;1</v>
      </c>
      <c r="I51" s="16" t="str">
        <f ca="1">IF(OFFSET(掉落_design!$E51,0,掉落_design!H$2,1,1)="","",OFFSET(掉落_design!$E51,0,掉落_design!H$2,1,1)&amp;";"&amp;OFFSET(掉落_design!$E51,0,掉落_design!H$2+1,1,1)&amp;";"&amp;OFFSET(掉落_design!$E51,0,掉落_design!H$2+2,1,1)&amp;";"&amp;OFFSET(掉落_design!$E51,0,掉落_design!H$2+3,1,1))</f>
        <v>20501;1;1;1</v>
      </c>
      <c r="J51" s="16" t="str">
        <f ca="1">IF(OFFSET(掉落_design!$E51,0,掉落_design!I$2,1,1)="","",OFFSET(掉落_design!$E51,0,掉落_design!I$2,1,1)&amp;";"&amp;OFFSET(掉落_design!$E51,0,掉落_design!I$2+1,1,1)&amp;";"&amp;OFFSET(掉落_design!$E51,0,掉落_design!I$2+2,1,1)&amp;";"&amp;OFFSET(掉落_design!$E51,0,掉落_design!I$2+3,1,1))</f>
        <v>20302;1;1;1</v>
      </c>
      <c r="K51" s="16" t="str">
        <f ca="1">IF(OFFSET(掉落_design!$E51,0,掉落_design!J$2,1,1)="","",OFFSET(掉落_design!$E51,0,掉落_design!J$2,1,1)&amp;";"&amp;OFFSET(掉落_design!$E51,0,掉落_design!J$2+1,1,1)&amp;";"&amp;OFFSET(掉落_design!$E51,0,掉落_design!J$2+2,1,1)&amp;";"&amp;OFFSET(掉落_design!$E51,0,掉落_design!J$2+3,1,1))</f>
        <v>20601;1;1;1</v>
      </c>
      <c r="L51" s="16" t="str">
        <f ca="1">IF(OFFSET(掉落_design!$E51,0,掉落_design!K$2,1,1)="","",OFFSET(掉落_design!$E51,0,掉落_design!K$2,1,1)&amp;";"&amp;OFFSET(掉落_design!$E51,0,掉落_design!K$2+1,1,1)&amp;";"&amp;OFFSET(掉落_design!$E51,0,掉落_design!K$2+2,1,1)&amp;";"&amp;OFFSET(掉落_design!$E51,0,掉落_design!K$2+3,1,1))</f>
        <v>20301;1;1;1</v>
      </c>
      <c r="M51" s="16" t="str">
        <f ca="1">IF(OFFSET(掉落_design!$E51,0,掉落_design!L$2,1,1)="","",OFFSET(掉落_design!$E51,0,掉落_design!L$2,1,1)&amp;";"&amp;OFFSET(掉落_design!$E51,0,掉落_design!L$2+1,1,1)&amp;";"&amp;OFFSET(掉落_design!$E51,0,掉落_design!L$2+2,1,1)&amp;";"&amp;OFFSET(掉落_design!$E51,0,掉落_design!L$2+3,1,1))</f>
        <v>20502;1;1;1</v>
      </c>
      <c r="N51" s="16" t="str">
        <f ca="1">IF(OFFSET(掉落_design!$E51,0,掉落_design!M$2,1,1)="","",OFFSET(掉落_design!$E51,0,掉落_design!M$2,1,1)&amp;";"&amp;OFFSET(掉落_design!$E51,0,掉落_design!M$2+1,1,1)&amp;";"&amp;OFFSET(掉落_design!$E51,0,掉落_design!M$2+2,1,1)&amp;";"&amp;OFFSET(掉落_design!$E51,0,掉落_design!M$2+3,1,1))</f>
        <v>20401;1;1;1</v>
      </c>
      <c r="O51" s="16" t="str">
        <f ca="1">IF(OFFSET(掉落_design!$E51,0,掉落_design!N$2,1,1)="","",OFFSET(掉落_design!$E51,0,掉落_design!N$2,1,1)&amp;";"&amp;OFFSET(掉落_design!$E51,0,掉落_design!N$2+1,1,1)&amp;";"&amp;OFFSET(掉落_design!$E51,0,掉落_design!N$2+2,1,1)&amp;";"&amp;OFFSET(掉落_design!$E51,0,掉落_design!N$2+3,1,1))</f>
        <v>20501;1;1;1</v>
      </c>
      <c r="P51" s="16" t="str">
        <f ca="1">IF(OFFSET(掉落_design!$E51,0,掉落_design!O$2,1,1)="","",OFFSET(掉落_design!$E51,0,掉落_design!O$2,1,1)&amp;";"&amp;OFFSET(掉落_design!$E51,0,掉落_design!O$2+1,1,1)&amp;";"&amp;OFFSET(掉落_design!$E51,0,掉落_design!O$2+2,1,1)&amp;";"&amp;OFFSET(掉落_design!$E51,0,掉落_design!O$2+3,1,1))</f>
        <v>1001;50;100;20</v>
      </c>
      <c r="Q51" s="16" t="str">
        <f ca="1">IF(OFFSET(掉落_design!$E51,0,掉落_design!P$2,1,1)="","",OFFSET(掉落_design!$E51,0,掉落_design!P$2,1,1)&amp;";"&amp;OFFSET(掉落_design!$E51,0,掉落_design!P$2+1,1,1)&amp;";"&amp;OFFSET(掉落_design!$E51,0,掉落_design!P$2+2,1,1)&amp;";"&amp;OFFSET(掉落_design!$E51,0,掉落_design!P$2+3,1,1))</f>
        <v/>
      </c>
      <c r="R51" s="16" t="str">
        <f ca="1">IF(OFFSET(掉落_design!$E51,0,掉落_design!Q$2,1,1)="","",OFFSET(掉落_design!$E51,0,掉落_design!Q$2,1,1)&amp;";"&amp;OFFSET(掉落_design!$E51,0,掉落_design!Q$2+1,1,1)&amp;";"&amp;OFFSET(掉落_design!$E51,0,掉落_design!Q$2+2,1,1)&amp;";"&amp;OFFSET(掉落_design!$E51,0,掉落_design!Q$2+3,1,1))</f>
        <v/>
      </c>
      <c r="S51" s="16" t="str">
        <f ca="1">IF(OFFSET(掉落_design!$E51,0,掉落_design!R$2,1,1)="","",OFFSET(掉落_design!$E51,0,掉落_design!R$2,1,1)&amp;";"&amp;OFFSET(掉落_design!$E51,0,掉落_design!R$2+1,1,1)&amp;";"&amp;OFFSET(掉落_design!$E51,0,掉落_design!R$2+2,1,1)&amp;";"&amp;OFFSET(掉落_design!$E51,0,掉落_design!R$2+3,1,1))</f>
        <v/>
      </c>
      <c r="T51" s="16" t="str">
        <f ca="1">IF(OFFSET(掉落_design!$E51,0,掉落_design!S$2,1,1)="","",OFFSET(掉落_design!$E51,0,掉落_design!S$2,1,1)&amp;";"&amp;OFFSET(掉落_design!$E51,0,掉落_design!S$2+1,1,1)&amp;";"&amp;OFFSET(掉落_design!$E51,0,掉落_design!S$2+2,1,1)&amp;";"&amp;OFFSET(掉落_design!$E51,0,掉落_design!S$2+3,1,1))</f>
        <v/>
      </c>
      <c r="U51" s="16" t="str">
        <f ca="1">IF(OFFSET(掉落_design!$E51,0,掉落_design!T$2,1,1)="","",OFFSET(掉落_design!$E51,0,掉落_design!T$2,1,1)&amp;";"&amp;OFFSET(掉落_design!$E51,0,掉落_design!T$2+1,1,1)&amp;";"&amp;OFFSET(掉落_design!$E51,0,掉落_design!T$2+2,1,1)&amp;";"&amp;OFFSET(掉落_design!$E51,0,掉落_design!T$2+3,1,1))</f>
        <v/>
      </c>
      <c r="V51" s="16" t="str">
        <f ca="1">IF(OFFSET(掉落_design!$E51,0,掉落_design!U$2,1,1)="","",OFFSET(掉落_design!$E51,0,掉落_design!U$2,1,1)&amp;";"&amp;OFFSET(掉落_design!$E51,0,掉落_design!U$2+1,1,1)&amp;";"&amp;OFFSET(掉落_design!$E51,0,掉落_design!U$2+2,1,1)&amp;";"&amp;OFFSET(掉落_design!$E51,0,掉落_design!U$2+3,1,1))</f>
        <v/>
      </c>
      <c r="W51" s="16" t="str">
        <f ca="1">IF(OFFSET(掉落_design!$E51,0,掉落_design!V$2,1,1)="","",OFFSET(掉落_design!$E51,0,掉落_design!V$2,1,1)&amp;";"&amp;OFFSET(掉落_design!$E51,0,掉落_design!V$2+1,1,1)&amp;";"&amp;OFFSET(掉落_design!$E51,0,掉落_design!V$2+2,1,1)&amp;";"&amp;OFFSET(掉落_design!$E51,0,掉落_design!V$2+3,1,1))</f>
        <v/>
      </c>
      <c r="X51" s="16" t="str">
        <f ca="1">IF(OFFSET(掉落_design!$E51,0,掉落_design!W$2,1,1)="","",OFFSET(掉落_design!$E51,0,掉落_design!W$2,1,1)&amp;";"&amp;OFFSET(掉落_design!$E51,0,掉落_design!W$2+1,1,1)&amp;";"&amp;OFFSET(掉落_design!$E51,0,掉落_design!W$2+2,1,1)&amp;";"&amp;OFFSET(掉落_design!$E51,0,掉落_design!W$2+3,1,1))</f>
        <v/>
      </c>
      <c r="Y51" s="16" t="str">
        <f ca="1">IF(OFFSET(掉落_design!$E51,0,掉落_design!X$2,1,1)="","",OFFSET(掉落_design!$E51,0,掉落_design!X$2,1,1)&amp;";"&amp;OFFSET(掉落_design!$E51,0,掉落_design!X$2+1,1,1)&amp;";"&amp;OFFSET(掉落_design!$E51,0,掉落_design!X$2+2,1,1)&amp;";"&amp;OFFSET(掉落_design!$E51,0,掉落_design!X$2+3,1,1))</f>
        <v/>
      </c>
    </row>
    <row r="52" spans="1:25" x14ac:dyDescent="0.15">
      <c r="A52" s="11" t="str">
        <f t="shared" si="0"/>
        <v/>
      </c>
      <c r="B52" s="25"/>
      <c r="C52" s="25"/>
      <c r="D52" s="15" t="str">
        <f>IF(掉落_design!C52="","",掉落_design!C52)</f>
        <v/>
      </c>
      <c r="E52" s="15" t="str">
        <f>IF(A52="","",掉落_design!D52)</f>
        <v/>
      </c>
      <c r="F52" s="16" t="str">
        <f ca="1">IF(OFFSET(掉落_design!$E52,0,掉落_design!E$2,1,1)="","",OFFSET(掉落_design!$E52,0,掉落_design!E$2,1,1)&amp;";"&amp;OFFSET(掉落_design!$E52,0,掉落_design!E$2+1,1,1)&amp;";"&amp;OFFSET(掉落_design!$E52,0,掉落_design!E$2+2,1,1)&amp;";"&amp;OFFSET(掉落_design!$E52,0,掉落_design!E$2+3,1,1))</f>
        <v/>
      </c>
      <c r="G52" s="16" t="str">
        <f ca="1">IF(OFFSET(掉落_design!$E52,0,掉落_design!F$2,1,1)="","",OFFSET(掉落_design!$E52,0,掉落_design!F$2,1,1)&amp;";"&amp;OFFSET(掉落_design!$E52,0,掉落_design!F$2+1,1,1)&amp;";"&amp;OFFSET(掉落_design!$E52,0,掉落_design!F$2+2,1,1)&amp;";"&amp;OFFSET(掉落_design!$E52,0,掉落_design!F$2+3,1,1))</f>
        <v/>
      </c>
      <c r="H52" s="16" t="str">
        <f ca="1">IF(OFFSET(掉落_design!$E52,0,掉落_design!G$2,1,1)="","",OFFSET(掉落_design!$E52,0,掉落_design!G$2,1,1)&amp;";"&amp;OFFSET(掉落_design!$E52,0,掉落_design!G$2+1,1,1)&amp;";"&amp;OFFSET(掉落_design!$E52,0,掉落_design!G$2+2,1,1)&amp;";"&amp;OFFSET(掉落_design!$E52,0,掉落_design!G$2+3,1,1))</f>
        <v/>
      </c>
      <c r="I52" s="16" t="str">
        <f ca="1">IF(OFFSET(掉落_design!$E52,0,掉落_design!H$2,1,1)="","",OFFSET(掉落_design!$E52,0,掉落_design!H$2,1,1)&amp;";"&amp;OFFSET(掉落_design!$E52,0,掉落_design!H$2+1,1,1)&amp;";"&amp;OFFSET(掉落_design!$E52,0,掉落_design!H$2+2,1,1)&amp;";"&amp;OFFSET(掉落_design!$E52,0,掉落_design!H$2+3,1,1))</f>
        <v/>
      </c>
      <c r="J52" s="16" t="str">
        <f ca="1">IF(OFFSET(掉落_design!$E52,0,掉落_design!I$2,1,1)="","",OFFSET(掉落_design!$E52,0,掉落_design!I$2,1,1)&amp;";"&amp;OFFSET(掉落_design!$E52,0,掉落_design!I$2+1,1,1)&amp;";"&amp;OFFSET(掉落_design!$E52,0,掉落_design!I$2+2,1,1)&amp;";"&amp;OFFSET(掉落_design!$E52,0,掉落_design!I$2+3,1,1))</f>
        <v/>
      </c>
      <c r="K52" s="16" t="str">
        <f ca="1">IF(OFFSET(掉落_design!$E52,0,掉落_design!J$2,1,1)="","",OFFSET(掉落_design!$E52,0,掉落_design!J$2,1,1)&amp;";"&amp;OFFSET(掉落_design!$E52,0,掉落_design!J$2+1,1,1)&amp;";"&amp;OFFSET(掉落_design!$E52,0,掉落_design!J$2+2,1,1)&amp;";"&amp;OFFSET(掉落_design!$E52,0,掉落_design!J$2+3,1,1))</f>
        <v/>
      </c>
      <c r="L52" s="16" t="str">
        <f ca="1">IF(OFFSET(掉落_design!$E52,0,掉落_design!K$2,1,1)="","",OFFSET(掉落_design!$E52,0,掉落_design!K$2,1,1)&amp;";"&amp;OFFSET(掉落_design!$E52,0,掉落_design!K$2+1,1,1)&amp;";"&amp;OFFSET(掉落_design!$E52,0,掉落_design!K$2+2,1,1)&amp;";"&amp;OFFSET(掉落_design!$E52,0,掉落_design!K$2+3,1,1))</f>
        <v/>
      </c>
      <c r="M52" s="16" t="str">
        <f ca="1">IF(OFFSET(掉落_design!$E52,0,掉落_design!L$2,1,1)="","",OFFSET(掉落_design!$E52,0,掉落_design!L$2,1,1)&amp;";"&amp;OFFSET(掉落_design!$E52,0,掉落_design!L$2+1,1,1)&amp;";"&amp;OFFSET(掉落_design!$E52,0,掉落_design!L$2+2,1,1)&amp;";"&amp;OFFSET(掉落_design!$E52,0,掉落_design!L$2+3,1,1))</f>
        <v/>
      </c>
      <c r="N52" s="16" t="str">
        <f ca="1">IF(OFFSET(掉落_design!$E52,0,掉落_design!M$2,1,1)="","",OFFSET(掉落_design!$E52,0,掉落_design!M$2,1,1)&amp;";"&amp;OFFSET(掉落_design!$E52,0,掉落_design!M$2+1,1,1)&amp;";"&amp;OFFSET(掉落_design!$E52,0,掉落_design!M$2+2,1,1)&amp;";"&amp;OFFSET(掉落_design!$E52,0,掉落_design!M$2+3,1,1))</f>
        <v/>
      </c>
      <c r="O52" s="16" t="str">
        <f ca="1">IF(OFFSET(掉落_design!$E52,0,掉落_design!N$2,1,1)="","",OFFSET(掉落_design!$E52,0,掉落_design!N$2,1,1)&amp;";"&amp;OFFSET(掉落_design!$E52,0,掉落_design!N$2+1,1,1)&amp;";"&amp;OFFSET(掉落_design!$E52,0,掉落_design!N$2+2,1,1)&amp;";"&amp;OFFSET(掉落_design!$E52,0,掉落_design!N$2+3,1,1))</f>
        <v/>
      </c>
      <c r="P52" s="16" t="str">
        <f ca="1">IF(OFFSET(掉落_design!$E52,0,掉落_design!O$2,1,1)="","",OFFSET(掉落_design!$E52,0,掉落_design!O$2,1,1)&amp;";"&amp;OFFSET(掉落_design!$E52,0,掉落_design!O$2+1,1,1)&amp;";"&amp;OFFSET(掉落_design!$E52,0,掉落_design!O$2+2,1,1)&amp;";"&amp;OFFSET(掉落_design!$E52,0,掉落_design!O$2+3,1,1))</f>
        <v/>
      </c>
      <c r="Q52" s="16" t="str">
        <f ca="1">IF(OFFSET(掉落_design!$E52,0,掉落_design!P$2,1,1)="","",OFFSET(掉落_design!$E52,0,掉落_design!P$2,1,1)&amp;";"&amp;OFFSET(掉落_design!$E52,0,掉落_design!P$2+1,1,1)&amp;";"&amp;OFFSET(掉落_design!$E52,0,掉落_design!P$2+2,1,1)&amp;";"&amp;OFFSET(掉落_design!$E52,0,掉落_design!P$2+3,1,1))</f>
        <v/>
      </c>
      <c r="R52" s="16" t="str">
        <f ca="1">IF(OFFSET(掉落_design!$E52,0,掉落_design!Q$2,1,1)="","",OFFSET(掉落_design!$E52,0,掉落_design!Q$2,1,1)&amp;";"&amp;OFFSET(掉落_design!$E52,0,掉落_design!Q$2+1,1,1)&amp;";"&amp;OFFSET(掉落_design!$E52,0,掉落_design!Q$2+2,1,1)&amp;";"&amp;OFFSET(掉落_design!$E52,0,掉落_design!Q$2+3,1,1))</f>
        <v/>
      </c>
      <c r="S52" s="16" t="str">
        <f ca="1">IF(OFFSET(掉落_design!$E52,0,掉落_design!R$2,1,1)="","",OFFSET(掉落_design!$E52,0,掉落_design!R$2,1,1)&amp;";"&amp;OFFSET(掉落_design!$E52,0,掉落_design!R$2+1,1,1)&amp;";"&amp;OFFSET(掉落_design!$E52,0,掉落_design!R$2+2,1,1)&amp;";"&amp;OFFSET(掉落_design!$E52,0,掉落_design!R$2+3,1,1))</f>
        <v/>
      </c>
      <c r="T52" s="16" t="str">
        <f ca="1">IF(OFFSET(掉落_design!$E52,0,掉落_design!S$2,1,1)="","",OFFSET(掉落_design!$E52,0,掉落_design!S$2,1,1)&amp;";"&amp;OFFSET(掉落_design!$E52,0,掉落_design!S$2+1,1,1)&amp;";"&amp;OFFSET(掉落_design!$E52,0,掉落_design!S$2+2,1,1)&amp;";"&amp;OFFSET(掉落_design!$E52,0,掉落_design!S$2+3,1,1))</f>
        <v/>
      </c>
      <c r="U52" s="16" t="str">
        <f ca="1">IF(OFFSET(掉落_design!$E52,0,掉落_design!T$2,1,1)="","",OFFSET(掉落_design!$E52,0,掉落_design!T$2,1,1)&amp;";"&amp;OFFSET(掉落_design!$E52,0,掉落_design!T$2+1,1,1)&amp;";"&amp;OFFSET(掉落_design!$E52,0,掉落_design!T$2+2,1,1)&amp;";"&amp;OFFSET(掉落_design!$E52,0,掉落_design!T$2+3,1,1))</f>
        <v/>
      </c>
      <c r="V52" s="16" t="str">
        <f ca="1">IF(OFFSET(掉落_design!$E52,0,掉落_design!U$2,1,1)="","",OFFSET(掉落_design!$E52,0,掉落_design!U$2,1,1)&amp;";"&amp;OFFSET(掉落_design!$E52,0,掉落_design!U$2+1,1,1)&amp;";"&amp;OFFSET(掉落_design!$E52,0,掉落_design!U$2+2,1,1)&amp;";"&amp;OFFSET(掉落_design!$E52,0,掉落_design!U$2+3,1,1))</f>
        <v/>
      </c>
      <c r="W52" s="16" t="str">
        <f ca="1">IF(OFFSET(掉落_design!$E52,0,掉落_design!V$2,1,1)="","",OFFSET(掉落_design!$E52,0,掉落_design!V$2,1,1)&amp;";"&amp;OFFSET(掉落_design!$E52,0,掉落_design!V$2+1,1,1)&amp;";"&amp;OFFSET(掉落_design!$E52,0,掉落_design!V$2+2,1,1)&amp;";"&amp;OFFSET(掉落_design!$E52,0,掉落_design!V$2+3,1,1))</f>
        <v/>
      </c>
      <c r="X52" s="16" t="str">
        <f ca="1">IF(OFFSET(掉落_design!$E52,0,掉落_design!W$2,1,1)="","",OFFSET(掉落_design!$E52,0,掉落_design!W$2,1,1)&amp;";"&amp;OFFSET(掉落_design!$E52,0,掉落_design!W$2+1,1,1)&amp;";"&amp;OFFSET(掉落_design!$E52,0,掉落_design!W$2+2,1,1)&amp;";"&amp;OFFSET(掉落_design!$E52,0,掉落_design!W$2+3,1,1))</f>
        <v/>
      </c>
      <c r="Y52" s="16" t="str">
        <f ca="1">IF(OFFSET(掉落_design!$E52,0,掉落_design!X$2,1,1)="","",OFFSET(掉落_design!$E52,0,掉落_design!X$2,1,1)&amp;";"&amp;OFFSET(掉落_design!$E52,0,掉落_design!X$2+1,1,1)&amp;";"&amp;OFFSET(掉落_design!$E52,0,掉落_design!X$2+2,1,1)&amp;";"&amp;OFFSET(掉落_design!$E52,0,掉落_design!X$2+3,1,1))</f>
        <v/>
      </c>
    </row>
    <row r="53" spans="1:25" x14ac:dyDescent="0.15">
      <c r="A53" s="11" t="str">
        <f t="shared" si="0"/>
        <v>DATA</v>
      </c>
      <c r="B53" s="25"/>
      <c r="C53" s="25"/>
      <c r="D53" s="15">
        <f>IF(掉落_design!C53="","",掉落_design!C53)</f>
        <v>20200</v>
      </c>
      <c r="E53" s="15">
        <f>IF(A53="","",掉落_design!D53)</f>
        <v>1</v>
      </c>
      <c r="F53" s="16" t="str">
        <f ca="1">IF(OFFSET(掉落_design!$E53,0,掉落_design!E$2,1,1)="","",OFFSET(掉落_design!$E53,0,掉落_design!E$2,1,1)&amp;";"&amp;OFFSET(掉落_design!$E53,0,掉落_design!E$2+1,1,1)&amp;";"&amp;OFFSET(掉落_design!$E53,0,掉落_design!E$2+2,1,1)&amp;";"&amp;OFFSET(掉落_design!$E53,0,掉落_design!E$2+3,1,1))</f>
        <v>1001;20;40;1000</v>
      </c>
      <c r="G53" s="16" t="str">
        <f ca="1">IF(OFFSET(掉落_design!$E53,0,掉落_design!F$2,1,1)="","",OFFSET(掉落_design!$E53,0,掉落_design!F$2,1,1)&amp;";"&amp;OFFSET(掉落_design!$E53,0,掉落_design!F$2+1,1,1)&amp;";"&amp;OFFSET(掉落_design!$E53,0,掉落_design!F$2+2,1,1)&amp;";"&amp;OFFSET(掉落_design!$E53,0,掉落_design!F$2+3,1,1))</f>
        <v>1204;1;1;1000</v>
      </c>
      <c r="H53" s="16" t="str">
        <f ca="1">IF(OFFSET(掉落_design!$E53,0,掉落_design!G$2,1,1)="","",OFFSET(掉落_design!$E53,0,掉落_design!G$2,1,1)&amp;";"&amp;OFFSET(掉落_design!$E53,0,掉落_design!G$2+1,1,1)&amp;";"&amp;OFFSET(掉落_design!$E53,0,掉落_design!G$2+2,1,1)&amp;";"&amp;OFFSET(掉落_design!$E53,0,掉落_design!G$2+3,1,1))</f>
        <v/>
      </c>
      <c r="I53" s="16" t="str">
        <f ca="1">IF(OFFSET(掉落_design!$E53,0,掉落_design!H$2,1,1)="","",OFFSET(掉落_design!$E53,0,掉落_design!H$2,1,1)&amp;";"&amp;OFFSET(掉落_design!$E53,0,掉落_design!H$2+1,1,1)&amp;";"&amp;OFFSET(掉落_design!$E53,0,掉落_design!H$2+2,1,1)&amp;";"&amp;OFFSET(掉落_design!$E53,0,掉落_design!H$2+3,1,1))</f>
        <v/>
      </c>
      <c r="J53" s="16" t="str">
        <f ca="1">IF(OFFSET(掉落_design!$E53,0,掉落_design!I$2,1,1)="","",OFFSET(掉落_design!$E53,0,掉落_design!I$2,1,1)&amp;";"&amp;OFFSET(掉落_design!$E53,0,掉落_design!I$2+1,1,1)&amp;";"&amp;OFFSET(掉落_design!$E53,0,掉落_design!I$2+2,1,1)&amp;";"&amp;OFFSET(掉落_design!$E53,0,掉落_design!I$2+3,1,1))</f>
        <v/>
      </c>
      <c r="K53" s="16" t="str">
        <f ca="1">IF(OFFSET(掉落_design!$E53,0,掉落_design!J$2,1,1)="","",OFFSET(掉落_design!$E53,0,掉落_design!J$2,1,1)&amp;";"&amp;OFFSET(掉落_design!$E53,0,掉落_design!J$2+1,1,1)&amp;";"&amp;OFFSET(掉落_design!$E53,0,掉落_design!J$2+2,1,1)&amp;";"&amp;OFFSET(掉落_design!$E53,0,掉落_design!J$2+3,1,1))</f>
        <v/>
      </c>
      <c r="L53" s="16" t="str">
        <f ca="1">IF(OFFSET(掉落_design!$E53,0,掉落_design!K$2,1,1)="","",OFFSET(掉落_design!$E53,0,掉落_design!K$2,1,1)&amp;";"&amp;OFFSET(掉落_design!$E53,0,掉落_design!K$2+1,1,1)&amp;";"&amp;OFFSET(掉落_design!$E53,0,掉落_design!K$2+2,1,1)&amp;";"&amp;OFFSET(掉落_design!$E53,0,掉落_design!K$2+3,1,1))</f>
        <v/>
      </c>
      <c r="M53" s="16" t="str">
        <f ca="1">IF(OFFSET(掉落_design!$E53,0,掉落_design!L$2,1,1)="","",OFFSET(掉落_design!$E53,0,掉落_design!L$2,1,1)&amp;";"&amp;OFFSET(掉落_design!$E53,0,掉落_design!L$2+1,1,1)&amp;";"&amp;OFFSET(掉落_design!$E53,0,掉落_design!L$2+2,1,1)&amp;";"&amp;OFFSET(掉落_design!$E53,0,掉落_design!L$2+3,1,1))</f>
        <v/>
      </c>
      <c r="N53" s="16" t="str">
        <f ca="1">IF(OFFSET(掉落_design!$E53,0,掉落_design!M$2,1,1)="","",OFFSET(掉落_design!$E53,0,掉落_design!M$2,1,1)&amp;";"&amp;OFFSET(掉落_design!$E53,0,掉落_design!M$2+1,1,1)&amp;";"&amp;OFFSET(掉落_design!$E53,0,掉落_design!M$2+2,1,1)&amp;";"&amp;OFFSET(掉落_design!$E53,0,掉落_design!M$2+3,1,1))</f>
        <v/>
      </c>
      <c r="O53" s="16" t="str">
        <f ca="1">IF(OFFSET(掉落_design!$E53,0,掉落_design!N$2,1,1)="","",OFFSET(掉落_design!$E53,0,掉落_design!N$2,1,1)&amp;";"&amp;OFFSET(掉落_design!$E53,0,掉落_design!N$2+1,1,1)&amp;";"&amp;OFFSET(掉落_design!$E53,0,掉落_design!N$2+2,1,1)&amp;";"&amp;OFFSET(掉落_design!$E53,0,掉落_design!N$2+3,1,1))</f>
        <v/>
      </c>
      <c r="P53" s="16" t="str">
        <f ca="1">IF(OFFSET(掉落_design!$E53,0,掉落_design!O$2,1,1)="","",OFFSET(掉落_design!$E53,0,掉落_design!O$2,1,1)&amp;";"&amp;OFFSET(掉落_design!$E53,0,掉落_design!O$2+1,1,1)&amp;";"&amp;OFFSET(掉落_design!$E53,0,掉落_design!O$2+2,1,1)&amp;";"&amp;OFFSET(掉落_design!$E53,0,掉落_design!O$2+3,1,1))</f>
        <v/>
      </c>
      <c r="Q53" s="16" t="str">
        <f ca="1">IF(OFFSET(掉落_design!$E53,0,掉落_design!P$2,1,1)="","",OFFSET(掉落_design!$E53,0,掉落_design!P$2,1,1)&amp;";"&amp;OFFSET(掉落_design!$E53,0,掉落_design!P$2+1,1,1)&amp;";"&amp;OFFSET(掉落_design!$E53,0,掉落_design!P$2+2,1,1)&amp;";"&amp;OFFSET(掉落_design!$E53,0,掉落_design!P$2+3,1,1))</f>
        <v/>
      </c>
      <c r="R53" s="16" t="str">
        <f ca="1">IF(OFFSET(掉落_design!$E53,0,掉落_design!Q$2,1,1)="","",OFFSET(掉落_design!$E53,0,掉落_design!Q$2,1,1)&amp;";"&amp;OFFSET(掉落_design!$E53,0,掉落_design!Q$2+1,1,1)&amp;";"&amp;OFFSET(掉落_design!$E53,0,掉落_design!Q$2+2,1,1)&amp;";"&amp;OFFSET(掉落_design!$E53,0,掉落_design!Q$2+3,1,1))</f>
        <v/>
      </c>
      <c r="S53" s="16" t="str">
        <f ca="1">IF(OFFSET(掉落_design!$E53,0,掉落_design!R$2,1,1)="","",OFFSET(掉落_design!$E53,0,掉落_design!R$2,1,1)&amp;";"&amp;OFFSET(掉落_design!$E53,0,掉落_design!R$2+1,1,1)&amp;";"&amp;OFFSET(掉落_design!$E53,0,掉落_design!R$2+2,1,1)&amp;";"&amp;OFFSET(掉落_design!$E53,0,掉落_design!R$2+3,1,1))</f>
        <v/>
      </c>
      <c r="T53" s="16" t="str">
        <f ca="1">IF(OFFSET(掉落_design!$E53,0,掉落_design!S$2,1,1)="","",OFFSET(掉落_design!$E53,0,掉落_design!S$2,1,1)&amp;";"&amp;OFFSET(掉落_design!$E53,0,掉落_design!S$2+1,1,1)&amp;";"&amp;OFFSET(掉落_design!$E53,0,掉落_design!S$2+2,1,1)&amp;";"&amp;OFFSET(掉落_design!$E53,0,掉落_design!S$2+3,1,1))</f>
        <v/>
      </c>
      <c r="U53" s="16" t="str">
        <f ca="1">IF(OFFSET(掉落_design!$E53,0,掉落_design!T$2,1,1)="","",OFFSET(掉落_design!$E53,0,掉落_design!T$2,1,1)&amp;";"&amp;OFFSET(掉落_design!$E53,0,掉落_design!T$2+1,1,1)&amp;";"&amp;OFFSET(掉落_design!$E53,0,掉落_design!T$2+2,1,1)&amp;";"&amp;OFFSET(掉落_design!$E53,0,掉落_design!T$2+3,1,1))</f>
        <v/>
      </c>
      <c r="V53" s="16" t="str">
        <f ca="1">IF(OFFSET(掉落_design!$E53,0,掉落_design!U$2,1,1)="","",OFFSET(掉落_design!$E53,0,掉落_design!U$2,1,1)&amp;";"&amp;OFFSET(掉落_design!$E53,0,掉落_design!U$2+1,1,1)&amp;";"&amp;OFFSET(掉落_design!$E53,0,掉落_design!U$2+2,1,1)&amp;";"&amp;OFFSET(掉落_design!$E53,0,掉落_design!U$2+3,1,1))</f>
        <v/>
      </c>
      <c r="W53" s="16" t="str">
        <f ca="1">IF(OFFSET(掉落_design!$E53,0,掉落_design!V$2,1,1)="","",OFFSET(掉落_design!$E53,0,掉落_design!V$2,1,1)&amp;";"&amp;OFFSET(掉落_design!$E53,0,掉落_design!V$2+1,1,1)&amp;";"&amp;OFFSET(掉落_design!$E53,0,掉落_design!V$2+2,1,1)&amp;";"&amp;OFFSET(掉落_design!$E53,0,掉落_design!V$2+3,1,1))</f>
        <v/>
      </c>
      <c r="X53" s="16" t="str">
        <f ca="1">IF(OFFSET(掉落_design!$E53,0,掉落_design!W$2,1,1)="","",OFFSET(掉落_design!$E53,0,掉落_design!W$2,1,1)&amp;";"&amp;OFFSET(掉落_design!$E53,0,掉落_design!W$2+1,1,1)&amp;";"&amp;OFFSET(掉落_design!$E53,0,掉落_design!W$2+2,1,1)&amp;";"&amp;OFFSET(掉落_design!$E53,0,掉落_design!W$2+3,1,1))</f>
        <v/>
      </c>
      <c r="Y53" s="16" t="str">
        <f ca="1">IF(OFFSET(掉落_design!$E53,0,掉落_design!X$2,1,1)="","",OFFSET(掉落_design!$E53,0,掉落_design!X$2,1,1)&amp;";"&amp;OFFSET(掉落_design!$E53,0,掉落_design!X$2+1,1,1)&amp;";"&amp;OFFSET(掉落_design!$E53,0,掉落_design!X$2+2,1,1)&amp;";"&amp;OFFSET(掉落_design!$E53,0,掉落_design!X$2+3,1,1))</f>
        <v/>
      </c>
    </row>
    <row r="54" spans="1:25" x14ac:dyDescent="0.15">
      <c r="A54" s="11" t="str">
        <f t="shared" si="0"/>
        <v>DATA</v>
      </c>
      <c r="B54" s="25"/>
      <c r="C54" s="25"/>
      <c r="D54" s="15">
        <f>IF(掉落_design!C54="","",掉落_design!C54)</f>
        <v>20201</v>
      </c>
      <c r="E54" s="15">
        <f>IF(A54="","",掉落_design!D54)</f>
        <v>2</v>
      </c>
      <c r="F54" s="16" t="str">
        <f ca="1">IF(OFFSET(掉落_design!$E54,0,掉落_design!E$2,1,1)="","",OFFSET(掉落_design!$E54,0,掉落_design!E$2,1,1)&amp;";"&amp;OFFSET(掉落_design!$E54,0,掉落_design!E$2+1,1,1)&amp;";"&amp;OFFSET(掉落_design!$E54,0,掉落_design!E$2+2,1,1)&amp;";"&amp;OFFSET(掉落_design!$E54,0,掉落_design!E$2+3,1,1))</f>
        <v>20406;1;1;1</v>
      </c>
      <c r="G54" s="16" t="str">
        <f ca="1">IF(OFFSET(掉落_design!$E54,0,掉落_design!F$2,1,1)="","",OFFSET(掉落_design!$E54,0,掉落_design!F$2,1,1)&amp;";"&amp;OFFSET(掉落_design!$E54,0,掉落_design!F$2+1,1,1)&amp;";"&amp;OFFSET(掉落_design!$E54,0,掉落_design!F$2+2,1,1)&amp;";"&amp;OFFSET(掉落_design!$E54,0,掉落_design!F$2+3,1,1))</f>
        <v>20405;1;1;1</v>
      </c>
      <c r="H54" s="16" t="str">
        <f ca="1">IF(OFFSET(掉落_design!$E54,0,掉落_design!G$2,1,1)="","",OFFSET(掉落_design!$E54,0,掉落_design!G$2,1,1)&amp;";"&amp;OFFSET(掉落_design!$E54,0,掉落_design!G$2+1,1,1)&amp;";"&amp;OFFSET(掉落_design!$E54,0,掉落_design!G$2+2,1,1)&amp;";"&amp;OFFSET(掉落_design!$E54,0,掉落_design!G$2+3,1,1))</f>
        <v>20606;1;1;1</v>
      </c>
      <c r="I54" s="16" t="str">
        <f ca="1">IF(OFFSET(掉落_design!$E54,0,掉落_design!H$2,1,1)="","",OFFSET(掉落_design!$E54,0,掉落_design!H$2,1,1)&amp;";"&amp;OFFSET(掉落_design!$E54,0,掉落_design!H$2+1,1,1)&amp;";"&amp;OFFSET(掉落_design!$E54,0,掉落_design!H$2+2,1,1)&amp;";"&amp;OFFSET(掉落_design!$E54,0,掉落_design!H$2+3,1,1))</f>
        <v>20405;1;1;1</v>
      </c>
      <c r="J54" s="16" t="str">
        <f ca="1">IF(OFFSET(掉落_design!$E54,0,掉落_design!I$2,1,1)="","",OFFSET(掉落_design!$E54,0,掉落_design!I$2,1,1)&amp;";"&amp;OFFSET(掉落_design!$E54,0,掉落_design!I$2+1,1,1)&amp;";"&amp;OFFSET(掉落_design!$E54,0,掉落_design!I$2+2,1,1)&amp;";"&amp;OFFSET(掉落_design!$E54,0,掉落_design!I$2+3,1,1))</f>
        <v>20603;1;1;1</v>
      </c>
      <c r="K54" s="16" t="str">
        <f ca="1">IF(OFFSET(掉落_design!$E54,0,掉落_design!J$2,1,1)="","",OFFSET(掉落_design!$E54,0,掉落_design!J$2,1,1)&amp;";"&amp;OFFSET(掉落_design!$E54,0,掉落_design!J$2+1,1,1)&amp;";"&amp;OFFSET(掉落_design!$E54,0,掉落_design!J$2+2,1,1)&amp;";"&amp;OFFSET(掉落_design!$E54,0,掉落_design!J$2+3,1,1))</f>
        <v>20306;1;1;1</v>
      </c>
      <c r="L54" s="16" t="str">
        <f ca="1">IF(OFFSET(掉落_design!$E54,0,掉落_design!K$2,1,1)="","",OFFSET(掉落_design!$E54,0,掉落_design!K$2,1,1)&amp;";"&amp;OFFSET(掉落_design!$E54,0,掉落_design!K$2+1,1,1)&amp;";"&amp;OFFSET(掉落_design!$E54,0,掉落_design!K$2+2,1,1)&amp;";"&amp;OFFSET(掉落_design!$E54,0,掉落_design!K$2+3,1,1))</f>
        <v>20606;1;1;1</v>
      </c>
      <c r="M54" s="16" t="str">
        <f ca="1">IF(OFFSET(掉落_design!$E54,0,掉落_design!L$2,1,1)="","",OFFSET(掉落_design!$E54,0,掉落_design!L$2,1,1)&amp;";"&amp;OFFSET(掉落_design!$E54,0,掉落_design!L$2+1,1,1)&amp;";"&amp;OFFSET(掉落_design!$E54,0,掉落_design!L$2+2,1,1)&amp;";"&amp;OFFSET(掉落_design!$E54,0,掉落_design!L$2+3,1,1))</f>
        <v>20604;1;1;1</v>
      </c>
      <c r="N54" s="16" t="str">
        <f ca="1">IF(OFFSET(掉落_design!$E54,0,掉落_design!M$2,1,1)="","",OFFSET(掉落_design!$E54,0,掉落_design!M$2,1,1)&amp;";"&amp;OFFSET(掉落_design!$E54,0,掉落_design!M$2+1,1,1)&amp;";"&amp;OFFSET(掉落_design!$E54,0,掉落_design!M$2+2,1,1)&amp;";"&amp;OFFSET(掉落_design!$E54,0,掉落_design!M$2+3,1,1))</f>
        <v>20505;1;1;1</v>
      </c>
      <c r="O54" s="16" t="str">
        <f ca="1">IF(OFFSET(掉落_design!$E54,0,掉落_design!N$2,1,1)="","",OFFSET(掉落_design!$E54,0,掉落_design!N$2,1,1)&amp;";"&amp;OFFSET(掉落_design!$E54,0,掉落_design!N$2+1,1,1)&amp;";"&amp;OFFSET(掉落_design!$E54,0,掉落_design!N$2+2,1,1)&amp;";"&amp;OFFSET(掉落_design!$E54,0,掉落_design!N$2+3,1,1))</f>
        <v>20303;1;1;1</v>
      </c>
      <c r="P54" s="16" t="str">
        <f ca="1">IF(OFFSET(掉落_design!$E54,0,掉落_design!O$2,1,1)="","",OFFSET(掉落_design!$E54,0,掉落_design!O$2,1,1)&amp;";"&amp;OFFSET(掉落_design!$E54,0,掉落_design!O$2+1,1,1)&amp;";"&amp;OFFSET(掉落_design!$E54,0,掉落_design!O$2+2,1,1)&amp;";"&amp;OFFSET(掉落_design!$E54,0,掉落_design!O$2+3,1,1))</f>
        <v>1001;100;150;20</v>
      </c>
      <c r="Q54" s="16" t="str">
        <f ca="1">IF(OFFSET(掉落_design!$E54,0,掉落_design!P$2,1,1)="","",OFFSET(掉落_design!$E54,0,掉落_design!P$2,1,1)&amp;";"&amp;OFFSET(掉落_design!$E54,0,掉落_design!P$2+1,1,1)&amp;";"&amp;OFFSET(掉落_design!$E54,0,掉落_design!P$2+2,1,1)&amp;";"&amp;OFFSET(掉落_design!$E54,0,掉落_design!P$2+3,1,1))</f>
        <v/>
      </c>
      <c r="R54" s="16" t="str">
        <f ca="1">IF(OFFSET(掉落_design!$E54,0,掉落_design!Q$2,1,1)="","",OFFSET(掉落_design!$E54,0,掉落_design!Q$2,1,1)&amp;";"&amp;OFFSET(掉落_design!$E54,0,掉落_design!Q$2+1,1,1)&amp;";"&amp;OFFSET(掉落_design!$E54,0,掉落_design!Q$2+2,1,1)&amp;";"&amp;OFFSET(掉落_design!$E54,0,掉落_design!Q$2+3,1,1))</f>
        <v/>
      </c>
      <c r="S54" s="16" t="str">
        <f ca="1">IF(OFFSET(掉落_design!$E54,0,掉落_design!R$2,1,1)="","",OFFSET(掉落_design!$E54,0,掉落_design!R$2,1,1)&amp;";"&amp;OFFSET(掉落_design!$E54,0,掉落_design!R$2+1,1,1)&amp;";"&amp;OFFSET(掉落_design!$E54,0,掉落_design!R$2+2,1,1)&amp;";"&amp;OFFSET(掉落_design!$E54,0,掉落_design!R$2+3,1,1))</f>
        <v/>
      </c>
      <c r="T54" s="16" t="str">
        <f ca="1">IF(OFFSET(掉落_design!$E54,0,掉落_design!S$2,1,1)="","",OFFSET(掉落_design!$E54,0,掉落_design!S$2,1,1)&amp;";"&amp;OFFSET(掉落_design!$E54,0,掉落_design!S$2+1,1,1)&amp;";"&amp;OFFSET(掉落_design!$E54,0,掉落_design!S$2+2,1,1)&amp;";"&amp;OFFSET(掉落_design!$E54,0,掉落_design!S$2+3,1,1))</f>
        <v/>
      </c>
      <c r="U54" s="16" t="str">
        <f ca="1">IF(OFFSET(掉落_design!$E54,0,掉落_design!T$2,1,1)="","",OFFSET(掉落_design!$E54,0,掉落_design!T$2,1,1)&amp;";"&amp;OFFSET(掉落_design!$E54,0,掉落_design!T$2+1,1,1)&amp;";"&amp;OFFSET(掉落_design!$E54,0,掉落_design!T$2+2,1,1)&amp;";"&amp;OFFSET(掉落_design!$E54,0,掉落_design!T$2+3,1,1))</f>
        <v/>
      </c>
      <c r="V54" s="16" t="str">
        <f ca="1">IF(OFFSET(掉落_design!$E54,0,掉落_design!U$2,1,1)="","",OFFSET(掉落_design!$E54,0,掉落_design!U$2,1,1)&amp;";"&amp;OFFSET(掉落_design!$E54,0,掉落_design!U$2+1,1,1)&amp;";"&amp;OFFSET(掉落_design!$E54,0,掉落_design!U$2+2,1,1)&amp;";"&amp;OFFSET(掉落_design!$E54,0,掉落_design!U$2+3,1,1))</f>
        <v/>
      </c>
      <c r="W54" s="16" t="str">
        <f ca="1">IF(OFFSET(掉落_design!$E54,0,掉落_design!V$2,1,1)="","",OFFSET(掉落_design!$E54,0,掉落_design!V$2,1,1)&amp;";"&amp;OFFSET(掉落_design!$E54,0,掉落_design!V$2+1,1,1)&amp;";"&amp;OFFSET(掉落_design!$E54,0,掉落_design!V$2+2,1,1)&amp;";"&amp;OFFSET(掉落_design!$E54,0,掉落_design!V$2+3,1,1))</f>
        <v/>
      </c>
      <c r="X54" s="16" t="str">
        <f ca="1">IF(OFFSET(掉落_design!$E54,0,掉落_design!W$2,1,1)="","",OFFSET(掉落_design!$E54,0,掉落_design!W$2,1,1)&amp;";"&amp;OFFSET(掉落_design!$E54,0,掉落_design!W$2+1,1,1)&amp;";"&amp;OFFSET(掉落_design!$E54,0,掉落_design!W$2+2,1,1)&amp;";"&amp;OFFSET(掉落_design!$E54,0,掉落_design!W$2+3,1,1))</f>
        <v/>
      </c>
      <c r="Y54" s="16" t="str">
        <f ca="1">IF(OFFSET(掉落_design!$E54,0,掉落_design!X$2,1,1)="","",OFFSET(掉落_design!$E54,0,掉落_design!X$2,1,1)&amp;";"&amp;OFFSET(掉落_design!$E54,0,掉落_design!X$2+1,1,1)&amp;";"&amp;OFFSET(掉落_design!$E54,0,掉落_design!X$2+2,1,1)&amp;";"&amp;OFFSET(掉落_design!$E54,0,掉落_design!X$2+3,1,1))</f>
        <v/>
      </c>
    </row>
    <row r="55" spans="1:25" x14ac:dyDescent="0.15">
      <c r="A55" s="11" t="str">
        <f t="shared" si="0"/>
        <v/>
      </c>
      <c r="B55" s="25"/>
      <c r="C55" s="25"/>
      <c r="D55" s="15" t="str">
        <f>IF(掉落_design!C55="","",掉落_design!C55)</f>
        <v/>
      </c>
      <c r="E55" s="15" t="str">
        <f>IF(A55="","",掉落_design!D55)</f>
        <v/>
      </c>
      <c r="F55" s="16" t="str">
        <f ca="1">IF(OFFSET(掉落_design!$E55,0,掉落_design!E$2,1,1)="","",OFFSET(掉落_design!$E55,0,掉落_design!E$2,1,1)&amp;";"&amp;OFFSET(掉落_design!$E55,0,掉落_design!E$2+1,1,1)&amp;";"&amp;OFFSET(掉落_design!$E55,0,掉落_design!E$2+2,1,1)&amp;";"&amp;OFFSET(掉落_design!$E55,0,掉落_design!E$2+3,1,1))</f>
        <v/>
      </c>
      <c r="G55" s="16" t="str">
        <f ca="1">IF(OFFSET(掉落_design!$E55,0,掉落_design!F$2,1,1)="","",OFFSET(掉落_design!$E55,0,掉落_design!F$2,1,1)&amp;";"&amp;OFFSET(掉落_design!$E55,0,掉落_design!F$2+1,1,1)&amp;";"&amp;OFFSET(掉落_design!$E55,0,掉落_design!F$2+2,1,1)&amp;";"&amp;OFFSET(掉落_design!$E55,0,掉落_design!F$2+3,1,1))</f>
        <v/>
      </c>
      <c r="H55" s="16" t="str">
        <f ca="1">IF(OFFSET(掉落_design!$E55,0,掉落_design!G$2,1,1)="","",OFFSET(掉落_design!$E55,0,掉落_design!G$2,1,1)&amp;";"&amp;OFFSET(掉落_design!$E55,0,掉落_design!G$2+1,1,1)&amp;";"&amp;OFFSET(掉落_design!$E55,0,掉落_design!G$2+2,1,1)&amp;";"&amp;OFFSET(掉落_design!$E55,0,掉落_design!G$2+3,1,1))</f>
        <v/>
      </c>
      <c r="I55" s="16" t="str">
        <f ca="1">IF(OFFSET(掉落_design!$E55,0,掉落_design!H$2,1,1)="","",OFFSET(掉落_design!$E55,0,掉落_design!H$2,1,1)&amp;";"&amp;OFFSET(掉落_design!$E55,0,掉落_design!H$2+1,1,1)&amp;";"&amp;OFFSET(掉落_design!$E55,0,掉落_design!H$2+2,1,1)&amp;";"&amp;OFFSET(掉落_design!$E55,0,掉落_design!H$2+3,1,1))</f>
        <v/>
      </c>
      <c r="J55" s="16" t="str">
        <f ca="1">IF(OFFSET(掉落_design!$E55,0,掉落_design!I$2,1,1)="","",OFFSET(掉落_design!$E55,0,掉落_design!I$2,1,1)&amp;";"&amp;OFFSET(掉落_design!$E55,0,掉落_design!I$2+1,1,1)&amp;";"&amp;OFFSET(掉落_design!$E55,0,掉落_design!I$2+2,1,1)&amp;";"&amp;OFFSET(掉落_design!$E55,0,掉落_design!I$2+3,1,1))</f>
        <v/>
      </c>
      <c r="K55" s="16" t="str">
        <f ca="1">IF(OFFSET(掉落_design!$E55,0,掉落_design!J$2,1,1)="","",OFFSET(掉落_design!$E55,0,掉落_design!J$2,1,1)&amp;";"&amp;OFFSET(掉落_design!$E55,0,掉落_design!J$2+1,1,1)&amp;";"&amp;OFFSET(掉落_design!$E55,0,掉落_design!J$2+2,1,1)&amp;";"&amp;OFFSET(掉落_design!$E55,0,掉落_design!J$2+3,1,1))</f>
        <v/>
      </c>
      <c r="L55" s="16" t="str">
        <f ca="1">IF(OFFSET(掉落_design!$E55,0,掉落_design!K$2,1,1)="","",OFFSET(掉落_design!$E55,0,掉落_design!K$2,1,1)&amp;";"&amp;OFFSET(掉落_design!$E55,0,掉落_design!K$2+1,1,1)&amp;";"&amp;OFFSET(掉落_design!$E55,0,掉落_design!K$2+2,1,1)&amp;";"&amp;OFFSET(掉落_design!$E55,0,掉落_design!K$2+3,1,1))</f>
        <v/>
      </c>
      <c r="M55" s="16" t="str">
        <f ca="1">IF(OFFSET(掉落_design!$E55,0,掉落_design!L$2,1,1)="","",OFFSET(掉落_design!$E55,0,掉落_design!L$2,1,1)&amp;";"&amp;OFFSET(掉落_design!$E55,0,掉落_design!L$2+1,1,1)&amp;";"&amp;OFFSET(掉落_design!$E55,0,掉落_design!L$2+2,1,1)&amp;";"&amp;OFFSET(掉落_design!$E55,0,掉落_design!L$2+3,1,1))</f>
        <v/>
      </c>
      <c r="N55" s="16" t="str">
        <f ca="1">IF(OFFSET(掉落_design!$E55,0,掉落_design!M$2,1,1)="","",OFFSET(掉落_design!$E55,0,掉落_design!M$2,1,1)&amp;";"&amp;OFFSET(掉落_design!$E55,0,掉落_design!M$2+1,1,1)&amp;";"&amp;OFFSET(掉落_design!$E55,0,掉落_design!M$2+2,1,1)&amp;";"&amp;OFFSET(掉落_design!$E55,0,掉落_design!M$2+3,1,1))</f>
        <v/>
      </c>
      <c r="O55" s="16" t="str">
        <f ca="1">IF(OFFSET(掉落_design!$E55,0,掉落_design!N$2,1,1)="","",OFFSET(掉落_design!$E55,0,掉落_design!N$2,1,1)&amp;";"&amp;OFFSET(掉落_design!$E55,0,掉落_design!N$2+1,1,1)&amp;";"&amp;OFFSET(掉落_design!$E55,0,掉落_design!N$2+2,1,1)&amp;";"&amp;OFFSET(掉落_design!$E55,0,掉落_design!N$2+3,1,1))</f>
        <v/>
      </c>
      <c r="P55" s="16" t="str">
        <f ca="1">IF(OFFSET(掉落_design!$E55,0,掉落_design!O$2,1,1)="","",OFFSET(掉落_design!$E55,0,掉落_design!O$2,1,1)&amp;";"&amp;OFFSET(掉落_design!$E55,0,掉落_design!O$2+1,1,1)&amp;";"&amp;OFFSET(掉落_design!$E55,0,掉落_design!O$2+2,1,1)&amp;";"&amp;OFFSET(掉落_design!$E55,0,掉落_design!O$2+3,1,1))</f>
        <v/>
      </c>
      <c r="Q55" s="16" t="str">
        <f ca="1">IF(OFFSET(掉落_design!$E55,0,掉落_design!P$2,1,1)="","",OFFSET(掉落_design!$E55,0,掉落_design!P$2,1,1)&amp;";"&amp;OFFSET(掉落_design!$E55,0,掉落_design!P$2+1,1,1)&amp;";"&amp;OFFSET(掉落_design!$E55,0,掉落_design!P$2+2,1,1)&amp;";"&amp;OFFSET(掉落_design!$E55,0,掉落_design!P$2+3,1,1))</f>
        <v/>
      </c>
      <c r="R55" s="16" t="str">
        <f ca="1">IF(OFFSET(掉落_design!$E55,0,掉落_design!Q$2,1,1)="","",OFFSET(掉落_design!$E55,0,掉落_design!Q$2,1,1)&amp;";"&amp;OFFSET(掉落_design!$E55,0,掉落_design!Q$2+1,1,1)&amp;";"&amp;OFFSET(掉落_design!$E55,0,掉落_design!Q$2+2,1,1)&amp;";"&amp;OFFSET(掉落_design!$E55,0,掉落_design!Q$2+3,1,1))</f>
        <v/>
      </c>
      <c r="S55" s="16" t="str">
        <f ca="1">IF(OFFSET(掉落_design!$E55,0,掉落_design!R$2,1,1)="","",OFFSET(掉落_design!$E55,0,掉落_design!R$2,1,1)&amp;";"&amp;OFFSET(掉落_design!$E55,0,掉落_design!R$2+1,1,1)&amp;";"&amp;OFFSET(掉落_design!$E55,0,掉落_design!R$2+2,1,1)&amp;";"&amp;OFFSET(掉落_design!$E55,0,掉落_design!R$2+3,1,1))</f>
        <v/>
      </c>
      <c r="T55" s="16" t="str">
        <f ca="1">IF(OFFSET(掉落_design!$E55,0,掉落_design!S$2,1,1)="","",OFFSET(掉落_design!$E55,0,掉落_design!S$2,1,1)&amp;";"&amp;OFFSET(掉落_design!$E55,0,掉落_design!S$2+1,1,1)&amp;";"&amp;OFFSET(掉落_design!$E55,0,掉落_design!S$2+2,1,1)&amp;";"&amp;OFFSET(掉落_design!$E55,0,掉落_design!S$2+3,1,1))</f>
        <v/>
      </c>
      <c r="U55" s="16" t="str">
        <f ca="1">IF(OFFSET(掉落_design!$E55,0,掉落_design!T$2,1,1)="","",OFFSET(掉落_design!$E55,0,掉落_design!T$2,1,1)&amp;";"&amp;OFFSET(掉落_design!$E55,0,掉落_design!T$2+1,1,1)&amp;";"&amp;OFFSET(掉落_design!$E55,0,掉落_design!T$2+2,1,1)&amp;";"&amp;OFFSET(掉落_design!$E55,0,掉落_design!T$2+3,1,1))</f>
        <v/>
      </c>
      <c r="V55" s="16" t="str">
        <f ca="1">IF(OFFSET(掉落_design!$E55,0,掉落_design!U$2,1,1)="","",OFFSET(掉落_design!$E55,0,掉落_design!U$2,1,1)&amp;";"&amp;OFFSET(掉落_design!$E55,0,掉落_design!U$2+1,1,1)&amp;";"&amp;OFFSET(掉落_design!$E55,0,掉落_design!U$2+2,1,1)&amp;";"&amp;OFFSET(掉落_design!$E55,0,掉落_design!U$2+3,1,1))</f>
        <v/>
      </c>
      <c r="W55" s="16" t="str">
        <f ca="1">IF(OFFSET(掉落_design!$E55,0,掉落_design!V$2,1,1)="","",OFFSET(掉落_design!$E55,0,掉落_design!V$2,1,1)&amp;";"&amp;OFFSET(掉落_design!$E55,0,掉落_design!V$2+1,1,1)&amp;";"&amp;OFFSET(掉落_design!$E55,0,掉落_design!V$2+2,1,1)&amp;";"&amp;OFFSET(掉落_design!$E55,0,掉落_design!V$2+3,1,1))</f>
        <v/>
      </c>
      <c r="X55" s="16" t="str">
        <f ca="1">IF(OFFSET(掉落_design!$E55,0,掉落_design!W$2,1,1)="","",OFFSET(掉落_design!$E55,0,掉落_design!W$2,1,1)&amp;";"&amp;OFFSET(掉落_design!$E55,0,掉落_design!W$2+1,1,1)&amp;";"&amp;OFFSET(掉落_design!$E55,0,掉落_design!W$2+2,1,1)&amp;";"&amp;OFFSET(掉落_design!$E55,0,掉落_design!W$2+3,1,1))</f>
        <v/>
      </c>
      <c r="Y55" s="16" t="str">
        <f ca="1">IF(OFFSET(掉落_design!$E55,0,掉落_design!X$2,1,1)="","",OFFSET(掉落_design!$E55,0,掉落_design!X$2,1,1)&amp;";"&amp;OFFSET(掉落_design!$E55,0,掉落_design!X$2+1,1,1)&amp;";"&amp;OFFSET(掉落_design!$E55,0,掉落_design!X$2+2,1,1)&amp;";"&amp;OFFSET(掉落_design!$E55,0,掉落_design!X$2+3,1,1))</f>
        <v/>
      </c>
    </row>
    <row r="56" spans="1:25" x14ac:dyDescent="0.15">
      <c r="A56" s="11" t="str">
        <f t="shared" si="0"/>
        <v>DATA</v>
      </c>
      <c r="B56" s="25"/>
      <c r="C56" s="25"/>
      <c r="D56" s="15">
        <f>IF(掉落_design!C56="","",掉落_design!C56)</f>
        <v>20300</v>
      </c>
      <c r="E56" s="15">
        <f>IF(A56="","",掉落_design!D56)</f>
        <v>1</v>
      </c>
      <c r="F56" s="16" t="str">
        <f ca="1">IF(OFFSET(掉落_design!$E56,0,掉落_design!E$2,1,1)="","",OFFSET(掉落_design!$E56,0,掉落_design!E$2,1,1)&amp;";"&amp;OFFSET(掉落_design!$E56,0,掉落_design!E$2+1,1,1)&amp;";"&amp;OFFSET(掉落_design!$E56,0,掉落_design!E$2+2,1,1)&amp;";"&amp;OFFSET(掉落_design!$E56,0,掉落_design!E$2+3,1,1))</f>
        <v>1001;40;60;1000</v>
      </c>
      <c r="G56" s="16" t="str">
        <f ca="1">IF(OFFSET(掉落_design!$E56,0,掉落_design!F$2,1,1)="","",OFFSET(掉落_design!$E56,0,掉落_design!F$2,1,1)&amp;";"&amp;OFFSET(掉落_design!$E56,0,掉落_design!F$2+1,1,1)&amp;";"&amp;OFFSET(掉落_design!$E56,0,掉落_design!F$2+2,1,1)&amp;";"&amp;OFFSET(掉落_design!$E56,0,掉落_design!F$2+3,1,1))</f>
        <v>1204;1;1;1000</v>
      </c>
      <c r="H56" s="16" t="str">
        <f ca="1">IF(OFFSET(掉落_design!$E56,0,掉落_design!G$2,1,1)="","",OFFSET(掉落_design!$E56,0,掉落_design!G$2,1,1)&amp;";"&amp;OFFSET(掉落_design!$E56,0,掉落_design!G$2+1,1,1)&amp;";"&amp;OFFSET(掉落_design!$E56,0,掉落_design!G$2+2,1,1)&amp;";"&amp;OFFSET(掉落_design!$E56,0,掉落_design!G$2+3,1,1))</f>
        <v/>
      </c>
      <c r="I56" s="16" t="str">
        <f ca="1">IF(OFFSET(掉落_design!$E56,0,掉落_design!H$2,1,1)="","",OFFSET(掉落_design!$E56,0,掉落_design!H$2,1,1)&amp;";"&amp;OFFSET(掉落_design!$E56,0,掉落_design!H$2+1,1,1)&amp;";"&amp;OFFSET(掉落_design!$E56,0,掉落_design!H$2+2,1,1)&amp;";"&amp;OFFSET(掉落_design!$E56,0,掉落_design!H$2+3,1,1))</f>
        <v/>
      </c>
      <c r="J56" s="16" t="str">
        <f ca="1">IF(OFFSET(掉落_design!$E56,0,掉落_design!I$2,1,1)="","",OFFSET(掉落_design!$E56,0,掉落_design!I$2,1,1)&amp;";"&amp;OFFSET(掉落_design!$E56,0,掉落_design!I$2+1,1,1)&amp;";"&amp;OFFSET(掉落_design!$E56,0,掉落_design!I$2+2,1,1)&amp;";"&amp;OFFSET(掉落_design!$E56,0,掉落_design!I$2+3,1,1))</f>
        <v/>
      </c>
      <c r="K56" s="16" t="str">
        <f ca="1">IF(OFFSET(掉落_design!$E56,0,掉落_design!J$2,1,1)="","",OFFSET(掉落_design!$E56,0,掉落_design!J$2,1,1)&amp;";"&amp;OFFSET(掉落_design!$E56,0,掉落_design!J$2+1,1,1)&amp;";"&amp;OFFSET(掉落_design!$E56,0,掉落_design!J$2+2,1,1)&amp;";"&amp;OFFSET(掉落_design!$E56,0,掉落_design!J$2+3,1,1))</f>
        <v/>
      </c>
      <c r="L56" s="16" t="str">
        <f ca="1">IF(OFFSET(掉落_design!$E56,0,掉落_design!K$2,1,1)="","",OFFSET(掉落_design!$E56,0,掉落_design!K$2,1,1)&amp;";"&amp;OFFSET(掉落_design!$E56,0,掉落_design!K$2+1,1,1)&amp;";"&amp;OFFSET(掉落_design!$E56,0,掉落_design!K$2+2,1,1)&amp;";"&amp;OFFSET(掉落_design!$E56,0,掉落_design!K$2+3,1,1))</f>
        <v/>
      </c>
      <c r="M56" s="16" t="str">
        <f ca="1">IF(OFFSET(掉落_design!$E56,0,掉落_design!L$2,1,1)="","",OFFSET(掉落_design!$E56,0,掉落_design!L$2,1,1)&amp;";"&amp;OFFSET(掉落_design!$E56,0,掉落_design!L$2+1,1,1)&amp;";"&amp;OFFSET(掉落_design!$E56,0,掉落_design!L$2+2,1,1)&amp;";"&amp;OFFSET(掉落_design!$E56,0,掉落_design!L$2+3,1,1))</f>
        <v/>
      </c>
      <c r="N56" s="16" t="str">
        <f ca="1">IF(OFFSET(掉落_design!$E56,0,掉落_design!M$2,1,1)="","",OFFSET(掉落_design!$E56,0,掉落_design!M$2,1,1)&amp;";"&amp;OFFSET(掉落_design!$E56,0,掉落_design!M$2+1,1,1)&amp;";"&amp;OFFSET(掉落_design!$E56,0,掉落_design!M$2+2,1,1)&amp;";"&amp;OFFSET(掉落_design!$E56,0,掉落_design!M$2+3,1,1))</f>
        <v/>
      </c>
      <c r="O56" s="16" t="str">
        <f ca="1">IF(OFFSET(掉落_design!$E56,0,掉落_design!N$2,1,1)="","",OFFSET(掉落_design!$E56,0,掉落_design!N$2,1,1)&amp;";"&amp;OFFSET(掉落_design!$E56,0,掉落_design!N$2+1,1,1)&amp;";"&amp;OFFSET(掉落_design!$E56,0,掉落_design!N$2+2,1,1)&amp;";"&amp;OFFSET(掉落_design!$E56,0,掉落_design!N$2+3,1,1))</f>
        <v/>
      </c>
      <c r="P56" s="16" t="str">
        <f ca="1">IF(OFFSET(掉落_design!$E56,0,掉落_design!O$2,1,1)="","",OFFSET(掉落_design!$E56,0,掉落_design!O$2,1,1)&amp;";"&amp;OFFSET(掉落_design!$E56,0,掉落_design!O$2+1,1,1)&amp;";"&amp;OFFSET(掉落_design!$E56,0,掉落_design!O$2+2,1,1)&amp;";"&amp;OFFSET(掉落_design!$E56,0,掉落_design!O$2+3,1,1))</f>
        <v/>
      </c>
      <c r="Q56" s="16" t="str">
        <f ca="1">IF(OFFSET(掉落_design!$E56,0,掉落_design!P$2,1,1)="","",OFFSET(掉落_design!$E56,0,掉落_design!P$2,1,1)&amp;";"&amp;OFFSET(掉落_design!$E56,0,掉落_design!P$2+1,1,1)&amp;";"&amp;OFFSET(掉落_design!$E56,0,掉落_design!P$2+2,1,1)&amp;";"&amp;OFFSET(掉落_design!$E56,0,掉落_design!P$2+3,1,1))</f>
        <v/>
      </c>
      <c r="R56" s="16" t="str">
        <f ca="1">IF(OFFSET(掉落_design!$E56,0,掉落_design!Q$2,1,1)="","",OFFSET(掉落_design!$E56,0,掉落_design!Q$2,1,1)&amp;";"&amp;OFFSET(掉落_design!$E56,0,掉落_design!Q$2+1,1,1)&amp;";"&amp;OFFSET(掉落_design!$E56,0,掉落_design!Q$2+2,1,1)&amp;";"&amp;OFFSET(掉落_design!$E56,0,掉落_design!Q$2+3,1,1))</f>
        <v/>
      </c>
      <c r="S56" s="16" t="str">
        <f ca="1">IF(OFFSET(掉落_design!$E56,0,掉落_design!R$2,1,1)="","",OFFSET(掉落_design!$E56,0,掉落_design!R$2,1,1)&amp;";"&amp;OFFSET(掉落_design!$E56,0,掉落_design!R$2+1,1,1)&amp;";"&amp;OFFSET(掉落_design!$E56,0,掉落_design!R$2+2,1,1)&amp;";"&amp;OFFSET(掉落_design!$E56,0,掉落_design!R$2+3,1,1))</f>
        <v/>
      </c>
      <c r="T56" s="16" t="str">
        <f ca="1">IF(OFFSET(掉落_design!$E56,0,掉落_design!S$2,1,1)="","",OFFSET(掉落_design!$E56,0,掉落_design!S$2,1,1)&amp;";"&amp;OFFSET(掉落_design!$E56,0,掉落_design!S$2+1,1,1)&amp;";"&amp;OFFSET(掉落_design!$E56,0,掉落_design!S$2+2,1,1)&amp;";"&amp;OFFSET(掉落_design!$E56,0,掉落_design!S$2+3,1,1))</f>
        <v/>
      </c>
      <c r="U56" s="16" t="str">
        <f ca="1">IF(OFFSET(掉落_design!$E56,0,掉落_design!T$2,1,1)="","",OFFSET(掉落_design!$E56,0,掉落_design!T$2,1,1)&amp;";"&amp;OFFSET(掉落_design!$E56,0,掉落_design!T$2+1,1,1)&amp;";"&amp;OFFSET(掉落_design!$E56,0,掉落_design!T$2+2,1,1)&amp;";"&amp;OFFSET(掉落_design!$E56,0,掉落_design!T$2+3,1,1))</f>
        <v/>
      </c>
      <c r="V56" s="16" t="str">
        <f ca="1">IF(OFFSET(掉落_design!$E56,0,掉落_design!U$2,1,1)="","",OFFSET(掉落_design!$E56,0,掉落_design!U$2,1,1)&amp;";"&amp;OFFSET(掉落_design!$E56,0,掉落_design!U$2+1,1,1)&amp;";"&amp;OFFSET(掉落_design!$E56,0,掉落_design!U$2+2,1,1)&amp;";"&amp;OFFSET(掉落_design!$E56,0,掉落_design!U$2+3,1,1))</f>
        <v/>
      </c>
      <c r="W56" s="16" t="str">
        <f ca="1">IF(OFFSET(掉落_design!$E56,0,掉落_design!V$2,1,1)="","",OFFSET(掉落_design!$E56,0,掉落_design!V$2,1,1)&amp;";"&amp;OFFSET(掉落_design!$E56,0,掉落_design!V$2+1,1,1)&amp;";"&amp;OFFSET(掉落_design!$E56,0,掉落_design!V$2+2,1,1)&amp;";"&amp;OFFSET(掉落_design!$E56,0,掉落_design!V$2+3,1,1))</f>
        <v/>
      </c>
      <c r="X56" s="16" t="str">
        <f ca="1">IF(OFFSET(掉落_design!$E56,0,掉落_design!W$2,1,1)="","",OFFSET(掉落_design!$E56,0,掉落_design!W$2,1,1)&amp;";"&amp;OFFSET(掉落_design!$E56,0,掉落_design!W$2+1,1,1)&amp;";"&amp;OFFSET(掉落_design!$E56,0,掉落_design!W$2+2,1,1)&amp;";"&amp;OFFSET(掉落_design!$E56,0,掉落_design!W$2+3,1,1))</f>
        <v/>
      </c>
      <c r="Y56" s="16" t="str">
        <f ca="1">IF(OFFSET(掉落_design!$E56,0,掉落_design!X$2,1,1)="","",OFFSET(掉落_design!$E56,0,掉落_design!X$2,1,1)&amp;";"&amp;OFFSET(掉落_design!$E56,0,掉落_design!X$2+1,1,1)&amp;";"&amp;OFFSET(掉落_design!$E56,0,掉落_design!X$2+2,1,1)&amp;";"&amp;OFFSET(掉落_design!$E56,0,掉落_design!X$2+3,1,1))</f>
        <v/>
      </c>
    </row>
    <row r="57" spans="1:25" x14ac:dyDescent="0.15">
      <c r="A57" s="11" t="str">
        <f t="shared" si="0"/>
        <v>DATA</v>
      </c>
      <c r="B57" s="25"/>
      <c r="C57" s="25"/>
      <c r="D57" s="15">
        <f>IF(掉落_design!C57="","",掉落_design!C57)</f>
        <v>20301</v>
      </c>
      <c r="E57" s="15">
        <f>IF(A57="","",掉落_design!D57)</f>
        <v>2</v>
      </c>
      <c r="F57" s="16" t="str">
        <f ca="1">IF(OFFSET(掉落_design!$E57,0,掉落_design!E$2,1,1)="","",OFFSET(掉落_design!$E57,0,掉落_design!E$2,1,1)&amp;";"&amp;OFFSET(掉落_design!$E57,0,掉落_design!E$2+1,1,1)&amp;";"&amp;OFFSET(掉落_design!$E57,0,掉落_design!E$2+2,1,1)&amp;";"&amp;OFFSET(掉落_design!$E57,0,掉落_design!E$2+3,1,1))</f>
        <v>20313;1;1;1</v>
      </c>
      <c r="G57" s="16" t="str">
        <f ca="1">IF(OFFSET(掉落_design!$E57,0,掉落_design!F$2,1,1)="","",OFFSET(掉落_design!$E57,0,掉落_design!F$2,1,1)&amp;";"&amp;OFFSET(掉落_design!$E57,0,掉落_design!F$2+1,1,1)&amp;";"&amp;OFFSET(掉落_design!$E57,0,掉落_design!F$2+2,1,1)&amp;";"&amp;OFFSET(掉落_design!$E57,0,掉落_design!F$2+3,1,1))</f>
        <v>20613;1;1;1</v>
      </c>
      <c r="H57" s="16" t="str">
        <f ca="1">IF(OFFSET(掉落_design!$E57,0,掉落_design!G$2,1,1)="","",OFFSET(掉落_design!$E57,0,掉落_design!G$2,1,1)&amp;";"&amp;OFFSET(掉落_design!$E57,0,掉落_design!G$2+1,1,1)&amp;";"&amp;OFFSET(掉落_design!$E57,0,掉落_design!G$2+2,1,1)&amp;";"&amp;OFFSET(掉落_design!$E57,0,掉落_design!G$2+3,1,1))</f>
        <v>20513;1;1;1</v>
      </c>
      <c r="I57" s="16" t="str">
        <f ca="1">IF(OFFSET(掉落_design!$E57,0,掉落_design!H$2,1,1)="","",OFFSET(掉落_design!$E57,0,掉落_design!H$2,1,1)&amp;";"&amp;OFFSET(掉落_design!$E57,0,掉落_design!H$2+1,1,1)&amp;";"&amp;OFFSET(掉落_design!$E57,0,掉落_design!H$2+2,1,1)&amp;";"&amp;OFFSET(掉落_design!$E57,0,掉落_design!H$2+3,1,1))</f>
        <v>20411;1;1;1</v>
      </c>
      <c r="J57" s="16" t="str">
        <f ca="1">IF(OFFSET(掉落_design!$E57,0,掉落_design!I$2,1,1)="","",OFFSET(掉落_design!$E57,0,掉落_design!I$2,1,1)&amp;";"&amp;OFFSET(掉落_design!$E57,0,掉落_design!I$2+1,1,1)&amp;";"&amp;OFFSET(掉落_design!$E57,0,掉落_design!I$2+2,1,1)&amp;";"&amp;OFFSET(掉落_design!$E57,0,掉落_design!I$2+3,1,1))</f>
        <v>20312;1;1;1</v>
      </c>
      <c r="K57" s="16" t="str">
        <f ca="1">IF(OFFSET(掉落_design!$E57,0,掉落_design!J$2,1,1)="","",OFFSET(掉落_design!$E57,0,掉落_design!J$2,1,1)&amp;";"&amp;OFFSET(掉落_design!$E57,0,掉落_design!J$2+1,1,1)&amp;";"&amp;OFFSET(掉落_design!$E57,0,掉落_design!J$2+2,1,1)&amp;";"&amp;OFFSET(掉落_design!$E57,0,掉落_design!J$2+3,1,1))</f>
        <v>20513;1;1;1</v>
      </c>
      <c r="L57" s="16" t="str">
        <f ca="1">IF(OFFSET(掉落_design!$E57,0,掉落_design!K$2,1,1)="","",OFFSET(掉落_design!$E57,0,掉落_design!K$2,1,1)&amp;";"&amp;OFFSET(掉落_design!$E57,0,掉落_design!K$2+1,1,1)&amp;";"&amp;OFFSET(掉落_design!$E57,0,掉落_design!K$2+2,1,1)&amp;";"&amp;OFFSET(掉落_design!$E57,0,掉落_design!K$2+3,1,1))</f>
        <v>20512;1;1;1</v>
      </c>
      <c r="M57" s="16" t="str">
        <f ca="1">IF(OFFSET(掉落_design!$E57,0,掉落_design!L$2,1,1)="","",OFFSET(掉落_design!$E57,0,掉落_design!L$2,1,1)&amp;";"&amp;OFFSET(掉落_design!$E57,0,掉落_design!L$2+1,1,1)&amp;";"&amp;OFFSET(掉落_design!$E57,0,掉落_design!L$2+2,1,1)&amp;";"&amp;OFFSET(掉落_design!$E57,0,掉落_design!L$2+3,1,1))</f>
        <v>20312;1;1;1</v>
      </c>
      <c r="N57" s="16" t="str">
        <f ca="1">IF(OFFSET(掉落_design!$E57,0,掉落_design!M$2,1,1)="","",OFFSET(掉落_design!$E57,0,掉落_design!M$2,1,1)&amp;";"&amp;OFFSET(掉落_design!$E57,0,掉落_design!M$2+1,1,1)&amp;";"&amp;OFFSET(掉落_design!$E57,0,掉落_design!M$2+2,1,1)&amp;";"&amp;OFFSET(掉落_design!$E57,0,掉落_design!M$2+3,1,1))</f>
        <v>20312;1;1;1</v>
      </c>
      <c r="O57" s="16" t="str">
        <f ca="1">IF(OFFSET(掉落_design!$E57,0,掉落_design!N$2,1,1)="","",OFFSET(掉落_design!$E57,0,掉落_design!N$2,1,1)&amp;";"&amp;OFFSET(掉落_design!$E57,0,掉落_design!N$2+1,1,1)&amp;";"&amp;OFFSET(掉落_design!$E57,0,掉落_design!N$2+2,1,1)&amp;";"&amp;OFFSET(掉落_design!$E57,0,掉落_design!N$2+3,1,1))</f>
        <v>20412;1;1;1</v>
      </c>
      <c r="P57" s="16" t="str">
        <f ca="1">IF(OFFSET(掉落_design!$E57,0,掉落_design!O$2,1,1)="","",OFFSET(掉落_design!$E57,0,掉落_design!O$2,1,1)&amp;";"&amp;OFFSET(掉落_design!$E57,0,掉落_design!O$2+1,1,1)&amp;";"&amp;OFFSET(掉落_design!$E57,0,掉落_design!O$2+2,1,1)&amp;";"&amp;OFFSET(掉落_design!$E57,0,掉落_design!O$2+3,1,1))</f>
        <v>1001;150;200;20</v>
      </c>
      <c r="Q57" s="16" t="str">
        <f ca="1">IF(OFFSET(掉落_design!$E57,0,掉落_design!P$2,1,1)="","",OFFSET(掉落_design!$E57,0,掉落_design!P$2,1,1)&amp;";"&amp;OFFSET(掉落_design!$E57,0,掉落_design!P$2+1,1,1)&amp;";"&amp;OFFSET(掉落_design!$E57,0,掉落_design!P$2+2,1,1)&amp;";"&amp;OFFSET(掉落_design!$E57,0,掉落_design!P$2+3,1,1))</f>
        <v/>
      </c>
      <c r="R57" s="16" t="str">
        <f ca="1">IF(OFFSET(掉落_design!$E57,0,掉落_design!Q$2,1,1)="","",OFFSET(掉落_design!$E57,0,掉落_design!Q$2,1,1)&amp;";"&amp;OFFSET(掉落_design!$E57,0,掉落_design!Q$2+1,1,1)&amp;";"&amp;OFFSET(掉落_design!$E57,0,掉落_design!Q$2+2,1,1)&amp;";"&amp;OFFSET(掉落_design!$E57,0,掉落_design!Q$2+3,1,1))</f>
        <v/>
      </c>
      <c r="S57" s="16" t="str">
        <f ca="1">IF(OFFSET(掉落_design!$E57,0,掉落_design!R$2,1,1)="","",OFFSET(掉落_design!$E57,0,掉落_design!R$2,1,1)&amp;";"&amp;OFFSET(掉落_design!$E57,0,掉落_design!R$2+1,1,1)&amp;";"&amp;OFFSET(掉落_design!$E57,0,掉落_design!R$2+2,1,1)&amp;";"&amp;OFFSET(掉落_design!$E57,0,掉落_design!R$2+3,1,1))</f>
        <v/>
      </c>
      <c r="T57" s="16" t="str">
        <f ca="1">IF(OFFSET(掉落_design!$E57,0,掉落_design!S$2,1,1)="","",OFFSET(掉落_design!$E57,0,掉落_design!S$2,1,1)&amp;";"&amp;OFFSET(掉落_design!$E57,0,掉落_design!S$2+1,1,1)&amp;";"&amp;OFFSET(掉落_design!$E57,0,掉落_design!S$2+2,1,1)&amp;";"&amp;OFFSET(掉落_design!$E57,0,掉落_design!S$2+3,1,1))</f>
        <v/>
      </c>
      <c r="U57" s="16" t="str">
        <f ca="1">IF(OFFSET(掉落_design!$E57,0,掉落_design!T$2,1,1)="","",OFFSET(掉落_design!$E57,0,掉落_design!T$2,1,1)&amp;";"&amp;OFFSET(掉落_design!$E57,0,掉落_design!T$2+1,1,1)&amp;";"&amp;OFFSET(掉落_design!$E57,0,掉落_design!T$2+2,1,1)&amp;";"&amp;OFFSET(掉落_design!$E57,0,掉落_design!T$2+3,1,1))</f>
        <v/>
      </c>
      <c r="V57" s="16" t="str">
        <f ca="1">IF(OFFSET(掉落_design!$E57,0,掉落_design!U$2,1,1)="","",OFFSET(掉落_design!$E57,0,掉落_design!U$2,1,1)&amp;";"&amp;OFFSET(掉落_design!$E57,0,掉落_design!U$2+1,1,1)&amp;";"&amp;OFFSET(掉落_design!$E57,0,掉落_design!U$2+2,1,1)&amp;";"&amp;OFFSET(掉落_design!$E57,0,掉落_design!U$2+3,1,1))</f>
        <v/>
      </c>
      <c r="W57" s="16" t="str">
        <f ca="1">IF(OFFSET(掉落_design!$E57,0,掉落_design!V$2,1,1)="","",OFFSET(掉落_design!$E57,0,掉落_design!V$2,1,1)&amp;";"&amp;OFFSET(掉落_design!$E57,0,掉落_design!V$2+1,1,1)&amp;";"&amp;OFFSET(掉落_design!$E57,0,掉落_design!V$2+2,1,1)&amp;";"&amp;OFFSET(掉落_design!$E57,0,掉落_design!V$2+3,1,1))</f>
        <v/>
      </c>
      <c r="X57" s="16" t="str">
        <f ca="1">IF(OFFSET(掉落_design!$E57,0,掉落_design!W$2,1,1)="","",OFFSET(掉落_design!$E57,0,掉落_design!W$2,1,1)&amp;";"&amp;OFFSET(掉落_design!$E57,0,掉落_design!W$2+1,1,1)&amp;";"&amp;OFFSET(掉落_design!$E57,0,掉落_design!W$2+2,1,1)&amp;";"&amp;OFFSET(掉落_design!$E57,0,掉落_design!W$2+3,1,1))</f>
        <v/>
      </c>
      <c r="Y57" s="16" t="str">
        <f ca="1">IF(OFFSET(掉落_design!$E57,0,掉落_design!X$2,1,1)="","",OFFSET(掉落_design!$E57,0,掉落_design!X$2,1,1)&amp;";"&amp;OFFSET(掉落_design!$E57,0,掉落_design!X$2+1,1,1)&amp;";"&amp;OFFSET(掉落_design!$E57,0,掉落_design!X$2+2,1,1)&amp;";"&amp;OFFSET(掉落_design!$E57,0,掉落_design!X$2+3,1,1))</f>
        <v/>
      </c>
    </row>
    <row r="58" spans="1:25" x14ac:dyDescent="0.15">
      <c r="A58" s="11" t="str">
        <f t="shared" si="0"/>
        <v/>
      </c>
      <c r="B58" s="25"/>
      <c r="C58" s="25"/>
      <c r="D58" s="15" t="str">
        <f>IF(掉落_design!C58="","",掉落_design!C58)</f>
        <v/>
      </c>
      <c r="E58" s="15" t="str">
        <f>IF(A58="","",掉落_design!D58)</f>
        <v/>
      </c>
      <c r="F58" s="16" t="str">
        <f ca="1">IF(OFFSET(掉落_design!$E58,0,掉落_design!E$2,1,1)="","",OFFSET(掉落_design!$E58,0,掉落_design!E$2,1,1)&amp;";"&amp;OFFSET(掉落_design!$E58,0,掉落_design!E$2+1,1,1)&amp;";"&amp;OFFSET(掉落_design!$E58,0,掉落_design!E$2+2,1,1)&amp;";"&amp;OFFSET(掉落_design!$E58,0,掉落_design!E$2+3,1,1))</f>
        <v/>
      </c>
      <c r="G58" s="16" t="str">
        <f ca="1">IF(OFFSET(掉落_design!$E58,0,掉落_design!F$2,1,1)="","",OFFSET(掉落_design!$E58,0,掉落_design!F$2,1,1)&amp;";"&amp;OFFSET(掉落_design!$E58,0,掉落_design!F$2+1,1,1)&amp;";"&amp;OFFSET(掉落_design!$E58,0,掉落_design!F$2+2,1,1)&amp;";"&amp;OFFSET(掉落_design!$E58,0,掉落_design!F$2+3,1,1))</f>
        <v/>
      </c>
      <c r="H58" s="16" t="str">
        <f ca="1">IF(OFFSET(掉落_design!$E58,0,掉落_design!G$2,1,1)="","",OFFSET(掉落_design!$E58,0,掉落_design!G$2,1,1)&amp;";"&amp;OFFSET(掉落_design!$E58,0,掉落_design!G$2+1,1,1)&amp;";"&amp;OFFSET(掉落_design!$E58,0,掉落_design!G$2+2,1,1)&amp;";"&amp;OFFSET(掉落_design!$E58,0,掉落_design!G$2+3,1,1))</f>
        <v/>
      </c>
      <c r="I58" s="16" t="str">
        <f ca="1">IF(OFFSET(掉落_design!$E58,0,掉落_design!H$2,1,1)="","",OFFSET(掉落_design!$E58,0,掉落_design!H$2,1,1)&amp;";"&amp;OFFSET(掉落_design!$E58,0,掉落_design!H$2+1,1,1)&amp;";"&amp;OFFSET(掉落_design!$E58,0,掉落_design!H$2+2,1,1)&amp;";"&amp;OFFSET(掉落_design!$E58,0,掉落_design!H$2+3,1,1))</f>
        <v/>
      </c>
      <c r="J58" s="16" t="str">
        <f ca="1">IF(OFFSET(掉落_design!$E58,0,掉落_design!I$2,1,1)="","",OFFSET(掉落_design!$E58,0,掉落_design!I$2,1,1)&amp;";"&amp;OFFSET(掉落_design!$E58,0,掉落_design!I$2+1,1,1)&amp;";"&amp;OFFSET(掉落_design!$E58,0,掉落_design!I$2+2,1,1)&amp;";"&amp;OFFSET(掉落_design!$E58,0,掉落_design!I$2+3,1,1))</f>
        <v/>
      </c>
      <c r="K58" s="16" t="str">
        <f ca="1">IF(OFFSET(掉落_design!$E58,0,掉落_design!J$2,1,1)="","",OFFSET(掉落_design!$E58,0,掉落_design!J$2,1,1)&amp;";"&amp;OFFSET(掉落_design!$E58,0,掉落_design!J$2+1,1,1)&amp;";"&amp;OFFSET(掉落_design!$E58,0,掉落_design!J$2+2,1,1)&amp;";"&amp;OFFSET(掉落_design!$E58,0,掉落_design!J$2+3,1,1))</f>
        <v/>
      </c>
      <c r="L58" s="16" t="str">
        <f ca="1">IF(OFFSET(掉落_design!$E58,0,掉落_design!K$2,1,1)="","",OFFSET(掉落_design!$E58,0,掉落_design!K$2,1,1)&amp;";"&amp;OFFSET(掉落_design!$E58,0,掉落_design!K$2+1,1,1)&amp;";"&amp;OFFSET(掉落_design!$E58,0,掉落_design!K$2+2,1,1)&amp;";"&amp;OFFSET(掉落_design!$E58,0,掉落_design!K$2+3,1,1))</f>
        <v/>
      </c>
      <c r="M58" s="16" t="str">
        <f ca="1">IF(OFFSET(掉落_design!$E58,0,掉落_design!L$2,1,1)="","",OFFSET(掉落_design!$E58,0,掉落_design!L$2,1,1)&amp;";"&amp;OFFSET(掉落_design!$E58,0,掉落_design!L$2+1,1,1)&amp;";"&amp;OFFSET(掉落_design!$E58,0,掉落_design!L$2+2,1,1)&amp;";"&amp;OFFSET(掉落_design!$E58,0,掉落_design!L$2+3,1,1))</f>
        <v/>
      </c>
      <c r="N58" s="16" t="str">
        <f ca="1">IF(OFFSET(掉落_design!$E58,0,掉落_design!M$2,1,1)="","",OFFSET(掉落_design!$E58,0,掉落_design!M$2,1,1)&amp;";"&amp;OFFSET(掉落_design!$E58,0,掉落_design!M$2+1,1,1)&amp;";"&amp;OFFSET(掉落_design!$E58,0,掉落_design!M$2+2,1,1)&amp;";"&amp;OFFSET(掉落_design!$E58,0,掉落_design!M$2+3,1,1))</f>
        <v/>
      </c>
      <c r="O58" s="16" t="str">
        <f ca="1">IF(OFFSET(掉落_design!$E58,0,掉落_design!N$2,1,1)="","",OFFSET(掉落_design!$E58,0,掉落_design!N$2,1,1)&amp;";"&amp;OFFSET(掉落_design!$E58,0,掉落_design!N$2+1,1,1)&amp;";"&amp;OFFSET(掉落_design!$E58,0,掉落_design!N$2+2,1,1)&amp;";"&amp;OFFSET(掉落_design!$E58,0,掉落_design!N$2+3,1,1))</f>
        <v/>
      </c>
      <c r="P58" s="16" t="str">
        <f ca="1">IF(OFFSET(掉落_design!$E58,0,掉落_design!O$2,1,1)="","",OFFSET(掉落_design!$E58,0,掉落_design!O$2,1,1)&amp;";"&amp;OFFSET(掉落_design!$E58,0,掉落_design!O$2+1,1,1)&amp;";"&amp;OFFSET(掉落_design!$E58,0,掉落_design!O$2+2,1,1)&amp;";"&amp;OFFSET(掉落_design!$E58,0,掉落_design!O$2+3,1,1))</f>
        <v/>
      </c>
      <c r="Q58" s="16" t="str">
        <f ca="1">IF(OFFSET(掉落_design!$E58,0,掉落_design!P$2,1,1)="","",OFFSET(掉落_design!$E58,0,掉落_design!P$2,1,1)&amp;";"&amp;OFFSET(掉落_design!$E58,0,掉落_design!P$2+1,1,1)&amp;";"&amp;OFFSET(掉落_design!$E58,0,掉落_design!P$2+2,1,1)&amp;";"&amp;OFFSET(掉落_design!$E58,0,掉落_design!P$2+3,1,1))</f>
        <v/>
      </c>
      <c r="R58" s="16" t="str">
        <f ca="1">IF(OFFSET(掉落_design!$E58,0,掉落_design!Q$2,1,1)="","",OFFSET(掉落_design!$E58,0,掉落_design!Q$2,1,1)&amp;";"&amp;OFFSET(掉落_design!$E58,0,掉落_design!Q$2+1,1,1)&amp;";"&amp;OFFSET(掉落_design!$E58,0,掉落_design!Q$2+2,1,1)&amp;";"&amp;OFFSET(掉落_design!$E58,0,掉落_design!Q$2+3,1,1))</f>
        <v/>
      </c>
      <c r="S58" s="16" t="str">
        <f ca="1">IF(OFFSET(掉落_design!$E58,0,掉落_design!R$2,1,1)="","",OFFSET(掉落_design!$E58,0,掉落_design!R$2,1,1)&amp;";"&amp;OFFSET(掉落_design!$E58,0,掉落_design!R$2+1,1,1)&amp;";"&amp;OFFSET(掉落_design!$E58,0,掉落_design!R$2+2,1,1)&amp;";"&amp;OFFSET(掉落_design!$E58,0,掉落_design!R$2+3,1,1))</f>
        <v/>
      </c>
      <c r="T58" s="16" t="str">
        <f ca="1">IF(OFFSET(掉落_design!$E58,0,掉落_design!S$2,1,1)="","",OFFSET(掉落_design!$E58,0,掉落_design!S$2,1,1)&amp;";"&amp;OFFSET(掉落_design!$E58,0,掉落_design!S$2+1,1,1)&amp;";"&amp;OFFSET(掉落_design!$E58,0,掉落_design!S$2+2,1,1)&amp;";"&amp;OFFSET(掉落_design!$E58,0,掉落_design!S$2+3,1,1))</f>
        <v/>
      </c>
      <c r="U58" s="16" t="str">
        <f ca="1">IF(OFFSET(掉落_design!$E58,0,掉落_design!T$2,1,1)="","",OFFSET(掉落_design!$E58,0,掉落_design!T$2,1,1)&amp;";"&amp;OFFSET(掉落_design!$E58,0,掉落_design!T$2+1,1,1)&amp;";"&amp;OFFSET(掉落_design!$E58,0,掉落_design!T$2+2,1,1)&amp;";"&amp;OFFSET(掉落_design!$E58,0,掉落_design!T$2+3,1,1))</f>
        <v/>
      </c>
      <c r="V58" s="16" t="str">
        <f ca="1">IF(OFFSET(掉落_design!$E58,0,掉落_design!U$2,1,1)="","",OFFSET(掉落_design!$E58,0,掉落_design!U$2,1,1)&amp;";"&amp;OFFSET(掉落_design!$E58,0,掉落_design!U$2+1,1,1)&amp;";"&amp;OFFSET(掉落_design!$E58,0,掉落_design!U$2+2,1,1)&amp;";"&amp;OFFSET(掉落_design!$E58,0,掉落_design!U$2+3,1,1))</f>
        <v/>
      </c>
      <c r="W58" s="16" t="str">
        <f ca="1">IF(OFFSET(掉落_design!$E58,0,掉落_design!V$2,1,1)="","",OFFSET(掉落_design!$E58,0,掉落_design!V$2,1,1)&amp;";"&amp;OFFSET(掉落_design!$E58,0,掉落_design!V$2+1,1,1)&amp;";"&amp;OFFSET(掉落_design!$E58,0,掉落_design!V$2+2,1,1)&amp;";"&amp;OFFSET(掉落_design!$E58,0,掉落_design!V$2+3,1,1))</f>
        <v/>
      </c>
      <c r="X58" s="16" t="str">
        <f ca="1">IF(OFFSET(掉落_design!$E58,0,掉落_design!W$2,1,1)="","",OFFSET(掉落_design!$E58,0,掉落_design!W$2,1,1)&amp;";"&amp;OFFSET(掉落_design!$E58,0,掉落_design!W$2+1,1,1)&amp;";"&amp;OFFSET(掉落_design!$E58,0,掉落_design!W$2+2,1,1)&amp;";"&amp;OFFSET(掉落_design!$E58,0,掉落_design!W$2+3,1,1))</f>
        <v/>
      </c>
      <c r="Y58" s="16" t="str">
        <f ca="1">IF(OFFSET(掉落_design!$E58,0,掉落_design!X$2,1,1)="","",OFFSET(掉落_design!$E58,0,掉落_design!X$2,1,1)&amp;";"&amp;OFFSET(掉落_design!$E58,0,掉落_design!X$2+1,1,1)&amp;";"&amp;OFFSET(掉落_design!$E58,0,掉落_design!X$2+2,1,1)&amp;";"&amp;OFFSET(掉落_design!$E58,0,掉落_design!X$2+3,1,1))</f>
        <v/>
      </c>
    </row>
    <row r="59" spans="1:25" x14ac:dyDescent="0.15">
      <c r="A59" s="11" t="str">
        <f t="shared" si="0"/>
        <v>DATA</v>
      </c>
      <c r="B59" s="25"/>
      <c r="C59" s="25"/>
      <c r="D59" s="15">
        <f>IF(掉落_design!C59="","",掉落_design!C59)</f>
        <v>20400</v>
      </c>
      <c r="E59" s="15">
        <f>IF(A59="","",掉落_design!D59)</f>
        <v>1</v>
      </c>
      <c r="F59" s="16" t="str">
        <f ca="1">IF(OFFSET(掉落_design!$E59,0,掉落_design!E$2,1,1)="","",OFFSET(掉落_design!$E59,0,掉落_design!E$2,1,1)&amp;";"&amp;OFFSET(掉落_design!$E59,0,掉落_design!E$2+1,1,1)&amp;";"&amp;OFFSET(掉落_design!$E59,0,掉落_design!E$2+2,1,1)&amp;";"&amp;OFFSET(掉落_design!$E59,0,掉落_design!E$2+3,1,1))</f>
        <v>1001;60;80;1000</v>
      </c>
      <c r="G59" s="16" t="str">
        <f ca="1">IF(OFFSET(掉落_design!$E59,0,掉落_design!F$2,1,1)="","",OFFSET(掉落_design!$E59,0,掉落_design!F$2,1,1)&amp;";"&amp;OFFSET(掉落_design!$E59,0,掉落_design!F$2+1,1,1)&amp;";"&amp;OFFSET(掉落_design!$E59,0,掉落_design!F$2+2,1,1)&amp;";"&amp;OFFSET(掉落_design!$E59,0,掉落_design!F$2+3,1,1))</f>
        <v>1204;1;1;1000</v>
      </c>
      <c r="H59" s="16" t="str">
        <f ca="1">IF(OFFSET(掉落_design!$E59,0,掉落_design!G$2,1,1)="","",OFFSET(掉落_design!$E59,0,掉落_design!G$2,1,1)&amp;";"&amp;OFFSET(掉落_design!$E59,0,掉落_design!G$2+1,1,1)&amp;";"&amp;OFFSET(掉落_design!$E59,0,掉落_design!G$2+2,1,1)&amp;";"&amp;OFFSET(掉落_design!$E59,0,掉落_design!G$2+3,1,1))</f>
        <v/>
      </c>
      <c r="I59" s="16" t="str">
        <f ca="1">IF(OFFSET(掉落_design!$E59,0,掉落_design!H$2,1,1)="","",OFFSET(掉落_design!$E59,0,掉落_design!H$2,1,1)&amp;";"&amp;OFFSET(掉落_design!$E59,0,掉落_design!H$2+1,1,1)&amp;";"&amp;OFFSET(掉落_design!$E59,0,掉落_design!H$2+2,1,1)&amp;";"&amp;OFFSET(掉落_design!$E59,0,掉落_design!H$2+3,1,1))</f>
        <v/>
      </c>
      <c r="J59" s="16" t="str">
        <f ca="1">IF(OFFSET(掉落_design!$E59,0,掉落_design!I$2,1,1)="","",OFFSET(掉落_design!$E59,0,掉落_design!I$2,1,1)&amp;";"&amp;OFFSET(掉落_design!$E59,0,掉落_design!I$2+1,1,1)&amp;";"&amp;OFFSET(掉落_design!$E59,0,掉落_design!I$2+2,1,1)&amp;";"&amp;OFFSET(掉落_design!$E59,0,掉落_design!I$2+3,1,1))</f>
        <v/>
      </c>
      <c r="K59" s="16" t="str">
        <f ca="1">IF(OFFSET(掉落_design!$E59,0,掉落_design!J$2,1,1)="","",OFFSET(掉落_design!$E59,0,掉落_design!J$2,1,1)&amp;";"&amp;OFFSET(掉落_design!$E59,0,掉落_design!J$2+1,1,1)&amp;";"&amp;OFFSET(掉落_design!$E59,0,掉落_design!J$2+2,1,1)&amp;";"&amp;OFFSET(掉落_design!$E59,0,掉落_design!J$2+3,1,1))</f>
        <v/>
      </c>
      <c r="L59" s="16" t="str">
        <f ca="1">IF(OFFSET(掉落_design!$E59,0,掉落_design!K$2,1,1)="","",OFFSET(掉落_design!$E59,0,掉落_design!K$2,1,1)&amp;";"&amp;OFFSET(掉落_design!$E59,0,掉落_design!K$2+1,1,1)&amp;";"&amp;OFFSET(掉落_design!$E59,0,掉落_design!K$2+2,1,1)&amp;";"&amp;OFFSET(掉落_design!$E59,0,掉落_design!K$2+3,1,1))</f>
        <v/>
      </c>
      <c r="M59" s="16" t="str">
        <f ca="1">IF(OFFSET(掉落_design!$E59,0,掉落_design!L$2,1,1)="","",OFFSET(掉落_design!$E59,0,掉落_design!L$2,1,1)&amp;";"&amp;OFFSET(掉落_design!$E59,0,掉落_design!L$2+1,1,1)&amp;";"&amp;OFFSET(掉落_design!$E59,0,掉落_design!L$2+2,1,1)&amp;";"&amp;OFFSET(掉落_design!$E59,0,掉落_design!L$2+3,1,1))</f>
        <v/>
      </c>
      <c r="N59" s="16" t="str">
        <f ca="1">IF(OFFSET(掉落_design!$E59,0,掉落_design!M$2,1,1)="","",OFFSET(掉落_design!$E59,0,掉落_design!M$2,1,1)&amp;";"&amp;OFFSET(掉落_design!$E59,0,掉落_design!M$2+1,1,1)&amp;";"&amp;OFFSET(掉落_design!$E59,0,掉落_design!M$2+2,1,1)&amp;";"&amp;OFFSET(掉落_design!$E59,0,掉落_design!M$2+3,1,1))</f>
        <v/>
      </c>
      <c r="O59" s="16" t="str">
        <f ca="1">IF(OFFSET(掉落_design!$E59,0,掉落_design!N$2,1,1)="","",OFFSET(掉落_design!$E59,0,掉落_design!N$2,1,1)&amp;";"&amp;OFFSET(掉落_design!$E59,0,掉落_design!N$2+1,1,1)&amp;";"&amp;OFFSET(掉落_design!$E59,0,掉落_design!N$2+2,1,1)&amp;";"&amp;OFFSET(掉落_design!$E59,0,掉落_design!N$2+3,1,1))</f>
        <v/>
      </c>
      <c r="P59" s="16" t="str">
        <f ca="1">IF(OFFSET(掉落_design!$E59,0,掉落_design!O$2,1,1)="","",OFFSET(掉落_design!$E59,0,掉落_design!O$2,1,1)&amp;";"&amp;OFFSET(掉落_design!$E59,0,掉落_design!O$2+1,1,1)&amp;";"&amp;OFFSET(掉落_design!$E59,0,掉落_design!O$2+2,1,1)&amp;";"&amp;OFFSET(掉落_design!$E59,0,掉落_design!O$2+3,1,1))</f>
        <v/>
      </c>
      <c r="Q59" s="16" t="str">
        <f ca="1">IF(OFFSET(掉落_design!$E59,0,掉落_design!P$2,1,1)="","",OFFSET(掉落_design!$E59,0,掉落_design!P$2,1,1)&amp;";"&amp;OFFSET(掉落_design!$E59,0,掉落_design!P$2+1,1,1)&amp;";"&amp;OFFSET(掉落_design!$E59,0,掉落_design!P$2+2,1,1)&amp;";"&amp;OFFSET(掉落_design!$E59,0,掉落_design!P$2+3,1,1))</f>
        <v/>
      </c>
      <c r="R59" s="16" t="str">
        <f ca="1">IF(OFFSET(掉落_design!$E59,0,掉落_design!Q$2,1,1)="","",OFFSET(掉落_design!$E59,0,掉落_design!Q$2,1,1)&amp;";"&amp;OFFSET(掉落_design!$E59,0,掉落_design!Q$2+1,1,1)&amp;";"&amp;OFFSET(掉落_design!$E59,0,掉落_design!Q$2+2,1,1)&amp;";"&amp;OFFSET(掉落_design!$E59,0,掉落_design!Q$2+3,1,1))</f>
        <v/>
      </c>
      <c r="S59" s="16" t="str">
        <f ca="1">IF(OFFSET(掉落_design!$E59,0,掉落_design!R$2,1,1)="","",OFFSET(掉落_design!$E59,0,掉落_design!R$2,1,1)&amp;";"&amp;OFFSET(掉落_design!$E59,0,掉落_design!R$2+1,1,1)&amp;";"&amp;OFFSET(掉落_design!$E59,0,掉落_design!R$2+2,1,1)&amp;";"&amp;OFFSET(掉落_design!$E59,0,掉落_design!R$2+3,1,1))</f>
        <v/>
      </c>
      <c r="T59" s="16" t="str">
        <f ca="1">IF(OFFSET(掉落_design!$E59,0,掉落_design!S$2,1,1)="","",OFFSET(掉落_design!$E59,0,掉落_design!S$2,1,1)&amp;";"&amp;OFFSET(掉落_design!$E59,0,掉落_design!S$2+1,1,1)&amp;";"&amp;OFFSET(掉落_design!$E59,0,掉落_design!S$2+2,1,1)&amp;";"&amp;OFFSET(掉落_design!$E59,0,掉落_design!S$2+3,1,1))</f>
        <v/>
      </c>
      <c r="U59" s="16" t="str">
        <f ca="1">IF(OFFSET(掉落_design!$E59,0,掉落_design!T$2,1,1)="","",OFFSET(掉落_design!$E59,0,掉落_design!T$2,1,1)&amp;";"&amp;OFFSET(掉落_design!$E59,0,掉落_design!T$2+1,1,1)&amp;";"&amp;OFFSET(掉落_design!$E59,0,掉落_design!T$2+2,1,1)&amp;";"&amp;OFFSET(掉落_design!$E59,0,掉落_design!T$2+3,1,1))</f>
        <v/>
      </c>
      <c r="V59" s="16" t="str">
        <f ca="1">IF(OFFSET(掉落_design!$E59,0,掉落_design!U$2,1,1)="","",OFFSET(掉落_design!$E59,0,掉落_design!U$2,1,1)&amp;";"&amp;OFFSET(掉落_design!$E59,0,掉落_design!U$2+1,1,1)&amp;";"&amp;OFFSET(掉落_design!$E59,0,掉落_design!U$2+2,1,1)&amp;";"&amp;OFFSET(掉落_design!$E59,0,掉落_design!U$2+3,1,1))</f>
        <v/>
      </c>
      <c r="W59" s="16" t="str">
        <f ca="1">IF(OFFSET(掉落_design!$E59,0,掉落_design!V$2,1,1)="","",OFFSET(掉落_design!$E59,0,掉落_design!V$2,1,1)&amp;";"&amp;OFFSET(掉落_design!$E59,0,掉落_design!V$2+1,1,1)&amp;";"&amp;OFFSET(掉落_design!$E59,0,掉落_design!V$2+2,1,1)&amp;";"&amp;OFFSET(掉落_design!$E59,0,掉落_design!V$2+3,1,1))</f>
        <v/>
      </c>
      <c r="X59" s="16" t="str">
        <f ca="1">IF(OFFSET(掉落_design!$E59,0,掉落_design!W$2,1,1)="","",OFFSET(掉落_design!$E59,0,掉落_design!W$2,1,1)&amp;";"&amp;OFFSET(掉落_design!$E59,0,掉落_design!W$2+1,1,1)&amp;";"&amp;OFFSET(掉落_design!$E59,0,掉落_design!W$2+2,1,1)&amp;";"&amp;OFFSET(掉落_design!$E59,0,掉落_design!W$2+3,1,1))</f>
        <v/>
      </c>
      <c r="Y59" s="16" t="str">
        <f ca="1">IF(OFFSET(掉落_design!$E59,0,掉落_design!X$2,1,1)="","",OFFSET(掉落_design!$E59,0,掉落_design!X$2,1,1)&amp;";"&amp;OFFSET(掉落_design!$E59,0,掉落_design!X$2+1,1,1)&amp;";"&amp;OFFSET(掉落_design!$E59,0,掉落_design!X$2+2,1,1)&amp;";"&amp;OFFSET(掉落_design!$E59,0,掉落_design!X$2+3,1,1))</f>
        <v/>
      </c>
    </row>
    <row r="60" spans="1:25" x14ac:dyDescent="0.15">
      <c r="A60" s="11" t="str">
        <f t="shared" si="0"/>
        <v>DATA</v>
      </c>
      <c r="B60" s="25"/>
      <c r="C60" s="25"/>
      <c r="D60" s="15">
        <f>IF(掉落_design!C60="","",掉落_design!C60)</f>
        <v>20401</v>
      </c>
      <c r="E60" s="15">
        <f>IF(A60="","",掉落_design!D60)</f>
        <v>2</v>
      </c>
      <c r="F60" s="16" t="str">
        <f ca="1">IF(OFFSET(掉落_design!$E60,0,掉落_design!E$2,1,1)="","",OFFSET(掉落_design!$E60,0,掉落_design!E$2,1,1)&amp;";"&amp;OFFSET(掉落_design!$E60,0,掉落_design!E$2+1,1,1)&amp;";"&amp;OFFSET(掉落_design!$E60,0,掉落_design!E$2+2,1,1)&amp;";"&amp;OFFSET(掉落_design!$E60,0,掉落_design!E$2+3,1,1))</f>
        <v>20414;1;1;1</v>
      </c>
      <c r="G60" s="16" t="str">
        <f ca="1">IF(OFFSET(掉落_design!$E60,0,掉落_design!F$2,1,1)="","",OFFSET(掉落_design!$E60,0,掉落_design!F$2,1,1)&amp;";"&amp;OFFSET(掉落_design!$E60,0,掉落_design!F$2+1,1,1)&amp;";"&amp;OFFSET(掉落_design!$E60,0,掉落_design!F$2+2,1,1)&amp;";"&amp;OFFSET(掉落_design!$E60,0,掉落_design!F$2+3,1,1))</f>
        <v>20516;1;1;1</v>
      </c>
      <c r="H60" s="16" t="str">
        <f ca="1">IF(OFFSET(掉落_design!$E60,0,掉落_design!G$2,1,1)="","",OFFSET(掉落_design!$E60,0,掉落_design!G$2,1,1)&amp;";"&amp;OFFSET(掉落_design!$E60,0,掉落_design!G$2+1,1,1)&amp;";"&amp;OFFSET(掉落_design!$E60,0,掉落_design!G$2+2,1,1)&amp;";"&amp;OFFSET(掉落_design!$E60,0,掉落_design!G$2+3,1,1))</f>
        <v>20514;1;1;1</v>
      </c>
      <c r="I60" s="16" t="str">
        <f ca="1">IF(OFFSET(掉落_design!$E60,0,掉落_design!H$2,1,1)="","",OFFSET(掉落_design!$E60,0,掉落_design!H$2,1,1)&amp;";"&amp;OFFSET(掉落_design!$E60,0,掉落_design!H$2+1,1,1)&amp;";"&amp;OFFSET(掉落_design!$E60,0,掉落_design!H$2+2,1,1)&amp;";"&amp;OFFSET(掉落_design!$E60,0,掉落_design!H$2+3,1,1))</f>
        <v>20313;1;1;1</v>
      </c>
      <c r="J60" s="16" t="str">
        <f ca="1">IF(OFFSET(掉落_design!$E60,0,掉落_design!I$2,1,1)="","",OFFSET(掉落_design!$E60,0,掉落_design!I$2,1,1)&amp;";"&amp;OFFSET(掉落_design!$E60,0,掉落_design!I$2+1,1,1)&amp;";"&amp;OFFSET(掉落_design!$E60,0,掉落_design!I$2+2,1,1)&amp;";"&amp;OFFSET(掉落_design!$E60,0,掉落_design!I$2+3,1,1))</f>
        <v>20513;1;1;1</v>
      </c>
      <c r="K60" s="16" t="str">
        <f ca="1">IF(OFFSET(掉落_design!$E60,0,掉落_design!J$2,1,1)="","",OFFSET(掉落_design!$E60,0,掉落_design!J$2,1,1)&amp;";"&amp;OFFSET(掉落_design!$E60,0,掉落_design!J$2+1,1,1)&amp;";"&amp;OFFSET(掉落_design!$E60,0,掉落_design!J$2+2,1,1)&amp;";"&amp;OFFSET(掉落_design!$E60,0,掉落_design!J$2+3,1,1))</f>
        <v>20514;1;1;1</v>
      </c>
      <c r="L60" s="16" t="str">
        <f ca="1">IF(OFFSET(掉落_design!$E60,0,掉落_design!K$2,1,1)="","",OFFSET(掉落_design!$E60,0,掉落_design!K$2,1,1)&amp;";"&amp;OFFSET(掉落_design!$E60,0,掉落_design!K$2+1,1,1)&amp;";"&amp;OFFSET(掉落_design!$E60,0,掉落_design!K$2+2,1,1)&amp;";"&amp;OFFSET(掉落_design!$E60,0,掉落_design!K$2+3,1,1))</f>
        <v>20513;1;1;1</v>
      </c>
      <c r="M60" s="16" t="str">
        <f ca="1">IF(OFFSET(掉落_design!$E60,0,掉落_design!L$2,1,1)="","",OFFSET(掉落_design!$E60,0,掉落_design!L$2,1,1)&amp;";"&amp;OFFSET(掉落_design!$E60,0,掉落_design!L$2+1,1,1)&amp;";"&amp;OFFSET(掉落_design!$E60,0,掉落_design!L$2+2,1,1)&amp;";"&amp;OFFSET(掉落_design!$E60,0,掉落_design!L$2+3,1,1))</f>
        <v>20315;1;1;1</v>
      </c>
      <c r="N60" s="16" t="str">
        <f ca="1">IF(OFFSET(掉落_design!$E60,0,掉落_design!M$2,1,1)="","",OFFSET(掉落_design!$E60,0,掉落_design!M$2,1,1)&amp;";"&amp;OFFSET(掉落_design!$E60,0,掉落_design!M$2+1,1,1)&amp;";"&amp;OFFSET(掉落_design!$E60,0,掉落_design!M$2+2,1,1)&amp;";"&amp;OFFSET(掉落_design!$E60,0,掉落_design!M$2+3,1,1))</f>
        <v>20314;1;1;1</v>
      </c>
      <c r="O60" s="16" t="str">
        <f ca="1">IF(OFFSET(掉落_design!$E60,0,掉落_design!N$2,1,1)="","",OFFSET(掉落_design!$E60,0,掉落_design!N$2,1,1)&amp;";"&amp;OFFSET(掉落_design!$E60,0,掉落_design!N$2+1,1,1)&amp;";"&amp;OFFSET(掉落_design!$E60,0,掉落_design!N$2+2,1,1)&amp;";"&amp;OFFSET(掉落_design!$E60,0,掉落_design!N$2+3,1,1))</f>
        <v>20613;1;1;1</v>
      </c>
      <c r="P60" s="16" t="str">
        <f ca="1">IF(OFFSET(掉落_design!$E60,0,掉落_design!O$2,1,1)="","",OFFSET(掉落_design!$E60,0,掉落_design!O$2,1,1)&amp;";"&amp;OFFSET(掉落_design!$E60,0,掉落_design!O$2+1,1,1)&amp;";"&amp;OFFSET(掉落_design!$E60,0,掉落_design!O$2+2,1,1)&amp;";"&amp;OFFSET(掉落_design!$E60,0,掉落_design!O$2+3,1,1))</f>
        <v>1001;200;250;20</v>
      </c>
      <c r="Q60" s="16" t="str">
        <f ca="1">IF(OFFSET(掉落_design!$E60,0,掉落_design!P$2,1,1)="","",OFFSET(掉落_design!$E60,0,掉落_design!P$2,1,1)&amp;";"&amp;OFFSET(掉落_design!$E60,0,掉落_design!P$2+1,1,1)&amp;";"&amp;OFFSET(掉落_design!$E60,0,掉落_design!P$2+2,1,1)&amp;";"&amp;OFFSET(掉落_design!$E60,0,掉落_design!P$2+3,1,1))</f>
        <v/>
      </c>
      <c r="R60" s="16" t="str">
        <f ca="1">IF(OFFSET(掉落_design!$E60,0,掉落_design!Q$2,1,1)="","",OFFSET(掉落_design!$E60,0,掉落_design!Q$2,1,1)&amp;";"&amp;OFFSET(掉落_design!$E60,0,掉落_design!Q$2+1,1,1)&amp;";"&amp;OFFSET(掉落_design!$E60,0,掉落_design!Q$2+2,1,1)&amp;";"&amp;OFFSET(掉落_design!$E60,0,掉落_design!Q$2+3,1,1))</f>
        <v/>
      </c>
      <c r="S60" s="16" t="str">
        <f ca="1">IF(OFFSET(掉落_design!$E60,0,掉落_design!R$2,1,1)="","",OFFSET(掉落_design!$E60,0,掉落_design!R$2,1,1)&amp;";"&amp;OFFSET(掉落_design!$E60,0,掉落_design!R$2+1,1,1)&amp;";"&amp;OFFSET(掉落_design!$E60,0,掉落_design!R$2+2,1,1)&amp;";"&amp;OFFSET(掉落_design!$E60,0,掉落_design!R$2+3,1,1))</f>
        <v/>
      </c>
      <c r="T60" s="16" t="str">
        <f ca="1">IF(OFFSET(掉落_design!$E60,0,掉落_design!S$2,1,1)="","",OFFSET(掉落_design!$E60,0,掉落_design!S$2,1,1)&amp;";"&amp;OFFSET(掉落_design!$E60,0,掉落_design!S$2+1,1,1)&amp;";"&amp;OFFSET(掉落_design!$E60,0,掉落_design!S$2+2,1,1)&amp;";"&amp;OFFSET(掉落_design!$E60,0,掉落_design!S$2+3,1,1))</f>
        <v/>
      </c>
      <c r="U60" s="16" t="str">
        <f ca="1">IF(OFFSET(掉落_design!$E60,0,掉落_design!T$2,1,1)="","",OFFSET(掉落_design!$E60,0,掉落_design!T$2,1,1)&amp;";"&amp;OFFSET(掉落_design!$E60,0,掉落_design!T$2+1,1,1)&amp;";"&amp;OFFSET(掉落_design!$E60,0,掉落_design!T$2+2,1,1)&amp;";"&amp;OFFSET(掉落_design!$E60,0,掉落_design!T$2+3,1,1))</f>
        <v/>
      </c>
      <c r="V60" s="16" t="str">
        <f ca="1">IF(OFFSET(掉落_design!$E60,0,掉落_design!U$2,1,1)="","",OFFSET(掉落_design!$E60,0,掉落_design!U$2,1,1)&amp;";"&amp;OFFSET(掉落_design!$E60,0,掉落_design!U$2+1,1,1)&amp;";"&amp;OFFSET(掉落_design!$E60,0,掉落_design!U$2+2,1,1)&amp;";"&amp;OFFSET(掉落_design!$E60,0,掉落_design!U$2+3,1,1))</f>
        <v/>
      </c>
      <c r="W60" s="16" t="str">
        <f ca="1">IF(OFFSET(掉落_design!$E60,0,掉落_design!V$2,1,1)="","",OFFSET(掉落_design!$E60,0,掉落_design!V$2,1,1)&amp;";"&amp;OFFSET(掉落_design!$E60,0,掉落_design!V$2+1,1,1)&amp;";"&amp;OFFSET(掉落_design!$E60,0,掉落_design!V$2+2,1,1)&amp;";"&amp;OFFSET(掉落_design!$E60,0,掉落_design!V$2+3,1,1))</f>
        <v/>
      </c>
      <c r="X60" s="16" t="str">
        <f ca="1">IF(OFFSET(掉落_design!$E60,0,掉落_design!W$2,1,1)="","",OFFSET(掉落_design!$E60,0,掉落_design!W$2,1,1)&amp;";"&amp;OFFSET(掉落_design!$E60,0,掉落_design!W$2+1,1,1)&amp;";"&amp;OFFSET(掉落_design!$E60,0,掉落_design!W$2+2,1,1)&amp;";"&amp;OFFSET(掉落_design!$E60,0,掉落_design!W$2+3,1,1))</f>
        <v/>
      </c>
      <c r="Y60" s="16" t="str">
        <f ca="1">IF(OFFSET(掉落_design!$E60,0,掉落_design!X$2,1,1)="","",OFFSET(掉落_design!$E60,0,掉落_design!X$2,1,1)&amp;";"&amp;OFFSET(掉落_design!$E60,0,掉落_design!X$2+1,1,1)&amp;";"&amp;OFFSET(掉落_design!$E60,0,掉落_design!X$2+2,1,1)&amp;";"&amp;OFFSET(掉落_design!$E60,0,掉落_design!X$2+3,1,1))</f>
        <v/>
      </c>
    </row>
    <row r="61" spans="1:25" x14ac:dyDescent="0.15">
      <c r="A61" s="11" t="str">
        <f t="shared" si="0"/>
        <v/>
      </c>
      <c r="B61" s="25"/>
      <c r="C61" s="25"/>
      <c r="D61" s="15" t="str">
        <f>IF(掉落_design!C61="","",掉落_design!C61)</f>
        <v/>
      </c>
      <c r="E61" s="15" t="str">
        <f>IF(A61="","",掉落_design!D61)</f>
        <v/>
      </c>
      <c r="F61" s="16" t="str">
        <f ca="1">IF(OFFSET(掉落_design!$E61,0,掉落_design!E$2,1,1)="","",OFFSET(掉落_design!$E61,0,掉落_design!E$2,1,1)&amp;";"&amp;OFFSET(掉落_design!$E61,0,掉落_design!E$2+1,1,1)&amp;";"&amp;OFFSET(掉落_design!$E61,0,掉落_design!E$2+2,1,1)&amp;";"&amp;OFFSET(掉落_design!$E61,0,掉落_design!E$2+3,1,1))</f>
        <v/>
      </c>
      <c r="G61" s="16" t="str">
        <f ca="1">IF(OFFSET(掉落_design!$E61,0,掉落_design!F$2,1,1)="","",OFFSET(掉落_design!$E61,0,掉落_design!F$2,1,1)&amp;";"&amp;OFFSET(掉落_design!$E61,0,掉落_design!F$2+1,1,1)&amp;";"&amp;OFFSET(掉落_design!$E61,0,掉落_design!F$2+2,1,1)&amp;";"&amp;OFFSET(掉落_design!$E61,0,掉落_design!F$2+3,1,1))</f>
        <v/>
      </c>
      <c r="H61" s="16" t="str">
        <f ca="1">IF(OFFSET(掉落_design!$E61,0,掉落_design!G$2,1,1)="","",OFFSET(掉落_design!$E61,0,掉落_design!G$2,1,1)&amp;";"&amp;OFFSET(掉落_design!$E61,0,掉落_design!G$2+1,1,1)&amp;";"&amp;OFFSET(掉落_design!$E61,0,掉落_design!G$2+2,1,1)&amp;";"&amp;OFFSET(掉落_design!$E61,0,掉落_design!G$2+3,1,1))</f>
        <v/>
      </c>
      <c r="I61" s="16" t="str">
        <f ca="1">IF(OFFSET(掉落_design!$E61,0,掉落_design!H$2,1,1)="","",OFFSET(掉落_design!$E61,0,掉落_design!H$2,1,1)&amp;";"&amp;OFFSET(掉落_design!$E61,0,掉落_design!H$2+1,1,1)&amp;";"&amp;OFFSET(掉落_design!$E61,0,掉落_design!H$2+2,1,1)&amp;";"&amp;OFFSET(掉落_design!$E61,0,掉落_design!H$2+3,1,1))</f>
        <v/>
      </c>
      <c r="J61" s="16" t="str">
        <f ca="1">IF(OFFSET(掉落_design!$E61,0,掉落_design!I$2,1,1)="","",OFFSET(掉落_design!$E61,0,掉落_design!I$2,1,1)&amp;";"&amp;OFFSET(掉落_design!$E61,0,掉落_design!I$2+1,1,1)&amp;";"&amp;OFFSET(掉落_design!$E61,0,掉落_design!I$2+2,1,1)&amp;";"&amp;OFFSET(掉落_design!$E61,0,掉落_design!I$2+3,1,1))</f>
        <v/>
      </c>
      <c r="K61" s="16" t="str">
        <f ca="1">IF(OFFSET(掉落_design!$E61,0,掉落_design!J$2,1,1)="","",OFFSET(掉落_design!$E61,0,掉落_design!J$2,1,1)&amp;";"&amp;OFFSET(掉落_design!$E61,0,掉落_design!J$2+1,1,1)&amp;";"&amp;OFFSET(掉落_design!$E61,0,掉落_design!J$2+2,1,1)&amp;";"&amp;OFFSET(掉落_design!$E61,0,掉落_design!J$2+3,1,1))</f>
        <v/>
      </c>
      <c r="L61" s="16" t="str">
        <f ca="1">IF(OFFSET(掉落_design!$E61,0,掉落_design!K$2,1,1)="","",OFFSET(掉落_design!$E61,0,掉落_design!K$2,1,1)&amp;";"&amp;OFFSET(掉落_design!$E61,0,掉落_design!K$2+1,1,1)&amp;";"&amp;OFFSET(掉落_design!$E61,0,掉落_design!K$2+2,1,1)&amp;";"&amp;OFFSET(掉落_design!$E61,0,掉落_design!K$2+3,1,1))</f>
        <v/>
      </c>
      <c r="M61" s="16" t="str">
        <f ca="1">IF(OFFSET(掉落_design!$E61,0,掉落_design!L$2,1,1)="","",OFFSET(掉落_design!$E61,0,掉落_design!L$2,1,1)&amp;";"&amp;OFFSET(掉落_design!$E61,0,掉落_design!L$2+1,1,1)&amp;";"&amp;OFFSET(掉落_design!$E61,0,掉落_design!L$2+2,1,1)&amp;";"&amp;OFFSET(掉落_design!$E61,0,掉落_design!L$2+3,1,1))</f>
        <v/>
      </c>
      <c r="N61" s="16" t="str">
        <f ca="1">IF(OFFSET(掉落_design!$E61,0,掉落_design!M$2,1,1)="","",OFFSET(掉落_design!$E61,0,掉落_design!M$2,1,1)&amp;";"&amp;OFFSET(掉落_design!$E61,0,掉落_design!M$2+1,1,1)&amp;";"&amp;OFFSET(掉落_design!$E61,0,掉落_design!M$2+2,1,1)&amp;";"&amp;OFFSET(掉落_design!$E61,0,掉落_design!M$2+3,1,1))</f>
        <v/>
      </c>
      <c r="O61" s="16" t="str">
        <f ca="1">IF(OFFSET(掉落_design!$E61,0,掉落_design!N$2,1,1)="","",OFFSET(掉落_design!$E61,0,掉落_design!N$2,1,1)&amp;";"&amp;OFFSET(掉落_design!$E61,0,掉落_design!N$2+1,1,1)&amp;";"&amp;OFFSET(掉落_design!$E61,0,掉落_design!N$2+2,1,1)&amp;";"&amp;OFFSET(掉落_design!$E61,0,掉落_design!N$2+3,1,1))</f>
        <v/>
      </c>
      <c r="P61" s="16" t="str">
        <f ca="1">IF(OFFSET(掉落_design!$E61,0,掉落_design!O$2,1,1)="","",OFFSET(掉落_design!$E61,0,掉落_design!O$2,1,1)&amp;";"&amp;OFFSET(掉落_design!$E61,0,掉落_design!O$2+1,1,1)&amp;";"&amp;OFFSET(掉落_design!$E61,0,掉落_design!O$2+2,1,1)&amp;";"&amp;OFFSET(掉落_design!$E61,0,掉落_design!O$2+3,1,1))</f>
        <v/>
      </c>
      <c r="Q61" s="16" t="str">
        <f ca="1">IF(OFFSET(掉落_design!$E61,0,掉落_design!P$2,1,1)="","",OFFSET(掉落_design!$E61,0,掉落_design!P$2,1,1)&amp;";"&amp;OFFSET(掉落_design!$E61,0,掉落_design!P$2+1,1,1)&amp;";"&amp;OFFSET(掉落_design!$E61,0,掉落_design!P$2+2,1,1)&amp;";"&amp;OFFSET(掉落_design!$E61,0,掉落_design!P$2+3,1,1))</f>
        <v/>
      </c>
      <c r="R61" s="16" t="str">
        <f ca="1">IF(OFFSET(掉落_design!$E61,0,掉落_design!Q$2,1,1)="","",OFFSET(掉落_design!$E61,0,掉落_design!Q$2,1,1)&amp;";"&amp;OFFSET(掉落_design!$E61,0,掉落_design!Q$2+1,1,1)&amp;";"&amp;OFFSET(掉落_design!$E61,0,掉落_design!Q$2+2,1,1)&amp;";"&amp;OFFSET(掉落_design!$E61,0,掉落_design!Q$2+3,1,1))</f>
        <v/>
      </c>
      <c r="S61" s="16" t="str">
        <f ca="1">IF(OFFSET(掉落_design!$E61,0,掉落_design!R$2,1,1)="","",OFFSET(掉落_design!$E61,0,掉落_design!R$2,1,1)&amp;";"&amp;OFFSET(掉落_design!$E61,0,掉落_design!R$2+1,1,1)&amp;";"&amp;OFFSET(掉落_design!$E61,0,掉落_design!R$2+2,1,1)&amp;";"&amp;OFFSET(掉落_design!$E61,0,掉落_design!R$2+3,1,1))</f>
        <v/>
      </c>
      <c r="T61" s="16" t="str">
        <f ca="1">IF(OFFSET(掉落_design!$E61,0,掉落_design!S$2,1,1)="","",OFFSET(掉落_design!$E61,0,掉落_design!S$2,1,1)&amp;";"&amp;OFFSET(掉落_design!$E61,0,掉落_design!S$2+1,1,1)&amp;";"&amp;OFFSET(掉落_design!$E61,0,掉落_design!S$2+2,1,1)&amp;";"&amp;OFFSET(掉落_design!$E61,0,掉落_design!S$2+3,1,1))</f>
        <v/>
      </c>
      <c r="U61" s="16" t="str">
        <f ca="1">IF(OFFSET(掉落_design!$E61,0,掉落_design!T$2,1,1)="","",OFFSET(掉落_design!$E61,0,掉落_design!T$2,1,1)&amp;";"&amp;OFFSET(掉落_design!$E61,0,掉落_design!T$2+1,1,1)&amp;";"&amp;OFFSET(掉落_design!$E61,0,掉落_design!T$2+2,1,1)&amp;";"&amp;OFFSET(掉落_design!$E61,0,掉落_design!T$2+3,1,1))</f>
        <v/>
      </c>
      <c r="V61" s="16" t="str">
        <f ca="1">IF(OFFSET(掉落_design!$E61,0,掉落_design!U$2,1,1)="","",OFFSET(掉落_design!$E61,0,掉落_design!U$2,1,1)&amp;";"&amp;OFFSET(掉落_design!$E61,0,掉落_design!U$2+1,1,1)&amp;";"&amp;OFFSET(掉落_design!$E61,0,掉落_design!U$2+2,1,1)&amp;";"&amp;OFFSET(掉落_design!$E61,0,掉落_design!U$2+3,1,1))</f>
        <v/>
      </c>
      <c r="W61" s="16" t="str">
        <f ca="1">IF(OFFSET(掉落_design!$E61,0,掉落_design!V$2,1,1)="","",OFFSET(掉落_design!$E61,0,掉落_design!V$2,1,1)&amp;";"&amp;OFFSET(掉落_design!$E61,0,掉落_design!V$2+1,1,1)&amp;";"&amp;OFFSET(掉落_design!$E61,0,掉落_design!V$2+2,1,1)&amp;";"&amp;OFFSET(掉落_design!$E61,0,掉落_design!V$2+3,1,1))</f>
        <v/>
      </c>
      <c r="X61" s="16" t="str">
        <f ca="1">IF(OFFSET(掉落_design!$E61,0,掉落_design!W$2,1,1)="","",OFFSET(掉落_design!$E61,0,掉落_design!W$2,1,1)&amp;";"&amp;OFFSET(掉落_design!$E61,0,掉落_design!W$2+1,1,1)&amp;";"&amp;OFFSET(掉落_design!$E61,0,掉落_design!W$2+2,1,1)&amp;";"&amp;OFFSET(掉落_design!$E61,0,掉落_design!W$2+3,1,1))</f>
        <v/>
      </c>
      <c r="Y61" s="16" t="str">
        <f ca="1">IF(OFFSET(掉落_design!$E61,0,掉落_design!X$2,1,1)="","",OFFSET(掉落_design!$E61,0,掉落_design!X$2,1,1)&amp;";"&amp;OFFSET(掉落_design!$E61,0,掉落_design!X$2+1,1,1)&amp;";"&amp;OFFSET(掉落_design!$E61,0,掉落_design!X$2+2,1,1)&amp;";"&amp;OFFSET(掉落_design!$E61,0,掉落_design!X$2+3,1,1))</f>
        <v/>
      </c>
    </row>
    <row r="62" spans="1:25" x14ac:dyDescent="0.15">
      <c r="A62" s="11" t="str">
        <f t="shared" si="0"/>
        <v>DATA</v>
      </c>
      <c r="B62" s="25"/>
      <c r="C62" s="25"/>
      <c r="D62" s="15">
        <f>IF(掉落_design!C62="","",掉落_design!C62)</f>
        <v>20500</v>
      </c>
      <c r="E62" s="15">
        <f>IF(A62="","",掉落_design!D62)</f>
        <v>1</v>
      </c>
      <c r="F62" s="16" t="str">
        <f ca="1">IF(OFFSET(掉落_design!$E62,0,掉落_design!E$2,1,1)="","",OFFSET(掉落_design!$E62,0,掉落_design!E$2,1,1)&amp;";"&amp;OFFSET(掉落_design!$E62,0,掉落_design!E$2+1,1,1)&amp;";"&amp;OFFSET(掉落_design!$E62,0,掉落_design!E$2+2,1,1)&amp;";"&amp;OFFSET(掉落_design!$E62,0,掉落_design!E$2+3,1,1))</f>
        <v>1001;80;100;1000</v>
      </c>
      <c r="G62" s="16" t="str">
        <f ca="1">IF(OFFSET(掉落_design!$E62,0,掉落_design!F$2,1,1)="","",OFFSET(掉落_design!$E62,0,掉落_design!F$2,1,1)&amp;";"&amp;OFFSET(掉落_design!$E62,0,掉落_design!F$2+1,1,1)&amp;";"&amp;OFFSET(掉落_design!$E62,0,掉落_design!F$2+2,1,1)&amp;";"&amp;OFFSET(掉落_design!$E62,0,掉落_design!F$2+3,1,1))</f>
        <v>1204;1;1;1000</v>
      </c>
      <c r="H62" s="16" t="str">
        <f ca="1">IF(OFFSET(掉落_design!$E62,0,掉落_design!G$2,1,1)="","",OFFSET(掉落_design!$E62,0,掉落_design!G$2,1,1)&amp;";"&amp;OFFSET(掉落_design!$E62,0,掉落_design!G$2+1,1,1)&amp;";"&amp;OFFSET(掉落_design!$E62,0,掉落_design!G$2+2,1,1)&amp;";"&amp;OFFSET(掉落_design!$E62,0,掉落_design!G$2+3,1,1))</f>
        <v/>
      </c>
      <c r="I62" s="16" t="str">
        <f ca="1">IF(OFFSET(掉落_design!$E62,0,掉落_design!H$2,1,1)="","",OFFSET(掉落_design!$E62,0,掉落_design!H$2,1,1)&amp;";"&amp;OFFSET(掉落_design!$E62,0,掉落_design!H$2+1,1,1)&amp;";"&amp;OFFSET(掉落_design!$E62,0,掉落_design!H$2+2,1,1)&amp;";"&amp;OFFSET(掉落_design!$E62,0,掉落_design!H$2+3,1,1))</f>
        <v/>
      </c>
      <c r="J62" s="16" t="str">
        <f ca="1">IF(OFFSET(掉落_design!$E62,0,掉落_design!I$2,1,1)="","",OFFSET(掉落_design!$E62,0,掉落_design!I$2,1,1)&amp;";"&amp;OFFSET(掉落_design!$E62,0,掉落_design!I$2+1,1,1)&amp;";"&amp;OFFSET(掉落_design!$E62,0,掉落_design!I$2+2,1,1)&amp;";"&amp;OFFSET(掉落_design!$E62,0,掉落_design!I$2+3,1,1))</f>
        <v/>
      </c>
      <c r="K62" s="16" t="str">
        <f ca="1">IF(OFFSET(掉落_design!$E62,0,掉落_design!J$2,1,1)="","",OFFSET(掉落_design!$E62,0,掉落_design!J$2,1,1)&amp;";"&amp;OFFSET(掉落_design!$E62,0,掉落_design!J$2+1,1,1)&amp;";"&amp;OFFSET(掉落_design!$E62,0,掉落_design!J$2+2,1,1)&amp;";"&amp;OFFSET(掉落_design!$E62,0,掉落_design!J$2+3,1,1))</f>
        <v/>
      </c>
      <c r="L62" s="16" t="str">
        <f ca="1">IF(OFFSET(掉落_design!$E62,0,掉落_design!K$2,1,1)="","",OFFSET(掉落_design!$E62,0,掉落_design!K$2,1,1)&amp;";"&amp;OFFSET(掉落_design!$E62,0,掉落_design!K$2+1,1,1)&amp;";"&amp;OFFSET(掉落_design!$E62,0,掉落_design!K$2+2,1,1)&amp;";"&amp;OFFSET(掉落_design!$E62,0,掉落_design!K$2+3,1,1))</f>
        <v/>
      </c>
      <c r="M62" s="16" t="str">
        <f ca="1">IF(OFFSET(掉落_design!$E62,0,掉落_design!L$2,1,1)="","",OFFSET(掉落_design!$E62,0,掉落_design!L$2,1,1)&amp;";"&amp;OFFSET(掉落_design!$E62,0,掉落_design!L$2+1,1,1)&amp;";"&amp;OFFSET(掉落_design!$E62,0,掉落_design!L$2+2,1,1)&amp;";"&amp;OFFSET(掉落_design!$E62,0,掉落_design!L$2+3,1,1))</f>
        <v/>
      </c>
      <c r="N62" s="16" t="str">
        <f ca="1">IF(OFFSET(掉落_design!$E62,0,掉落_design!M$2,1,1)="","",OFFSET(掉落_design!$E62,0,掉落_design!M$2,1,1)&amp;";"&amp;OFFSET(掉落_design!$E62,0,掉落_design!M$2+1,1,1)&amp;";"&amp;OFFSET(掉落_design!$E62,0,掉落_design!M$2+2,1,1)&amp;";"&amp;OFFSET(掉落_design!$E62,0,掉落_design!M$2+3,1,1))</f>
        <v/>
      </c>
      <c r="O62" s="16" t="str">
        <f ca="1">IF(OFFSET(掉落_design!$E62,0,掉落_design!N$2,1,1)="","",OFFSET(掉落_design!$E62,0,掉落_design!N$2,1,1)&amp;";"&amp;OFFSET(掉落_design!$E62,0,掉落_design!N$2+1,1,1)&amp;";"&amp;OFFSET(掉落_design!$E62,0,掉落_design!N$2+2,1,1)&amp;";"&amp;OFFSET(掉落_design!$E62,0,掉落_design!N$2+3,1,1))</f>
        <v/>
      </c>
      <c r="P62" s="16" t="str">
        <f ca="1">IF(OFFSET(掉落_design!$E62,0,掉落_design!O$2,1,1)="","",OFFSET(掉落_design!$E62,0,掉落_design!O$2,1,1)&amp;";"&amp;OFFSET(掉落_design!$E62,0,掉落_design!O$2+1,1,1)&amp;";"&amp;OFFSET(掉落_design!$E62,0,掉落_design!O$2+2,1,1)&amp;";"&amp;OFFSET(掉落_design!$E62,0,掉落_design!O$2+3,1,1))</f>
        <v/>
      </c>
      <c r="Q62" s="16" t="str">
        <f ca="1">IF(OFFSET(掉落_design!$E62,0,掉落_design!P$2,1,1)="","",OFFSET(掉落_design!$E62,0,掉落_design!P$2,1,1)&amp;";"&amp;OFFSET(掉落_design!$E62,0,掉落_design!P$2+1,1,1)&amp;";"&amp;OFFSET(掉落_design!$E62,0,掉落_design!P$2+2,1,1)&amp;";"&amp;OFFSET(掉落_design!$E62,0,掉落_design!P$2+3,1,1))</f>
        <v/>
      </c>
      <c r="R62" s="16" t="str">
        <f ca="1">IF(OFFSET(掉落_design!$E62,0,掉落_design!Q$2,1,1)="","",OFFSET(掉落_design!$E62,0,掉落_design!Q$2,1,1)&amp;";"&amp;OFFSET(掉落_design!$E62,0,掉落_design!Q$2+1,1,1)&amp;";"&amp;OFFSET(掉落_design!$E62,0,掉落_design!Q$2+2,1,1)&amp;";"&amp;OFFSET(掉落_design!$E62,0,掉落_design!Q$2+3,1,1))</f>
        <v/>
      </c>
      <c r="S62" s="16" t="str">
        <f ca="1">IF(OFFSET(掉落_design!$E62,0,掉落_design!R$2,1,1)="","",OFFSET(掉落_design!$E62,0,掉落_design!R$2,1,1)&amp;";"&amp;OFFSET(掉落_design!$E62,0,掉落_design!R$2+1,1,1)&amp;";"&amp;OFFSET(掉落_design!$E62,0,掉落_design!R$2+2,1,1)&amp;";"&amp;OFFSET(掉落_design!$E62,0,掉落_design!R$2+3,1,1))</f>
        <v/>
      </c>
      <c r="T62" s="16" t="str">
        <f ca="1">IF(OFFSET(掉落_design!$E62,0,掉落_design!S$2,1,1)="","",OFFSET(掉落_design!$E62,0,掉落_design!S$2,1,1)&amp;";"&amp;OFFSET(掉落_design!$E62,0,掉落_design!S$2+1,1,1)&amp;";"&amp;OFFSET(掉落_design!$E62,0,掉落_design!S$2+2,1,1)&amp;";"&amp;OFFSET(掉落_design!$E62,0,掉落_design!S$2+3,1,1))</f>
        <v/>
      </c>
      <c r="U62" s="16" t="str">
        <f ca="1">IF(OFFSET(掉落_design!$E62,0,掉落_design!T$2,1,1)="","",OFFSET(掉落_design!$E62,0,掉落_design!T$2,1,1)&amp;";"&amp;OFFSET(掉落_design!$E62,0,掉落_design!T$2+1,1,1)&amp;";"&amp;OFFSET(掉落_design!$E62,0,掉落_design!T$2+2,1,1)&amp;";"&amp;OFFSET(掉落_design!$E62,0,掉落_design!T$2+3,1,1))</f>
        <v/>
      </c>
      <c r="V62" s="16" t="str">
        <f ca="1">IF(OFFSET(掉落_design!$E62,0,掉落_design!U$2,1,1)="","",OFFSET(掉落_design!$E62,0,掉落_design!U$2,1,1)&amp;";"&amp;OFFSET(掉落_design!$E62,0,掉落_design!U$2+1,1,1)&amp;";"&amp;OFFSET(掉落_design!$E62,0,掉落_design!U$2+2,1,1)&amp;";"&amp;OFFSET(掉落_design!$E62,0,掉落_design!U$2+3,1,1))</f>
        <v/>
      </c>
      <c r="W62" s="16" t="str">
        <f ca="1">IF(OFFSET(掉落_design!$E62,0,掉落_design!V$2,1,1)="","",OFFSET(掉落_design!$E62,0,掉落_design!V$2,1,1)&amp;";"&amp;OFFSET(掉落_design!$E62,0,掉落_design!V$2+1,1,1)&amp;";"&amp;OFFSET(掉落_design!$E62,0,掉落_design!V$2+2,1,1)&amp;";"&amp;OFFSET(掉落_design!$E62,0,掉落_design!V$2+3,1,1))</f>
        <v/>
      </c>
      <c r="X62" s="16" t="str">
        <f ca="1">IF(OFFSET(掉落_design!$E62,0,掉落_design!W$2,1,1)="","",OFFSET(掉落_design!$E62,0,掉落_design!W$2,1,1)&amp;";"&amp;OFFSET(掉落_design!$E62,0,掉落_design!W$2+1,1,1)&amp;";"&amp;OFFSET(掉落_design!$E62,0,掉落_design!W$2+2,1,1)&amp;";"&amp;OFFSET(掉落_design!$E62,0,掉落_design!W$2+3,1,1))</f>
        <v/>
      </c>
      <c r="Y62" s="16" t="str">
        <f ca="1">IF(OFFSET(掉落_design!$E62,0,掉落_design!X$2,1,1)="","",OFFSET(掉落_design!$E62,0,掉落_design!X$2,1,1)&amp;";"&amp;OFFSET(掉落_design!$E62,0,掉落_design!X$2+1,1,1)&amp;";"&amp;OFFSET(掉落_design!$E62,0,掉落_design!X$2+2,1,1)&amp;";"&amp;OFFSET(掉落_design!$E62,0,掉落_design!X$2+3,1,1))</f>
        <v/>
      </c>
    </row>
    <row r="63" spans="1:25" x14ac:dyDescent="0.15">
      <c r="A63" s="11" t="str">
        <f t="shared" si="0"/>
        <v>DATA</v>
      </c>
      <c r="B63" s="25"/>
      <c r="C63" s="25"/>
      <c r="D63" s="15">
        <f>IF(掉落_design!C63="","",掉落_design!C63)</f>
        <v>20501</v>
      </c>
      <c r="E63" s="15">
        <f>IF(A63="","",掉落_design!D63)</f>
        <v>2</v>
      </c>
      <c r="F63" s="16" t="str">
        <f ca="1">IF(OFFSET(掉落_design!$E63,0,掉落_design!E$2,1,1)="","",OFFSET(掉落_design!$E63,0,掉落_design!E$2,1,1)&amp;";"&amp;OFFSET(掉落_design!$E63,0,掉落_design!E$2+1,1,1)&amp;";"&amp;OFFSET(掉落_design!$E63,0,掉落_design!E$2+2,1,1)&amp;";"&amp;OFFSET(掉落_design!$E63,0,掉落_design!E$2+3,1,1))</f>
        <v>20622;1;1;1</v>
      </c>
      <c r="G63" s="16" t="str">
        <f ca="1">IF(OFFSET(掉落_design!$E63,0,掉落_design!F$2,1,1)="","",OFFSET(掉落_design!$E63,0,掉落_design!F$2,1,1)&amp;";"&amp;OFFSET(掉落_design!$E63,0,掉落_design!F$2+1,1,1)&amp;";"&amp;OFFSET(掉落_design!$E63,0,掉落_design!F$2+2,1,1)&amp;";"&amp;OFFSET(掉落_design!$E63,0,掉落_design!F$2+3,1,1))</f>
        <v>20422;1;1;1</v>
      </c>
      <c r="H63" s="16" t="str">
        <f ca="1">IF(OFFSET(掉落_design!$E63,0,掉落_design!G$2,1,1)="","",OFFSET(掉落_design!$E63,0,掉落_design!G$2,1,1)&amp;";"&amp;OFFSET(掉落_design!$E63,0,掉落_design!G$2+1,1,1)&amp;";"&amp;OFFSET(掉落_design!$E63,0,掉落_design!G$2+2,1,1)&amp;";"&amp;OFFSET(掉落_design!$E63,0,掉落_design!G$2+3,1,1))</f>
        <v>20522;1;1;1</v>
      </c>
      <c r="I63" s="16" t="str">
        <f ca="1">IF(OFFSET(掉落_design!$E63,0,掉落_design!H$2,1,1)="","",OFFSET(掉落_design!$E63,0,掉落_design!H$2,1,1)&amp;";"&amp;OFFSET(掉落_design!$E63,0,掉落_design!H$2+1,1,1)&amp;";"&amp;OFFSET(掉落_design!$E63,0,掉落_design!H$2+2,1,1)&amp;";"&amp;OFFSET(掉落_design!$E63,0,掉落_design!H$2+3,1,1))</f>
        <v>20523;1;1;1</v>
      </c>
      <c r="J63" s="16" t="str">
        <f ca="1">IF(OFFSET(掉落_design!$E63,0,掉落_design!I$2,1,1)="","",OFFSET(掉落_design!$E63,0,掉落_design!I$2,1,1)&amp;";"&amp;OFFSET(掉落_design!$E63,0,掉落_design!I$2+1,1,1)&amp;";"&amp;OFFSET(掉落_design!$E63,0,掉落_design!I$2+2,1,1)&amp;";"&amp;OFFSET(掉落_design!$E63,0,掉落_design!I$2+3,1,1))</f>
        <v>20421;1;1;1</v>
      </c>
      <c r="K63" s="16" t="str">
        <f ca="1">IF(OFFSET(掉落_design!$E63,0,掉落_design!J$2,1,1)="","",OFFSET(掉落_design!$E63,0,掉落_design!J$2,1,1)&amp;";"&amp;OFFSET(掉落_design!$E63,0,掉落_design!J$2+1,1,1)&amp;";"&amp;OFFSET(掉落_design!$E63,0,掉落_design!J$2+2,1,1)&amp;";"&amp;OFFSET(掉落_design!$E63,0,掉落_design!J$2+3,1,1))</f>
        <v>20423;1;1;1</v>
      </c>
      <c r="L63" s="16" t="str">
        <f ca="1">IF(OFFSET(掉落_design!$E63,0,掉落_design!K$2,1,1)="","",OFFSET(掉落_design!$E63,0,掉落_design!K$2,1,1)&amp;";"&amp;OFFSET(掉落_design!$E63,0,掉落_design!K$2+1,1,1)&amp;";"&amp;OFFSET(掉落_design!$E63,0,掉落_design!K$2+2,1,1)&amp;";"&amp;OFFSET(掉落_design!$E63,0,掉落_design!K$2+3,1,1))</f>
        <v>20422;1;1;1</v>
      </c>
      <c r="M63" s="16" t="str">
        <f ca="1">IF(OFFSET(掉落_design!$E63,0,掉落_design!L$2,1,1)="","",OFFSET(掉落_design!$E63,0,掉落_design!L$2,1,1)&amp;";"&amp;OFFSET(掉落_design!$E63,0,掉落_design!L$2+1,1,1)&amp;";"&amp;OFFSET(掉落_design!$E63,0,掉落_design!L$2+2,1,1)&amp;";"&amp;OFFSET(掉落_design!$E63,0,掉落_design!L$2+3,1,1))</f>
        <v>20423;1;1;1</v>
      </c>
      <c r="N63" s="16" t="str">
        <f ca="1">IF(OFFSET(掉落_design!$E63,0,掉落_design!M$2,1,1)="","",OFFSET(掉落_design!$E63,0,掉落_design!M$2,1,1)&amp;";"&amp;OFFSET(掉落_design!$E63,0,掉落_design!M$2+1,1,1)&amp;";"&amp;OFFSET(掉落_design!$E63,0,掉落_design!M$2+2,1,1)&amp;";"&amp;OFFSET(掉落_design!$E63,0,掉落_design!M$2+3,1,1))</f>
        <v>20423;1;1;1</v>
      </c>
      <c r="O63" s="16" t="str">
        <f ca="1">IF(OFFSET(掉落_design!$E63,0,掉落_design!N$2,1,1)="","",OFFSET(掉落_design!$E63,0,掉落_design!N$2,1,1)&amp;";"&amp;OFFSET(掉落_design!$E63,0,掉落_design!N$2+1,1,1)&amp;";"&amp;OFFSET(掉落_design!$E63,0,掉落_design!N$2+2,1,1)&amp;";"&amp;OFFSET(掉落_design!$E63,0,掉落_design!N$2+3,1,1))</f>
        <v>20321;1;1;1</v>
      </c>
      <c r="P63" s="16" t="str">
        <f ca="1">IF(OFFSET(掉落_design!$E63,0,掉落_design!O$2,1,1)="","",OFFSET(掉落_design!$E63,0,掉落_design!O$2,1,1)&amp;";"&amp;OFFSET(掉落_design!$E63,0,掉落_design!O$2+1,1,1)&amp;";"&amp;OFFSET(掉落_design!$E63,0,掉落_design!O$2+2,1,1)&amp;";"&amp;OFFSET(掉落_design!$E63,0,掉落_design!O$2+3,1,1))</f>
        <v>1001;250;300;20</v>
      </c>
      <c r="Q63" s="16" t="str">
        <f ca="1">IF(OFFSET(掉落_design!$E63,0,掉落_design!P$2,1,1)="","",OFFSET(掉落_design!$E63,0,掉落_design!P$2,1,1)&amp;";"&amp;OFFSET(掉落_design!$E63,0,掉落_design!P$2+1,1,1)&amp;";"&amp;OFFSET(掉落_design!$E63,0,掉落_design!P$2+2,1,1)&amp;";"&amp;OFFSET(掉落_design!$E63,0,掉落_design!P$2+3,1,1))</f>
        <v/>
      </c>
      <c r="R63" s="16" t="str">
        <f ca="1">IF(OFFSET(掉落_design!$E63,0,掉落_design!Q$2,1,1)="","",OFFSET(掉落_design!$E63,0,掉落_design!Q$2,1,1)&amp;";"&amp;OFFSET(掉落_design!$E63,0,掉落_design!Q$2+1,1,1)&amp;";"&amp;OFFSET(掉落_design!$E63,0,掉落_design!Q$2+2,1,1)&amp;";"&amp;OFFSET(掉落_design!$E63,0,掉落_design!Q$2+3,1,1))</f>
        <v/>
      </c>
      <c r="S63" s="16" t="str">
        <f ca="1">IF(OFFSET(掉落_design!$E63,0,掉落_design!R$2,1,1)="","",OFFSET(掉落_design!$E63,0,掉落_design!R$2,1,1)&amp;";"&amp;OFFSET(掉落_design!$E63,0,掉落_design!R$2+1,1,1)&amp;";"&amp;OFFSET(掉落_design!$E63,0,掉落_design!R$2+2,1,1)&amp;";"&amp;OFFSET(掉落_design!$E63,0,掉落_design!R$2+3,1,1))</f>
        <v/>
      </c>
      <c r="T63" s="16" t="str">
        <f ca="1">IF(OFFSET(掉落_design!$E63,0,掉落_design!S$2,1,1)="","",OFFSET(掉落_design!$E63,0,掉落_design!S$2,1,1)&amp;";"&amp;OFFSET(掉落_design!$E63,0,掉落_design!S$2+1,1,1)&amp;";"&amp;OFFSET(掉落_design!$E63,0,掉落_design!S$2+2,1,1)&amp;";"&amp;OFFSET(掉落_design!$E63,0,掉落_design!S$2+3,1,1))</f>
        <v/>
      </c>
      <c r="U63" s="16" t="str">
        <f ca="1">IF(OFFSET(掉落_design!$E63,0,掉落_design!T$2,1,1)="","",OFFSET(掉落_design!$E63,0,掉落_design!T$2,1,1)&amp;";"&amp;OFFSET(掉落_design!$E63,0,掉落_design!T$2+1,1,1)&amp;";"&amp;OFFSET(掉落_design!$E63,0,掉落_design!T$2+2,1,1)&amp;";"&amp;OFFSET(掉落_design!$E63,0,掉落_design!T$2+3,1,1))</f>
        <v/>
      </c>
      <c r="V63" s="16" t="str">
        <f ca="1">IF(OFFSET(掉落_design!$E63,0,掉落_design!U$2,1,1)="","",OFFSET(掉落_design!$E63,0,掉落_design!U$2,1,1)&amp;";"&amp;OFFSET(掉落_design!$E63,0,掉落_design!U$2+1,1,1)&amp;";"&amp;OFFSET(掉落_design!$E63,0,掉落_design!U$2+2,1,1)&amp;";"&amp;OFFSET(掉落_design!$E63,0,掉落_design!U$2+3,1,1))</f>
        <v/>
      </c>
      <c r="W63" s="16" t="str">
        <f ca="1">IF(OFFSET(掉落_design!$E63,0,掉落_design!V$2,1,1)="","",OFFSET(掉落_design!$E63,0,掉落_design!V$2,1,1)&amp;";"&amp;OFFSET(掉落_design!$E63,0,掉落_design!V$2+1,1,1)&amp;";"&amp;OFFSET(掉落_design!$E63,0,掉落_design!V$2+2,1,1)&amp;";"&amp;OFFSET(掉落_design!$E63,0,掉落_design!V$2+3,1,1))</f>
        <v/>
      </c>
      <c r="X63" s="16" t="str">
        <f ca="1">IF(OFFSET(掉落_design!$E63,0,掉落_design!W$2,1,1)="","",OFFSET(掉落_design!$E63,0,掉落_design!W$2,1,1)&amp;";"&amp;OFFSET(掉落_design!$E63,0,掉落_design!W$2+1,1,1)&amp;";"&amp;OFFSET(掉落_design!$E63,0,掉落_design!W$2+2,1,1)&amp;";"&amp;OFFSET(掉落_design!$E63,0,掉落_design!W$2+3,1,1))</f>
        <v/>
      </c>
      <c r="Y63" s="16" t="str">
        <f ca="1">IF(OFFSET(掉落_design!$E63,0,掉落_design!X$2,1,1)="","",OFFSET(掉落_design!$E63,0,掉落_design!X$2,1,1)&amp;";"&amp;OFFSET(掉落_design!$E63,0,掉落_design!X$2+1,1,1)&amp;";"&amp;OFFSET(掉落_design!$E63,0,掉落_design!X$2+2,1,1)&amp;";"&amp;OFFSET(掉落_design!$E63,0,掉落_design!X$2+3,1,1))</f>
        <v/>
      </c>
    </row>
    <row r="64" spans="1:25" x14ac:dyDescent="0.15">
      <c r="A64" s="11" t="str">
        <f t="shared" si="0"/>
        <v/>
      </c>
      <c r="B64" s="25"/>
      <c r="C64" s="25"/>
      <c r="D64" s="15" t="str">
        <f>IF(掉落_design!C64="","",掉落_design!C64)</f>
        <v/>
      </c>
      <c r="E64" s="15" t="str">
        <f>IF(A64="","",掉落_design!D64)</f>
        <v/>
      </c>
      <c r="F64" s="16" t="str">
        <f ca="1">IF(OFFSET(掉落_design!$E64,0,掉落_design!E$2,1,1)="","",OFFSET(掉落_design!$E64,0,掉落_design!E$2,1,1)&amp;";"&amp;OFFSET(掉落_design!$E64,0,掉落_design!E$2+1,1,1)&amp;";"&amp;OFFSET(掉落_design!$E64,0,掉落_design!E$2+2,1,1)&amp;";"&amp;OFFSET(掉落_design!$E64,0,掉落_design!E$2+3,1,1))</f>
        <v/>
      </c>
      <c r="G64" s="16" t="str">
        <f ca="1">IF(OFFSET(掉落_design!$E64,0,掉落_design!F$2,1,1)="","",OFFSET(掉落_design!$E64,0,掉落_design!F$2,1,1)&amp;";"&amp;OFFSET(掉落_design!$E64,0,掉落_design!F$2+1,1,1)&amp;";"&amp;OFFSET(掉落_design!$E64,0,掉落_design!F$2+2,1,1)&amp;";"&amp;OFFSET(掉落_design!$E64,0,掉落_design!F$2+3,1,1))</f>
        <v/>
      </c>
      <c r="H64" s="16" t="str">
        <f ca="1">IF(OFFSET(掉落_design!$E64,0,掉落_design!G$2,1,1)="","",OFFSET(掉落_design!$E64,0,掉落_design!G$2,1,1)&amp;";"&amp;OFFSET(掉落_design!$E64,0,掉落_design!G$2+1,1,1)&amp;";"&amp;OFFSET(掉落_design!$E64,0,掉落_design!G$2+2,1,1)&amp;";"&amp;OFFSET(掉落_design!$E64,0,掉落_design!G$2+3,1,1))</f>
        <v/>
      </c>
      <c r="I64" s="16" t="str">
        <f ca="1">IF(OFFSET(掉落_design!$E64,0,掉落_design!H$2,1,1)="","",OFFSET(掉落_design!$E64,0,掉落_design!H$2,1,1)&amp;";"&amp;OFFSET(掉落_design!$E64,0,掉落_design!H$2+1,1,1)&amp;";"&amp;OFFSET(掉落_design!$E64,0,掉落_design!H$2+2,1,1)&amp;";"&amp;OFFSET(掉落_design!$E64,0,掉落_design!H$2+3,1,1))</f>
        <v/>
      </c>
      <c r="J64" s="16" t="str">
        <f ca="1">IF(OFFSET(掉落_design!$E64,0,掉落_design!I$2,1,1)="","",OFFSET(掉落_design!$E64,0,掉落_design!I$2,1,1)&amp;";"&amp;OFFSET(掉落_design!$E64,0,掉落_design!I$2+1,1,1)&amp;";"&amp;OFFSET(掉落_design!$E64,0,掉落_design!I$2+2,1,1)&amp;";"&amp;OFFSET(掉落_design!$E64,0,掉落_design!I$2+3,1,1))</f>
        <v/>
      </c>
      <c r="K64" s="16" t="str">
        <f ca="1">IF(OFFSET(掉落_design!$E64,0,掉落_design!J$2,1,1)="","",OFFSET(掉落_design!$E64,0,掉落_design!J$2,1,1)&amp;";"&amp;OFFSET(掉落_design!$E64,0,掉落_design!J$2+1,1,1)&amp;";"&amp;OFFSET(掉落_design!$E64,0,掉落_design!J$2+2,1,1)&amp;";"&amp;OFFSET(掉落_design!$E64,0,掉落_design!J$2+3,1,1))</f>
        <v/>
      </c>
      <c r="L64" s="16" t="str">
        <f ca="1">IF(OFFSET(掉落_design!$E64,0,掉落_design!K$2,1,1)="","",OFFSET(掉落_design!$E64,0,掉落_design!K$2,1,1)&amp;";"&amp;OFFSET(掉落_design!$E64,0,掉落_design!K$2+1,1,1)&amp;";"&amp;OFFSET(掉落_design!$E64,0,掉落_design!K$2+2,1,1)&amp;";"&amp;OFFSET(掉落_design!$E64,0,掉落_design!K$2+3,1,1))</f>
        <v/>
      </c>
      <c r="M64" s="16" t="str">
        <f ca="1">IF(OFFSET(掉落_design!$E64,0,掉落_design!L$2,1,1)="","",OFFSET(掉落_design!$E64,0,掉落_design!L$2,1,1)&amp;";"&amp;OFFSET(掉落_design!$E64,0,掉落_design!L$2+1,1,1)&amp;";"&amp;OFFSET(掉落_design!$E64,0,掉落_design!L$2+2,1,1)&amp;";"&amp;OFFSET(掉落_design!$E64,0,掉落_design!L$2+3,1,1))</f>
        <v/>
      </c>
      <c r="N64" s="16" t="str">
        <f ca="1">IF(OFFSET(掉落_design!$E64,0,掉落_design!M$2,1,1)="","",OFFSET(掉落_design!$E64,0,掉落_design!M$2,1,1)&amp;";"&amp;OFFSET(掉落_design!$E64,0,掉落_design!M$2+1,1,1)&amp;";"&amp;OFFSET(掉落_design!$E64,0,掉落_design!M$2+2,1,1)&amp;";"&amp;OFFSET(掉落_design!$E64,0,掉落_design!M$2+3,1,1))</f>
        <v/>
      </c>
      <c r="O64" s="16" t="str">
        <f ca="1">IF(OFFSET(掉落_design!$E64,0,掉落_design!N$2,1,1)="","",OFFSET(掉落_design!$E64,0,掉落_design!N$2,1,1)&amp;";"&amp;OFFSET(掉落_design!$E64,0,掉落_design!N$2+1,1,1)&amp;";"&amp;OFFSET(掉落_design!$E64,0,掉落_design!N$2+2,1,1)&amp;";"&amp;OFFSET(掉落_design!$E64,0,掉落_design!N$2+3,1,1))</f>
        <v/>
      </c>
      <c r="P64" s="16" t="str">
        <f ca="1">IF(OFFSET(掉落_design!$E64,0,掉落_design!O$2,1,1)="","",OFFSET(掉落_design!$E64,0,掉落_design!O$2,1,1)&amp;";"&amp;OFFSET(掉落_design!$E64,0,掉落_design!O$2+1,1,1)&amp;";"&amp;OFFSET(掉落_design!$E64,0,掉落_design!O$2+2,1,1)&amp;";"&amp;OFFSET(掉落_design!$E64,0,掉落_design!O$2+3,1,1))</f>
        <v/>
      </c>
      <c r="Q64" s="16" t="str">
        <f ca="1">IF(OFFSET(掉落_design!$E64,0,掉落_design!P$2,1,1)="","",OFFSET(掉落_design!$E64,0,掉落_design!P$2,1,1)&amp;";"&amp;OFFSET(掉落_design!$E64,0,掉落_design!P$2+1,1,1)&amp;";"&amp;OFFSET(掉落_design!$E64,0,掉落_design!P$2+2,1,1)&amp;";"&amp;OFFSET(掉落_design!$E64,0,掉落_design!P$2+3,1,1))</f>
        <v/>
      </c>
      <c r="R64" s="16" t="str">
        <f ca="1">IF(OFFSET(掉落_design!$E64,0,掉落_design!Q$2,1,1)="","",OFFSET(掉落_design!$E64,0,掉落_design!Q$2,1,1)&amp;";"&amp;OFFSET(掉落_design!$E64,0,掉落_design!Q$2+1,1,1)&amp;";"&amp;OFFSET(掉落_design!$E64,0,掉落_design!Q$2+2,1,1)&amp;";"&amp;OFFSET(掉落_design!$E64,0,掉落_design!Q$2+3,1,1))</f>
        <v/>
      </c>
      <c r="S64" s="16" t="str">
        <f ca="1">IF(OFFSET(掉落_design!$E64,0,掉落_design!R$2,1,1)="","",OFFSET(掉落_design!$E64,0,掉落_design!R$2,1,1)&amp;";"&amp;OFFSET(掉落_design!$E64,0,掉落_design!R$2+1,1,1)&amp;";"&amp;OFFSET(掉落_design!$E64,0,掉落_design!R$2+2,1,1)&amp;";"&amp;OFFSET(掉落_design!$E64,0,掉落_design!R$2+3,1,1))</f>
        <v/>
      </c>
      <c r="T64" s="16" t="str">
        <f ca="1">IF(OFFSET(掉落_design!$E64,0,掉落_design!S$2,1,1)="","",OFFSET(掉落_design!$E64,0,掉落_design!S$2,1,1)&amp;";"&amp;OFFSET(掉落_design!$E64,0,掉落_design!S$2+1,1,1)&amp;";"&amp;OFFSET(掉落_design!$E64,0,掉落_design!S$2+2,1,1)&amp;";"&amp;OFFSET(掉落_design!$E64,0,掉落_design!S$2+3,1,1))</f>
        <v/>
      </c>
      <c r="U64" s="16" t="str">
        <f ca="1">IF(OFFSET(掉落_design!$E64,0,掉落_design!T$2,1,1)="","",OFFSET(掉落_design!$E64,0,掉落_design!T$2,1,1)&amp;";"&amp;OFFSET(掉落_design!$E64,0,掉落_design!T$2+1,1,1)&amp;";"&amp;OFFSET(掉落_design!$E64,0,掉落_design!T$2+2,1,1)&amp;";"&amp;OFFSET(掉落_design!$E64,0,掉落_design!T$2+3,1,1))</f>
        <v/>
      </c>
      <c r="V64" s="16" t="str">
        <f ca="1">IF(OFFSET(掉落_design!$E64,0,掉落_design!U$2,1,1)="","",OFFSET(掉落_design!$E64,0,掉落_design!U$2,1,1)&amp;";"&amp;OFFSET(掉落_design!$E64,0,掉落_design!U$2+1,1,1)&amp;";"&amp;OFFSET(掉落_design!$E64,0,掉落_design!U$2+2,1,1)&amp;";"&amp;OFFSET(掉落_design!$E64,0,掉落_design!U$2+3,1,1))</f>
        <v/>
      </c>
      <c r="W64" s="16" t="str">
        <f ca="1">IF(OFFSET(掉落_design!$E64,0,掉落_design!V$2,1,1)="","",OFFSET(掉落_design!$E64,0,掉落_design!V$2,1,1)&amp;";"&amp;OFFSET(掉落_design!$E64,0,掉落_design!V$2+1,1,1)&amp;";"&amp;OFFSET(掉落_design!$E64,0,掉落_design!V$2+2,1,1)&amp;";"&amp;OFFSET(掉落_design!$E64,0,掉落_design!V$2+3,1,1))</f>
        <v/>
      </c>
      <c r="X64" s="16" t="str">
        <f ca="1">IF(OFFSET(掉落_design!$E64,0,掉落_design!W$2,1,1)="","",OFFSET(掉落_design!$E64,0,掉落_design!W$2,1,1)&amp;";"&amp;OFFSET(掉落_design!$E64,0,掉落_design!W$2+1,1,1)&amp;";"&amp;OFFSET(掉落_design!$E64,0,掉落_design!W$2+2,1,1)&amp;";"&amp;OFFSET(掉落_design!$E64,0,掉落_design!W$2+3,1,1))</f>
        <v/>
      </c>
      <c r="Y64" s="16" t="str">
        <f ca="1">IF(OFFSET(掉落_design!$E64,0,掉落_design!X$2,1,1)="","",OFFSET(掉落_design!$E64,0,掉落_design!X$2,1,1)&amp;";"&amp;OFFSET(掉落_design!$E64,0,掉落_design!X$2+1,1,1)&amp;";"&amp;OFFSET(掉落_design!$E64,0,掉落_design!X$2+2,1,1)&amp;";"&amp;OFFSET(掉落_design!$E64,0,掉落_design!X$2+3,1,1))</f>
        <v/>
      </c>
    </row>
    <row r="65" spans="1:25" x14ac:dyDescent="0.15">
      <c r="A65" s="11" t="str">
        <f t="shared" si="0"/>
        <v>DATA</v>
      </c>
      <c r="B65" s="25"/>
      <c r="C65" s="25"/>
      <c r="D65" s="15">
        <f>IF(掉落_design!C65="","",掉落_design!C65)</f>
        <v>20600</v>
      </c>
      <c r="E65" s="15">
        <f>IF(A65="","",掉落_design!D65)</f>
        <v>1</v>
      </c>
      <c r="F65" s="16" t="str">
        <f ca="1">IF(OFFSET(掉落_design!$E65,0,掉落_design!E$2,1,1)="","",OFFSET(掉落_design!$E65,0,掉落_design!E$2,1,1)&amp;";"&amp;OFFSET(掉落_design!$E65,0,掉落_design!E$2+1,1,1)&amp;";"&amp;OFFSET(掉落_design!$E65,0,掉落_design!E$2+2,1,1)&amp;";"&amp;OFFSET(掉落_design!$E65,0,掉落_design!E$2+3,1,1))</f>
        <v>1001;80;100;1000</v>
      </c>
      <c r="G65" s="16" t="str">
        <f ca="1">IF(OFFSET(掉落_design!$E65,0,掉落_design!F$2,1,1)="","",OFFSET(掉落_design!$E65,0,掉落_design!F$2,1,1)&amp;";"&amp;OFFSET(掉落_design!$E65,0,掉落_design!F$2+1,1,1)&amp;";"&amp;OFFSET(掉落_design!$E65,0,掉落_design!F$2+2,1,1)&amp;";"&amp;OFFSET(掉落_design!$E65,0,掉落_design!F$2+3,1,1))</f>
        <v>1204;1;1;1000</v>
      </c>
      <c r="H65" s="16" t="str">
        <f ca="1">IF(OFFSET(掉落_design!$E65,0,掉落_design!G$2,1,1)="","",OFFSET(掉落_design!$E65,0,掉落_design!G$2,1,1)&amp;";"&amp;OFFSET(掉落_design!$E65,0,掉落_design!G$2+1,1,1)&amp;";"&amp;OFFSET(掉落_design!$E65,0,掉落_design!G$2+2,1,1)&amp;";"&amp;OFFSET(掉落_design!$E65,0,掉落_design!G$2+3,1,1))</f>
        <v/>
      </c>
      <c r="I65" s="16" t="str">
        <f ca="1">IF(OFFSET(掉落_design!$E65,0,掉落_design!H$2,1,1)="","",OFFSET(掉落_design!$E65,0,掉落_design!H$2,1,1)&amp;";"&amp;OFFSET(掉落_design!$E65,0,掉落_design!H$2+1,1,1)&amp;";"&amp;OFFSET(掉落_design!$E65,0,掉落_design!H$2+2,1,1)&amp;";"&amp;OFFSET(掉落_design!$E65,0,掉落_design!H$2+3,1,1))</f>
        <v/>
      </c>
      <c r="J65" s="16" t="str">
        <f ca="1">IF(OFFSET(掉落_design!$E65,0,掉落_design!I$2,1,1)="","",OFFSET(掉落_design!$E65,0,掉落_design!I$2,1,1)&amp;";"&amp;OFFSET(掉落_design!$E65,0,掉落_design!I$2+1,1,1)&amp;";"&amp;OFFSET(掉落_design!$E65,0,掉落_design!I$2+2,1,1)&amp;";"&amp;OFFSET(掉落_design!$E65,0,掉落_design!I$2+3,1,1))</f>
        <v/>
      </c>
      <c r="K65" s="16" t="str">
        <f ca="1">IF(OFFSET(掉落_design!$E65,0,掉落_design!J$2,1,1)="","",OFFSET(掉落_design!$E65,0,掉落_design!J$2,1,1)&amp;";"&amp;OFFSET(掉落_design!$E65,0,掉落_design!J$2+1,1,1)&amp;";"&amp;OFFSET(掉落_design!$E65,0,掉落_design!J$2+2,1,1)&amp;";"&amp;OFFSET(掉落_design!$E65,0,掉落_design!J$2+3,1,1))</f>
        <v/>
      </c>
      <c r="L65" s="16" t="str">
        <f ca="1">IF(OFFSET(掉落_design!$E65,0,掉落_design!K$2,1,1)="","",OFFSET(掉落_design!$E65,0,掉落_design!K$2,1,1)&amp;";"&amp;OFFSET(掉落_design!$E65,0,掉落_design!K$2+1,1,1)&amp;";"&amp;OFFSET(掉落_design!$E65,0,掉落_design!K$2+2,1,1)&amp;";"&amp;OFFSET(掉落_design!$E65,0,掉落_design!K$2+3,1,1))</f>
        <v/>
      </c>
      <c r="M65" s="16" t="str">
        <f ca="1">IF(OFFSET(掉落_design!$E65,0,掉落_design!L$2,1,1)="","",OFFSET(掉落_design!$E65,0,掉落_design!L$2,1,1)&amp;";"&amp;OFFSET(掉落_design!$E65,0,掉落_design!L$2+1,1,1)&amp;";"&amp;OFFSET(掉落_design!$E65,0,掉落_design!L$2+2,1,1)&amp;";"&amp;OFFSET(掉落_design!$E65,0,掉落_design!L$2+3,1,1))</f>
        <v/>
      </c>
      <c r="N65" s="16" t="str">
        <f ca="1">IF(OFFSET(掉落_design!$E65,0,掉落_design!M$2,1,1)="","",OFFSET(掉落_design!$E65,0,掉落_design!M$2,1,1)&amp;";"&amp;OFFSET(掉落_design!$E65,0,掉落_design!M$2+1,1,1)&amp;";"&amp;OFFSET(掉落_design!$E65,0,掉落_design!M$2+2,1,1)&amp;";"&amp;OFFSET(掉落_design!$E65,0,掉落_design!M$2+3,1,1))</f>
        <v/>
      </c>
      <c r="O65" s="16" t="str">
        <f ca="1">IF(OFFSET(掉落_design!$E65,0,掉落_design!N$2,1,1)="","",OFFSET(掉落_design!$E65,0,掉落_design!N$2,1,1)&amp;";"&amp;OFFSET(掉落_design!$E65,0,掉落_design!N$2+1,1,1)&amp;";"&amp;OFFSET(掉落_design!$E65,0,掉落_design!N$2+2,1,1)&amp;";"&amp;OFFSET(掉落_design!$E65,0,掉落_design!N$2+3,1,1))</f>
        <v/>
      </c>
      <c r="P65" s="16" t="str">
        <f ca="1">IF(OFFSET(掉落_design!$E65,0,掉落_design!O$2,1,1)="","",OFFSET(掉落_design!$E65,0,掉落_design!O$2,1,1)&amp;";"&amp;OFFSET(掉落_design!$E65,0,掉落_design!O$2+1,1,1)&amp;";"&amp;OFFSET(掉落_design!$E65,0,掉落_design!O$2+2,1,1)&amp;";"&amp;OFFSET(掉落_design!$E65,0,掉落_design!O$2+3,1,1))</f>
        <v/>
      </c>
      <c r="Q65" s="16" t="str">
        <f ca="1">IF(OFFSET(掉落_design!$E65,0,掉落_design!P$2,1,1)="","",OFFSET(掉落_design!$E65,0,掉落_design!P$2,1,1)&amp;";"&amp;OFFSET(掉落_design!$E65,0,掉落_design!P$2+1,1,1)&amp;";"&amp;OFFSET(掉落_design!$E65,0,掉落_design!P$2+2,1,1)&amp;";"&amp;OFFSET(掉落_design!$E65,0,掉落_design!P$2+3,1,1))</f>
        <v/>
      </c>
      <c r="R65" s="16" t="str">
        <f ca="1">IF(OFFSET(掉落_design!$E65,0,掉落_design!Q$2,1,1)="","",OFFSET(掉落_design!$E65,0,掉落_design!Q$2,1,1)&amp;";"&amp;OFFSET(掉落_design!$E65,0,掉落_design!Q$2+1,1,1)&amp;";"&amp;OFFSET(掉落_design!$E65,0,掉落_design!Q$2+2,1,1)&amp;";"&amp;OFFSET(掉落_design!$E65,0,掉落_design!Q$2+3,1,1))</f>
        <v/>
      </c>
      <c r="S65" s="16" t="str">
        <f ca="1">IF(OFFSET(掉落_design!$E65,0,掉落_design!R$2,1,1)="","",OFFSET(掉落_design!$E65,0,掉落_design!R$2,1,1)&amp;";"&amp;OFFSET(掉落_design!$E65,0,掉落_design!R$2+1,1,1)&amp;";"&amp;OFFSET(掉落_design!$E65,0,掉落_design!R$2+2,1,1)&amp;";"&amp;OFFSET(掉落_design!$E65,0,掉落_design!R$2+3,1,1))</f>
        <v/>
      </c>
      <c r="T65" s="16" t="str">
        <f ca="1">IF(OFFSET(掉落_design!$E65,0,掉落_design!S$2,1,1)="","",OFFSET(掉落_design!$E65,0,掉落_design!S$2,1,1)&amp;";"&amp;OFFSET(掉落_design!$E65,0,掉落_design!S$2+1,1,1)&amp;";"&amp;OFFSET(掉落_design!$E65,0,掉落_design!S$2+2,1,1)&amp;";"&amp;OFFSET(掉落_design!$E65,0,掉落_design!S$2+3,1,1))</f>
        <v/>
      </c>
      <c r="U65" s="16" t="str">
        <f ca="1">IF(OFFSET(掉落_design!$E65,0,掉落_design!T$2,1,1)="","",OFFSET(掉落_design!$E65,0,掉落_design!T$2,1,1)&amp;";"&amp;OFFSET(掉落_design!$E65,0,掉落_design!T$2+1,1,1)&amp;";"&amp;OFFSET(掉落_design!$E65,0,掉落_design!T$2+2,1,1)&amp;";"&amp;OFFSET(掉落_design!$E65,0,掉落_design!T$2+3,1,1))</f>
        <v/>
      </c>
      <c r="V65" s="16" t="str">
        <f ca="1">IF(OFFSET(掉落_design!$E65,0,掉落_design!U$2,1,1)="","",OFFSET(掉落_design!$E65,0,掉落_design!U$2,1,1)&amp;";"&amp;OFFSET(掉落_design!$E65,0,掉落_design!U$2+1,1,1)&amp;";"&amp;OFFSET(掉落_design!$E65,0,掉落_design!U$2+2,1,1)&amp;";"&amp;OFFSET(掉落_design!$E65,0,掉落_design!U$2+3,1,1))</f>
        <v/>
      </c>
      <c r="W65" s="16" t="str">
        <f ca="1">IF(OFFSET(掉落_design!$E65,0,掉落_design!V$2,1,1)="","",OFFSET(掉落_design!$E65,0,掉落_design!V$2,1,1)&amp;";"&amp;OFFSET(掉落_design!$E65,0,掉落_design!V$2+1,1,1)&amp;";"&amp;OFFSET(掉落_design!$E65,0,掉落_design!V$2+2,1,1)&amp;";"&amp;OFFSET(掉落_design!$E65,0,掉落_design!V$2+3,1,1))</f>
        <v/>
      </c>
      <c r="X65" s="16" t="str">
        <f ca="1">IF(OFFSET(掉落_design!$E65,0,掉落_design!W$2,1,1)="","",OFFSET(掉落_design!$E65,0,掉落_design!W$2,1,1)&amp;";"&amp;OFFSET(掉落_design!$E65,0,掉落_design!W$2+1,1,1)&amp;";"&amp;OFFSET(掉落_design!$E65,0,掉落_design!W$2+2,1,1)&amp;";"&amp;OFFSET(掉落_design!$E65,0,掉落_design!W$2+3,1,1))</f>
        <v/>
      </c>
      <c r="Y65" s="16" t="str">
        <f ca="1">IF(OFFSET(掉落_design!$E65,0,掉落_design!X$2,1,1)="","",OFFSET(掉落_design!$E65,0,掉落_design!X$2,1,1)&amp;";"&amp;OFFSET(掉落_design!$E65,0,掉落_design!X$2+1,1,1)&amp;";"&amp;OFFSET(掉落_design!$E65,0,掉落_design!X$2+2,1,1)&amp;";"&amp;OFFSET(掉落_design!$E65,0,掉落_design!X$2+3,1,1))</f>
        <v/>
      </c>
    </row>
    <row r="66" spans="1:25" x14ac:dyDescent="0.15">
      <c r="A66" s="11" t="str">
        <f t="shared" ref="A66:A73" si="28">IF(D66="","","DATA")</f>
        <v>DATA</v>
      </c>
      <c r="B66" s="25"/>
      <c r="C66" s="25"/>
      <c r="D66" s="15">
        <f>IF(掉落_design!C66="","",掉落_design!C66)</f>
        <v>20601</v>
      </c>
      <c r="E66" s="15">
        <f>IF(A66="","",掉落_design!D66)</f>
        <v>2</v>
      </c>
      <c r="F66" s="16" t="str">
        <f ca="1">IF(OFFSET(掉落_design!$E66,0,掉落_design!E$2,1,1)="","",OFFSET(掉落_design!$E66,0,掉落_design!E$2,1,1)&amp;";"&amp;OFFSET(掉落_design!$E66,0,掉落_design!E$2+1,1,1)&amp;";"&amp;OFFSET(掉落_design!$E66,0,掉落_design!E$2+2,1,1)&amp;";"&amp;OFFSET(掉落_design!$E66,0,掉落_design!E$2+3,1,1))</f>
        <v>20523;1;1;1</v>
      </c>
      <c r="G66" s="16" t="str">
        <f ca="1">IF(OFFSET(掉落_design!$E66,0,掉落_design!F$2,1,1)="","",OFFSET(掉落_design!$E66,0,掉落_design!F$2,1,1)&amp;";"&amp;OFFSET(掉落_design!$E66,0,掉落_design!F$2+1,1,1)&amp;";"&amp;OFFSET(掉落_design!$E66,0,掉落_design!F$2+2,1,1)&amp;";"&amp;OFFSET(掉落_design!$E66,0,掉落_design!F$2+3,1,1))</f>
        <v>20323;1;1;1</v>
      </c>
      <c r="H66" s="16" t="str">
        <f ca="1">IF(OFFSET(掉落_design!$E66,0,掉落_design!G$2,1,1)="","",OFFSET(掉落_design!$E66,0,掉落_design!G$2,1,1)&amp;";"&amp;OFFSET(掉落_design!$E66,0,掉落_design!G$2+1,1,1)&amp;";"&amp;OFFSET(掉落_design!$E66,0,掉落_design!G$2+2,1,1)&amp;";"&amp;OFFSET(掉落_design!$E66,0,掉落_design!G$2+3,1,1))</f>
        <v>20325;1;1;1</v>
      </c>
      <c r="I66" s="16" t="str">
        <f ca="1">IF(OFFSET(掉落_design!$E66,0,掉落_design!H$2,1,1)="","",OFFSET(掉落_design!$E66,0,掉落_design!H$2,1,1)&amp;";"&amp;OFFSET(掉落_design!$E66,0,掉落_design!H$2+1,1,1)&amp;";"&amp;OFFSET(掉落_design!$E66,0,掉落_design!H$2+2,1,1)&amp;";"&amp;OFFSET(掉落_design!$E66,0,掉落_design!H$2+3,1,1))</f>
        <v>20326;1;1;1</v>
      </c>
      <c r="J66" s="16" t="str">
        <f ca="1">IF(OFFSET(掉落_design!$E66,0,掉落_design!I$2,1,1)="","",OFFSET(掉落_design!$E66,0,掉落_design!I$2,1,1)&amp;";"&amp;OFFSET(掉落_design!$E66,0,掉落_design!I$2+1,1,1)&amp;";"&amp;OFFSET(掉落_design!$E66,0,掉落_design!I$2+2,1,1)&amp;";"&amp;OFFSET(掉落_design!$E66,0,掉落_design!I$2+3,1,1))</f>
        <v>20324;1;1;1</v>
      </c>
      <c r="K66" s="16" t="str">
        <f ca="1">IF(OFFSET(掉落_design!$E66,0,掉落_design!J$2,1,1)="","",OFFSET(掉落_design!$E66,0,掉落_design!J$2,1,1)&amp;";"&amp;OFFSET(掉落_design!$E66,0,掉落_design!J$2+1,1,1)&amp;";"&amp;OFFSET(掉落_design!$E66,0,掉落_design!J$2+2,1,1)&amp;";"&amp;OFFSET(掉落_design!$E66,0,掉落_design!J$2+3,1,1))</f>
        <v>20424;1;1;1</v>
      </c>
      <c r="L66" s="16" t="str">
        <f ca="1">IF(OFFSET(掉落_design!$E66,0,掉落_design!K$2,1,1)="","",OFFSET(掉落_design!$E66,0,掉落_design!K$2,1,1)&amp;";"&amp;OFFSET(掉落_design!$E66,0,掉落_design!K$2+1,1,1)&amp;";"&amp;OFFSET(掉落_design!$E66,0,掉落_design!K$2+2,1,1)&amp;";"&amp;OFFSET(掉落_design!$E66,0,掉落_design!K$2+3,1,1))</f>
        <v>20624;1;1;1</v>
      </c>
      <c r="M66" s="16" t="str">
        <f ca="1">IF(OFFSET(掉落_design!$E66,0,掉落_design!L$2,1,1)="","",OFFSET(掉落_design!$E66,0,掉落_design!L$2,1,1)&amp;";"&amp;OFFSET(掉落_design!$E66,0,掉落_design!L$2+1,1,1)&amp;";"&amp;OFFSET(掉落_design!$E66,0,掉落_design!L$2+2,1,1)&amp;";"&amp;OFFSET(掉落_design!$E66,0,掉落_design!L$2+3,1,1))</f>
        <v>20526;1;1;1</v>
      </c>
      <c r="N66" s="16" t="str">
        <f ca="1">IF(OFFSET(掉落_design!$E66,0,掉落_design!M$2,1,1)="","",OFFSET(掉落_design!$E66,0,掉落_design!M$2,1,1)&amp;";"&amp;OFFSET(掉落_design!$E66,0,掉落_design!M$2+1,1,1)&amp;";"&amp;OFFSET(掉落_design!$E66,0,掉落_design!M$2+2,1,1)&amp;";"&amp;OFFSET(掉落_design!$E66,0,掉落_design!M$2+3,1,1))</f>
        <v>20425;1;1;1</v>
      </c>
      <c r="O66" s="16" t="str">
        <f ca="1">IF(OFFSET(掉落_design!$E66,0,掉落_design!N$2,1,1)="","",OFFSET(掉落_design!$E66,0,掉落_design!N$2,1,1)&amp;";"&amp;OFFSET(掉落_design!$E66,0,掉落_design!N$2+1,1,1)&amp;";"&amp;OFFSET(掉落_design!$E66,0,掉落_design!N$2+2,1,1)&amp;";"&amp;OFFSET(掉落_design!$E66,0,掉落_design!N$2+3,1,1))</f>
        <v>20524;1;1;1</v>
      </c>
      <c r="P66" s="16" t="str">
        <f ca="1">IF(OFFSET(掉落_design!$E66,0,掉落_design!O$2,1,1)="","",OFFSET(掉落_design!$E66,0,掉落_design!O$2,1,1)&amp;";"&amp;OFFSET(掉落_design!$E66,0,掉落_design!O$2+1,1,1)&amp;";"&amp;OFFSET(掉落_design!$E66,0,掉落_design!O$2+2,1,1)&amp;";"&amp;OFFSET(掉落_design!$E66,0,掉落_design!O$2+3,1,1))</f>
        <v>1001;300;350;20</v>
      </c>
      <c r="Q66" s="16" t="str">
        <f ca="1">IF(OFFSET(掉落_design!$E66,0,掉落_design!P$2,1,1)="","",OFFSET(掉落_design!$E66,0,掉落_design!P$2,1,1)&amp;";"&amp;OFFSET(掉落_design!$E66,0,掉落_design!P$2+1,1,1)&amp;";"&amp;OFFSET(掉落_design!$E66,0,掉落_design!P$2+2,1,1)&amp;";"&amp;OFFSET(掉落_design!$E66,0,掉落_design!P$2+3,1,1))</f>
        <v/>
      </c>
      <c r="R66" s="16" t="str">
        <f ca="1">IF(OFFSET(掉落_design!$E66,0,掉落_design!Q$2,1,1)="","",OFFSET(掉落_design!$E66,0,掉落_design!Q$2,1,1)&amp;";"&amp;OFFSET(掉落_design!$E66,0,掉落_design!Q$2+1,1,1)&amp;";"&amp;OFFSET(掉落_design!$E66,0,掉落_design!Q$2+2,1,1)&amp;";"&amp;OFFSET(掉落_design!$E66,0,掉落_design!Q$2+3,1,1))</f>
        <v/>
      </c>
      <c r="S66" s="16" t="str">
        <f ca="1">IF(OFFSET(掉落_design!$E66,0,掉落_design!R$2,1,1)="","",OFFSET(掉落_design!$E66,0,掉落_design!R$2,1,1)&amp;";"&amp;OFFSET(掉落_design!$E66,0,掉落_design!R$2+1,1,1)&amp;";"&amp;OFFSET(掉落_design!$E66,0,掉落_design!R$2+2,1,1)&amp;";"&amp;OFFSET(掉落_design!$E66,0,掉落_design!R$2+3,1,1))</f>
        <v/>
      </c>
      <c r="T66" s="16" t="str">
        <f ca="1">IF(OFFSET(掉落_design!$E66,0,掉落_design!S$2,1,1)="","",OFFSET(掉落_design!$E66,0,掉落_design!S$2,1,1)&amp;";"&amp;OFFSET(掉落_design!$E66,0,掉落_design!S$2+1,1,1)&amp;";"&amp;OFFSET(掉落_design!$E66,0,掉落_design!S$2+2,1,1)&amp;";"&amp;OFFSET(掉落_design!$E66,0,掉落_design!S$2+3,1,1))</f>
        <v/>
      </c>
      <c r="U66" s="16" t="str">
        <f ca="1">IF(OFFSET(掉落_design!$E66,0,掉落_design!T$2,1,1)="","",OFFSET(掉落_design!$E66,0,掉落_design!T$2,1,1)&amp;";"&amp;OFFSET(掉落_design!$E66,0,掉落_design!T$2+1,1,1)&amp;";"&amp;OFFSET(掉落_design!$E66,0,掉落_design!T$2+2,1,1)&amp;";"&amp;OFFSET(掉落_design!$E66,0,掉落_design!T$2+3,1,1))</f>
        <v/>
      </c>
      <c r="V66" s="16" t="str">
        <f ca="1">IF(OFFSET(掉落_design!$E66,0,掉落_design!U$2,1,1)="","",OFFSET(掉落_design!$E66,0,掉落_design!U$2,1,1)&amp;";"&amp;OFFSET(掉落_design!$E66,0,掉落_design!U$2+1,1,1)&amp;";"&amp;OFFSET(掉落_design!$E66,0,掉落_design!U$2+2,1,1)&amp;";"&amp;OFFSET(掉落_design!$E66,0,掉落_design!U$2+3,1,1))</f>
        <v/>
      </c>
      <c r="W66" s="16" t="str">
        <f ca="1">IF(OFFSET(掉落_design!$E66,0,掉落_design!V$2,1,1)="","",OFFSET(掉落_design!$E66,0,掉落_design!V$2,1,1)&amp;";"&amp;OFFSET(掉落_design!$E66,0,掉落_design!V$2+1,1,1)&amp;";"&amp;OFFSET(掉落_design!$E66,0,掉落_design!V$2+2,1,1)&amp;";"&amp;OFFSET(掉落_design!$E66,0,掉落_design!V$2+3,1,1))</f>
        <v/>
      </c>
      <c r="X66" s="16" t="str">
        <f ca="1">IF(OFFSET(掉落_design!$E66,0,掉落_design!W$2,1,1)="","",OFFSET(掉落_design!$E66,0,掉落_design!W$2,1,1)&amp;";"&amp;OFFSET(掉落_design!$E66,0,掉落_design!W$2+1,1,1)&amp;";"&amp;OFFSET(掉落_design!$E66,0,掉落_design!W$2+2,1,1)&amp;";"&amp;OFFSET(掉落_design!$E66,0,掉落_design!W$2+3,1,1))</f>
        <v/>
      </c>
      <c r="Y66" s="16" t="str">
        <f ca="1">IF(OFFSET(掉落_design!$E66,0,掉落_design!X$2,1,1)="","",OFFSET(掉落_design!$E66,0,掉落_design!X$2,1,1)&amp;";"&amp;OFFSET(掉落_design!$E66,0,掉落_design!X$2+1,1,1)&amp;";"&amp;OFFSET(掉落_design!$E66,0,掉落_design!X$2+2,1,1)&amp;";"&amp;OFFSET(掉落_design!$E66,0,掉落_design!X$2+3,1,1))</f>
        <v/>
      </c>
    </row>
    <row r="67" spans="1:25" x14ac:dyDescent="0.15">
      <c r="A67" s="11" t="str">
        <f t="shared" si="28"/>
        <v/>
      </c>
      <c r="B67" s="25"/>
      <c r="C67" s="25"/>
      <c r="D67" s="15" t="str">
        <f>IF(掉落_design!C67="","",掉落_design!C67)</f>
        <v/>
      </c>
      <c r="E67" s="15" t="str">
        <f>IF(A67="","",掉落_design!D67)</f>
        <v/>
      </c>
      <c r="F67" s="16" t="str">
        <f ca="1">IF(OFFSET(掉落_design!$E67,0,掉落_design!E$2,1,1)="","",OFFSET(掉落_design!$E67,0,掉落_design!E$2,1,1)&amp;";"&amp;OFFSET(掉落_design!$E67,0,掉落_design!E$2+1,1,1)&amp;";"&amp;OFFSET(掉落_design!$E67,0,掉落_design!E$2+2,1,1)&amp;";"&amp;OFFSET(掉落_design!$E67,0,掉落_design!E$2+3,1,1))</f>
        <v/>
      </c>
      <c r="G67" s="16" t="str">
        <f ca="1">IF(OFFSET(掉落_design!$E67,0,掉落_design!F$2,1,1)="","",OFFSET(掉落_design!$E67,0,掉落_design!F$2,1,1)&amp;";"&amp;OFFSET(掉落_design!$E67,0,掉落_design!F$2+1,1,1)&amp;";"&amp;OFFSET(掉落_design!$E67,0,掉落_design!F$2+2,1,1)&amp;";"&amp;OFFSET(掉落_design!$E67,0,掉落_design!F$2+3,1,1))</f>
        <v/>
      </c>
      <c r="H67" s="16" t="str">
        <f ca="1">IF(OFFSET(掉落_design!$E67,0,掉落_design!G$2,1,1)="","",OFFSET(掉落_design!$E67,0,掉落_design!G$2,1,1)&amp;";"&amp;OFFSET(掉落_design!$E67,0,掉落_design!G$2+1,1,1)&amp;";"&amp;OFFSET(掉落_design!$E67,0,掉落_design!G$2+2,1,1)&amp;";"&amp;OFFSET(掉落_design!$E67,0,掉落_design!G$2+3,1,1))</f>
        <v/>
      </c>
      <c r="I67" s="16" t="str">
        <f ca="1">IF(OFFSET(掉落_design!$E67,0,掉落_design!H$2,1,1)="","",OFFSET(掉落_design!$E67,0,掉落_design!H$2,1,1)&amp;";"&amp;OFFSET(掉落_design!$E67,0,掉落_design!H$2+1,1,1)&amp;";"&amp;OFFSET(掉落_design!$E67,0,掉落_design!H$2+2,1,1)&amp;";"&amp;OFFSET(掉落_design!$E67,0,掉落_design!H$2+3,1,1))</f>
        <v/>
      </c>
      <c r="J67" s="16" t="str">
        <f ca="1">IF(OFFSET(掉落_design!$E67,0,掉落_design!I$2,1,1)="","",OFFSET(掉落_design!$E67,0,掉落_design!I$2,1,1)&amp;";"&amp;OFFSET(掉落_design!$E67,0,掉落_design!I$2+1,1,1)&amp;";"&amp;OFFSET(掉落_design!$E67,0,掉落_design!I$2+2,1,1)&amp;";"&amp;OFFSET(掉落_design!$E67,0,掉落_design!I$2+3,1,1))</f>
        <v/>
      </c>
      <c r="K67" s="16" t="str">
        <f ca="1">IF(OFFSET(掉落_design!$E67,0,掉落_design!J$2,1,1)="","",OFFSET(掉落_design!$E67,0,掉落_design!J$2,1,1)&amp;";"&amp;OFFSET(掉落_design!$E67,0,掉落_design!J$2+1,1,1)&amp;";"&amp;OFFSET(掉落_design!$E67,0,掉落_design!J$2+2,1,1)&amp;";"&amp;OFFSET(掉落_design!$E67,0,掉落_design!J$2+3,1,1))</f>
        <v/>
      </c>
      <c r="L67" s="16" t="str">
        <f ca="1">IF(OFFSET(掉落_design!$E67,0,掉落_design!K$2,1,1)="","",OFFSET(掉落_design!$E67,0,掉落_design!K$2,1,1)&amp;";"&amp;OFFSET(掉落_design!$E67,0,掉落_design!K$2+1,1,1)&amp;";"&amp;OFFSET(掉落_design!$E67,0,掉落_design!K$2+2,1,1)&amp;";"&amp;OFFSET(掉落_design!$E67,0,掉落_design!K$2+3,1,1))</f>
        <v/>
      </c>
      <c r="M67" s="16" t="str">
        <f ca="1">IF(OFFSET(掉落_design!$E67,0,掉落_design!L$2,1,1)="","",OFFSET(掉落_design!$E67,0,掉落_design!L$2,1,1)&amp;";"&amp;OFFSET(掉落_design!$E67,0,掉落_design!L$2+1,1,1)&amp;";"&amp;OFFSET(掉落_design!$E67,0,掉落_design!L$2+2,1,1)&amp;";"&amp;OFFSET(掉落_design!$E67,0,掉落_design!L$2+3,1,1))</f>
        <v/>
      </c>
      <c r="N67" s="16" t="str">
        <f ca="1">IF(OFFSET(掉落_design!$E67,0,掉落_design!M$2,1,1)="","",OFFSET(掉落_design!$E67,0,掉落_design!M$2,1,1)&amp;";"&amp;OFFSET(掉落_design!$E67,0,掉落_design!M$2+1,1,1)&amp;";"&amp;OFFSET(掉落_design!$E67,0,掉落_design!M$2+2,1,1)&amp;";"&amp;OFFSET(掉落_design!$E67,0,掉落_design!M$2+3,1,1))</f>
        <v/>
      </c>
      <c r="O67" s="16" t="str">
        <f ca="1">IF(OFFSET(掉落_design!$E67,0,掉落_design!N$2,1,1)="","",OFFSET(掉落_design!$E67,0,掉落_design!N$2,1,1)&amp;";"&amp;OFFSET(掉落_design!$E67,0,掉落_design!N$2+1,1,1)&amp;";"&amp;OFFSET(掉落_design!$E67,0,掉落_design!N$2+2,1,1)&amp;";"&amp;OFFSET(掉落_design!$E67,0,掉落_design!N$2+3,1,1))</f>
        <v/>
      </c>
      <c r="P67" s="16" t="str">
        <f ca="1">IF(OFFSET(掉落_design!$E67,0,掉落_design!O$2,1,1)="","",OFFSET(掉落_design!$E67,0,掉落_design!O$2,1,1)&amp;";"&amp;OFFSET(掉落_design!$E67,0,掉落_design!O$2+1,1,1)&amp;";"&amp;OFFSET(掉落_design!$E67,0,掉落_design!O$2+2,1,1)&amp;";"&amp;OFFSET(掉落_design!$E67,0,掉落_design!O$2+3,1,1))</f>
        <v/>
      </c>
      <c r="Q67" s="16" t="str">
        <f ca="1">IF(OFFSET(掉落_design!$E67,0,掉落_design!P$2,1,1)="","",OFFSET(掉落_design!$E67,0,掉落_design!P$2,1,1)&amp;";"&amp;OFFSET(掉落_design!$E67,0,掉落_design!P$2+1,1,1)&amp;";"&amp;OFFSET(掉落_design!$E67,0,掉落_design!P$2+2,1,1)&amp;";"&amp;OFFSET(掉落_design!$E67,0,掉落_design!P$2+3,1,1))</f>
        <v/>
      </c>
      <c r="R67" s="16" t="str">
        <f ca="1">IF(OFFSET(掉落_design!$E67,0,掉落_design!Q$2,1,1)="","",OFFSET(掉落_design!$E67,0,掉落_design!Q$2,1,1)&amp;";"&amp;OFFSET(掉落_design!$E67,0,掉落_design!Q$2+1,1,1)&amp;";"&amp;OFFSET(掉落_design!$E67,0,掉落_design!Q$2+2,1,1)&amp;";"&amp;OFFSET(掉落_design!$E67,0,掉落_design!Q$2+3,1,1))</f>
        <v/>
      </c>
      <c r="S67" s="16" t="str">
        <f ca="1">IF(OFFSET(掉落_design!$E67,0,掉落_design!R$2,1,1)="","",OFFSET(掉落_design!$E67,0,掉落_design!R$2,1,1)&amp;";"&amp;OFFSET(掉落_design!$E67,0,掉落_design!R$2+1,1,1)&amp;";"&amp;OFFSET(掉落_design!$E67,0,掉落_design!R$2+2,1,1)&amp;";"&amp;OFFSET(掉落_design!$E67,0,掉落_design!R$2+3,1,1))</f>
        <v/>
      </c>
      <c r="T67" s="16" t="str">
        <f ca="1">IF(OFFSET(掉落_design!$E67,0,掉落_design!S$2,1,1)="","",OFFSET(掉落_design!$E67,0,掉落_design!S$2,1,1)&amp;";"&amp;OFFSET(掉落_design!$E67,0,掉落_design!S$2+1,1,1)&amp;";"&amp;OFFSET(掉落_design!$E67,0,掉落_design!S$2+2,1,1)&amp;";"&amp;OFFSET(掉落_design!$E67,0,掉落_design!S$2+3,1,1))</f>
        <v/>
      </c>
      <c r="U67" s="16" t="str">
        <f ca="1">IF(OFFSET(掉落_design!$E67,0,掉落_design!T$2,1,1)="","",OFFSET(掉落_design!$E67,0,掉落_design!T$2,1,1)&amp;";"&amp;OFFSET(掉落_design!$E67,0,掉落_design!T$2+1,1,1)&amp;";"&amp;OFFSET(掉落_design!$E67,0,掉落_design!T$2+2,1,1)&amp;";"&amp;OFFSET(掉落_design!$E67,0,掉落_design!T$2+3,1,1))</f>
        <v/>
      </c>
      <c r="V67" s="16" t="str">
        <f ca="1">IF(OFFSET(掉落_design!$E67,0,掉落_design!U$2,1,1)="","",OFFSET(掉落_design!$E67,0,掉落_design!U$2,1,1)&amp;";"&amp;OFFSET(掉落_design!$E67,0,掉落_design!U$2+1,1,1)&amp;";"&amp;OFFSET(掉落_design!$E67,0,掉落_design!U$2+2,1,1)&amp;";"&amp;OFFSET(掉落_design!$E67,0,掉落_design!U$2+3,1,1))</f>
        <v/>
      </c>
      <c r="W67" s="16" t="str">
        <f ca="1">IF(OFFSET(掉落_design!$E67,0,掉落_design!V$2,1,1)="","",OFFSET(掉落_design!$E67,0,掉落_design!V$2,1,1)&amp;";"&amp;OFFSET(掉落_design!$E67,0,掉落_design!V$2+1,1,1)&amp;";"&amp;OFFSET(掉落_design!$E67,0,掉落_design!V$2+2,1,1)&amp;";"&amp;OFFSET(掉落_design!$E67,0,掉落_design!V$2+3,1,1))</f>
        <v/>
      </c>
      <c r="X67" s="16" t="str">
        <f ca="1">IF(OFFSET(掉落_design!$E67,0,掉落_design!W$2,1,1)="","",OFFSET(掉落_design!$E67,0,掉落_design!W$2,1,1)&amp;";"&amp;OFFSET(掉落_design!$E67,0,掉落_design!W$2+1,1,1)&amp;";"&amp;OFFSET(掉落_design!$E67,0,掉落_design!W$2+2,1,1)&amp;";"&amp;OFFSET(掉落_design!$E67,0,掉落_design!W$2+3,1,1))</f>
        <v/>
      </c>
      <c r="Y67" s="16" t="str">
        <f ca="1">IF(OFFSET(掉落_design!$E67,0,掉落_design!X$2,1,1)="","",OFFSET(掉落_design!$E67,0,掉落_design!X$2,1,1)&amp;";"&amp;OFFSET(掉落_design!$E67,0,掉落_design!X$2+1,1,1)&amp;";"&amp;OFFSET(掉落_design!$E67,0,掉落_design!X$2+2,1,1)&amp;";"&amp;OFFSET(掉落_design!$E67,0,掉落_design!X$2+3,1,1))</f>
        <v/>
      </c>
    </row>
    <row r="68" spans="1:25" x14ac:dyDescent="0.15">
      <c r="A68" s="11" t="str">
        <f t="shared" si="28"/>
        <v>DATA</v>
      </c>
      <c r="B68" s="25"/>
      <c r="C68" s="25"/>
      <c r="D68" s="15">
        <f>IF(掉落_design!C68="","",掉落_design!C68)</f>
        <v>20700</v>
      </c>
      <c r="E68" s="15">
        <f>IF(A68="","",掉落_design!D68)</f>
        <v>1</v>
      </c>
      <c r="F68" s="16" t="str">
        <f ca="1">IF(OFFSET(掉落_design!$E68,0,掉落_design!E$2,1,1)="","",OFFSET(掉落_design!$E68,0,掉落_design!E$2,1,1)&amp;";"&amp;OFFSET(掉落_design!$E68,0,掉落_design!E$2+1,1,1)&amp;";"&amp;OFFSET(掉落_design!$E68,0,掉落_design!E$2+2,1,1)&amp;";"&amp;OFFSET(掉落_design!$E68,0,掉落_design!E$2+3,1,1))</f>
        <v>1001;80;100;1000</v>
      </c>
      <c r="G68" s="16" t="str">
        <f ca="1">IF(OFFSET(掉落_design!$E68,0,掉落_design!F$2,1,1)="","",OFFSET(掉落_design!$E68,0,掉落_design!F$2,1,1)&amp;";"&amp;OFFSET(掉落_design!$E68,0,掉落_design!F$2+1,1,1)&amp;";"&amp;OFFSET(掉落_design!$E68,0,掉落_design!F$2+2,1,1)&amp;";"&amp;OFFSET(掉落_design!$E68,0,掉落_design!F$2+3,1,1))</f>
        <v>1204;1;1;1000</v>
      </c>
      <c r="H68" s="16" t="str">
        <f ca="1">IF(OFFSET(掉落_design!$E68,0,掉落_design!G$2,1,1)="","",OFFSET(掉落_design!$E68,0,掉落_design!G$2,1,1)&amp;";"&amp;OFFSET(掉落_design!$E68,0,掉落_design!G$2+1,1,1)&amp;";"&amp;OFFSET(掉落_design!$E68,0,掉落_design!G$2+2,1,1)&amp;";"&amp;OFFSET(掉落_design!$E68,0,掉落_design!G$2+3,1,1))</f>
        <v/>
      </c>
      <c r="I68" s="16" t="str">
        <f ca="1">IF(OFFSET(掉落_design!$E68,0,掉落_design!H$2,1,1)="","",OFFSET(掉落_design!$E68,0,掉落_design!H$2,1,1)&amp;";"&amp;OFFSET(掉落_design!$E68,0,掉落_design!H$2+1,1,1)&amp;";"&amp;OFFSET(掉落_design!$E68,0,掉落_design!H$2+2,1,1)&amp;";"&amp;OFFSET(掉落_design!$E68,0,掉落_design!H$2+3,1,1))</f>
        <v/>
      </c>
      <c r="J68" s="16" t="str">
        <f ca="1">IF(OFFSET(掉落_design!$E68,0,掉落_design!I$2,1,1)="","",OFFSET(掉落_design!$E68,0,掉落_design!I$2,1,1)&amp;";"&amp;OFFSET(掉落_design!$E68,0,掉落_design!I$2+1,1,1)&amp;";"&amp;OFFSET(掉落_design!$E68,0,掉落_design!I$2+2,1,1)&amp;";"&amp;OFFSET(掉落_design!$E68,0,掉落_design!I$2+3,1,1))</f>
        <v/>
      </c>
      <c r="K68" s="16" t="str">
        <f ca="1">IF(OFFSET(掉落_design!$E68,0,掉落_design!J$2,1,1)="","",OFFSET(掉落_design!$E68,0,掉落_design!J$2,1,1)&amp;";"&amp;OFFSET(掉落_design!$E68,0,掉落_design!J$2+1,1,1)&amp;";"&amp;OFFSET(掉落_design!$E68,0,掉落_design!J$2+2,1,1)&amp;";"&amp;OFFSET(掉落_design!$E68,0,掉落_design!J$2+3,1,1))</f>
        <v/>
      </c>
      <c r="L68" s="16" t="str">
        <f ca="1">IF(OFFSET(掉落_design!$E68,0,掉落_design!K$2,1,1)="","",OFFSET(掉落_design!$E68,0,掉落_design!K$2,1,1)&amp;";"&amp;OFFSET(掉落_design!$E68,0,掉落_design!K$2+1,1,1)&amp;";"&amp;OFFSET(掉落_design!$E68,0,掉落_design!K$2+2,1,1)&amp;";"&amp;OFFSET(掉落_design!$E68,0,掉落_design!K$2+3,1,1))</f>
        <v/>
      </c>
      <c r="M68" s="16" t="str">
        <f ca="1">IF(OFFSET(掉落_design!$E68,0,掉落_design!L$2,1,1)="","",OFFSET(掉落_design!$E68,0,掉落_design!L$2,1,1)&amp;";"&amp;OFFSET(掉落_design!$E68,0,掉落_design!L$2+1,1,1)&amp;";"&amp;OFFSET(掉落_design!$E68,0,掉落_design!L$2+2,1,1)&amp;";"&amp;OFFSET(掉落_design!$E68,0,掉落_design!L$2+3,1,1))</f>
        <v/>
      </c>
      <c r="N68" s="16" t="str">
        <f ca="1">IF(OFFSET(掉落_design!$E68,0,掉落_design!M$2,1,1)="","",OFFSET(掉落_design!$E68,0,掉落_design!M$2,1,1)&amp;";"&amp;OFFSET(掉落_design!$E68,0,掉落_design!M$2+1,1,1)&amp;";"&amp;OFFSET(掉落_design!$E68,0,掉落_design!M$2+2,1,1)&amp;";"&amp;OFFSET(掉落_design!$E68,0,掉落_design!M$2+3,1,1))</f>
        <v/>
      </c>
      <c r="O68" s="16" t="str">
        <f ca="1">IF(OFFSET(掉落_design!$E68,0,掉落_design!N$2,1,1)="","",OFFSET(掉落_design!$E68,0,掉落_design!N$2,1,1)&amp;";"&amp;OFFSET(掉落_design!$E68,0,掉落_design!N$2+1,1,1)&amp;";"&amp;OFFSET(掉落_design!$E68,0,掉落_design!N$2+2,1,1)&amp;";"&amp;OFFSET(掉落_design!$E68,0,掉落_design!N$2+3,1,1))</f>
        <v/>
      </c>
      <c r="P68" s="16" t="str">
        <f ca="1">IF(OFFSET(掉落_design!$E68,0,掉落_design!O$2,1,1)="","",OFFSET(掉落_design!$E68,0,掉落_design!O$2,1,1)&amp;";"&amp;OFFSET(掉落_design!$E68,0,掉落_design!O$2+1,1,1)&amp;";"&amp;OFFSET(掉落_design!$E68,0,掉落_design!O$2+2,1,1)&amp;";"&amp;OFFSET(掉落_design!$E68,0,掉落_design!O$2+3,1,1))</f>
        <v/>
      </c>
      <c r="Q68" s="16" t="str">
        <f ca="1">IF(OFFSET(掉落_design!$E68,0,掉落_design!P$2,1,1)="","",OFFSET(掉落_design!$E68,0,掉落_design!P$2,1,1)&amp;";"&amp;OFFSET(掉落_design!$E68,0,掉落_design!P$2+1,1,1)&amp;";"&amp;OFFSET(掉落_design!$E68,0,掉落_design!P$2+2,1,1)&amp;";"&amp;OFFSET(掉落_design!$E68,0,掉落_design!P$2+3,1,1))</f>
        <v/>
      </c>
      <c r="R68" s="16" t="str">
        <f ca="1">IF(OFFSET(掉落_design!$E68,0,掉落_design!Q$2,1,1)="","",OFFSET(掉落_design!$E68,0,掉落_design!Q$2,1,1)&amp;";"&amp;OFFSET(掉落_design!$E68,0,掉落_design!Q$2+1,1,1)&amp;";"&amp;OFFSET(掉落_design!$E68,0,掉落_design!Q$2+2,1,1)&amp;";"&amp;OFFSET(掉落_design!$E68,0,掉落_design!Q$2+3,1,1))</f>
        <v/>
      </c>
      <c r="S68" s="16" t="str">
        <f ca="1">IF(OFFSET(掉落_design!$E68,0,掉落_design!R$2,1,1)="","",OFFSET(掉落_design!$E68,0,掉落_design!R$2,1,1)&amp;";"&amp;OFFSET(掉落_design!$E68,0,掉落_design!R$2+1,1,1)&amp;";"&amp;OFFSET(掉落_design!$E68,0,掉落_design!R$2+2,1,1)&amp;";"&amp;OFFSET(掉落_design!$E68,0,掉落_design!R$2+3,1,1))</f>
        <v/>
      </c>
      <c r="T68" s="16" t="str">
        <f ca="1">IF(OFFSET(掉落_design!$E68,0,掉落_design!S$2,1,1)="","",OFFSET(掉落_design!$E68,0,掉落_design!S$2,1,1)&amp;";"&amp;OFFSET(掉落_design!$E68,0,掉落_design!S$2+1,1,1)&amp;";"&amp;OFFSET(掉落_design!$E68,0,掉落_design!S$2+2,1,1)&amp;";"&amp;OFFSET(掉落_design!$E68,0,掉落_design!S$2+3,1,1))</f>
        <v/>
      </c>
      <c r="U68" s="16" t="str">
        <f ca="1">IF(OFFSET(掉落_design!$E68,0,掉落_design!T$2,1,1)="","",OFFSET(掉落_design!$E68,0,掉落_design!T$2,1,1)&amp;";"&amp;OFFSET(掉落_design!$E68,0,掉落_design!T$2+1,1,1)&amp;";"&amp;OFFSET(掉落_design!$E68,0,掉落_design!T$2+2,1,1)&amp;";"&amp;OFFSET(掉落_design!$E68,0,掉落_design!T$2+3,1,1))</f>
        <v/>
      </c>
      <c r="V68" s="16" t="str">
        <f ca="1">IF(OFFSET(掉落_design!$E68,0,掉落_design!U$2,1,1)="","",OFFSET(掉落_design!$E68,0,掉落_design!U$2,1,1)&amp;";"&amp;OFFSET(掉落_design!$E68,0,掉落_design!U$2+1,1,1)&amp;";"&amp;OFFSET(掉落_design!$E68,0,掉落_design!U$2+2,1,1)&amp;";"&amp;OFFSET(掉落_design!$E68,0,掉落_design!U$2+3,1,1))</f>
        <v/>
      </c>
      <c r="W68" s="16" t="str">
        <f ca="1">IF(OFFSET(掉落_design!$E68,0,掉落_design!V$2,1,1)="","",OFFSET(掉落_design!$E68,0,掉落_design!V$2,1,1)&amp;";"&amp;OFFSET(掉落_design!$E68,0,掉落_design!V$2+1,1,1)&amp;";"&amp;OFFSET(掉落_design!$E68,0,掉落_design!V$2+2,1,1)&amp;";"&amp;OFFSET(掉落_design!$E68,0,掉落_design!V$2+3,1,1))</f>
        <v/>
      </c>
      <c r="X68" s="16" t="str">
        <f ca="1">IF(OFFSET(掉落_design!$E68,0,掉落_design!W$2,1,1)="","",OFFSET(掉落_design!$E68,0,掉落_design!W$2,1,1)&amp;";"&amp;OFFSET(掉落_design!$E68,0,掉落_design!W$2+1,1,1)&amp;";"&amp;OFFSET(掉落_design!$E68,0,掉落_design!W$2+2,1,1)&amp;";"&amp;OFFSET(掉落_design!$E68,0,掉落_design!W$2+3,1,1))</f>
        <v/>
      </c>
      <c r="Y68" s="16" t="str">
        <f ca="1">IF(OFFSET(掉落_design!$E68,0,掉落_design!X$2,1,1)="","",OFFSET(掉落_design!$E68,0,掉落_design!X$2,1,1)&amp;";"&amp;OFFSET(掉落_design!$E68,0,掉落_design!X$2+1,1,1)&amp;";"&amp;OFFSET(掉落_design!$E68,0,掉落_design!X$2+2,1,1)&amp;";"&amp;OFFSET(掉落_design!$E68,0,掉落_design!X$2+3,1,1))</f>
        <v/>
      </c>
    </row>
    <row r="69" spans="1:25" x14ac:dyDescent="0.15">
      <c r="A69" s="11" t="str">
        <f t="shared" si="28"/>
        <v>DATA</v>
      </c>
      <c r="B69" s="25"/>
      <c r="C69" s="25"/>
      <c r="D69" s="15">
        <f>IF(掉落_design!C69="","",掉落_design!C69)</f>
        <v>20701</v>
      </c>
      <c r="E69" s="15">
        <f>IF(A69="","",掉落_design!D69)</f>
        <v>2</v>
      </c>
      <c r="F69" s="16" t="str">
        <f ca="1">IF(OFFSET(掉落_design!$E69,0,掉落_design!E$2,1,1)="","",OFFSET(掉落_design!$E69,0,掉落_design!E$2,1,1)&amp;";"&amp;OFFSET(掉落_design!$E69,0,掉落_design!E$2+1,1,1)&amp;";"&amp;OFFSET(掉落_design!$E69,0,掉落_design!E$2+2,1,1)&amp;";"&amp;OFFSET(掉落_design!$E69,0,掉落_design!E$2+3,1,1))</f>
        <v>430;1;1;1</v>
      </c>
      <c r="G69" s="16" t="str">
        <f ca="1">IF(OFFSET(掉落_design!$E69,0,掉落_design!F$2,1,1)="","",OFFSET(掉落_design!$E69,0,掉落_design!F$2,1,1)&amp;";"&amp;OFFSET(掉落_design!$E69,0,掉落_design!F$2+1,1,1)&amp;";"&amp;OFFSET(掉落_design!$E69,0,掉落_design!F$2+2,1,1)&amp;";"&amp;OFFSET(掉落_design!$E69,0,掉落_design!F$2+3,1,1))</f>
        <v>330;1;1;1</v>
      </c>
      <c r="H69" s="16" t="str">
        <f ca="1">IF(OFFSET(掉落_design!$E69,0,掉落_design!G$2,1,1)="","",OFFSET(掉落_design!$E69,0,掉落_design!G$2,1,1)&amp;";"&amp;OFFSET(掉落_design!$E69,0,掉落_design!G$2+1,1,1)&amp;";"&amp;OFFSET(掉落_design!$E69,0,掉落_design!G$2+2,1,1)&amp;";"&amp;OFFSET(掉落_design!$E69,0,掉落_design!G$2+3,1,1))</f>
        <v>630;1;1;1</v>
      </c>
      <c r="I69" s="16" t="str">
        <f ca="1">IF(OFFSET(掉落_design!$E69,0,掉落_design!H$2,1,1)="","",OFFSET(掉落_design!$E69,0,掉落_design!H$2,1,1)&amp;";"&amp;OFFSET(掉落_design!$E69,0,掉落_design!H$2+1,1,1)&amp;";"&amp;OFFSET(掉落_design!$E69,0,掉落_design!H$2+2,1,1)&amp;";"&amp;OFFSET(掉落_design!$E69,0,掉落_design!H$2+3,1,1))</f>
        <v>330;1;1;1</v>
      </c>
      <c r="J69" s="16" t="str">
        <f ca="1">IF(OFFSET(掉落_design!$E69,0,掉落_design!I$2,1,1)="","",OFFSET(掉落_design!$E69,0,掉落_design!I$2,1,1)&amp;";"&amp;OFFSET(掉落_design!$E69,0,掉落_design!I$2+1,1,1)&amp;";"&amp;OFFSET(掉落_design!$E69,0,掉落_design!I$2+2,1,1)&amp;";"&amp;OFFSET(掉落_design!$E69,0,掉落_design!I$2+3,1,1))</f>
        <v>330;1;1;1</v>
      </c>
      <c r="K69" s="16" t="str">
        <f ca="1">IF(OFFSET(掉落_design!$E69,0,掉落_design!J$2,1,1)="","",OFFSET(掉落_design!$E69,0,掉落_design!J$2,1,1)&amp;";"&amp;OFFSET(掉落_design!$E69,0,掉落_design!J$2+1,1,1)&amp;";"&amp;OFFSET(掉落_design!$E69,0,掉落_design!J$2+2,1,1)&amp;";"&amp;OFFSET(掉落_design!$E69,0,掉落_design!J$2+3,1,1))</f>
        <v>530;1;1;1</v>
      </c>
      <c r="L69" s="16" t="str">
        <f ca="1">IF(OFFSET(掉落_design!$E69,0,掉落_design!K$2,1,1)="","",OFFSET(掉落_design!$E69,0,掉落_design!K$2,1,1)&amp;";"&amp;OFFSET(掉落_design!$E69,0,掉落_design!K$2+1,1,1)&amp;";"&amp;OFFSET(掉落_design!$E69,0,掉落_design!K$2+2,1,1)&amp;";"&amp;OFFSET(掉落_design!$E69,0,掉落_design!K$2+3,1,1))</f>
        <v>430;1;1;1</v>
      </c>
      <c r="M69" s="16" t="str">
        <f ca="1">IF(OFFSET(掉落_design!$E69,0,掉落_design!L$2,1,1)="","",OFFSET(掉落_design!$E69,0,掉落_design!L$2,1,1)&amp;";"&amp;OFFSET(掉落_design!$E69,0,掉落_design!L$2+1,1,1)&amp;";"&amp;OFFSET(掉落_design!$E69,0,掉落_design!L$2+2,1,1)&amp;";"&amp;OFFSET(掉落_design!$E69,0,掉落_design!L$2+3,1,1))</f>
        <v>330;1;1;1</v>
      </c>
      <c r="N69" s="16" t="str">
        <f ca="1">IF(OFFSET(掉落_design!$E69,0,掉落_design!M$2,1,1)="","",OFFSET(掉落_design!$E69,0,掉落_design!M$2,1,1)&amp;";"&amp;OFFSET(掉落_design!$E69,0,掉落_design!M$2+1,1,1)&amp;";"&amp;OFFSET(掉落_design!$E69,0,掉落_design!M$2+2,1,1)&amp;";"&amp;OFFSET(掉落_design!$E69,0,掉落_design!M$2+3,1,1))</f>
        <v>330;1;1;1</v>
      </c>
      <c r="O69" s="16" t="str">
        <f ca="1">IF(OFFSET(掉落_design!$E69,0,掉落_design!N$2,1,1)="","",OFFSET(掉落_design!$E69,0,掉落_design!N$2,1,1)&amp;";"&amp;OFFSET(掉落_design!$E69,0,掉落_design!N$2+1,1,1)&amp;";"&amp;OFFSET(掉落_design!$E69,0,掉落_design!N$2+2,1,1)&amp;";"&amp;OFFSET(掉落_design!$E69,0,掉落_design!N$2+3,1,1))</f>
        <v>630;1;1;1</v>
      </c>
      <c r="P69" s="16" t="str">
        <f ca="1">IF(OFFSET(掉落_design!$E69,0,掉落_design!O$2,1,1)="","",OFFSET(掉落_design!$E69,0,掉落_design!O$2,1,1)&amp;";"&amp;OFFSET(掉落_design!$E69,0,掉落_design!O$2+1,1,1)&amp;";"&amp;OFFSET(掉落_design!$E69,0,掉落_design!O$2+2,1,1)&amp;";"&amp;OFFSET(掉落_design!$E69,0,掉落_design!O$2+3,1,1))</f>
        <v>1001;350;400;20</v>
      </c>
      <c r="Q69" s="16" t="str">
        <f ca="1">IF(OFFSET(掉落_design!$E69,0,掉落_design!P$2,1,1)="","",OFFSET(掉落_design!$E69,0,掉落_design!P$2,1,1)&amp;";"&amp;OFFSET(掉落_design!$E69,0,掉落_design!P$2+1,1,1)&amp;";"&amp;OFFSET(掉落_design!$E69,0,掉落_design!P$2+2,1,1)&amp;";"&amp;OFFSET(掉落_design!$E69,0,掉落_design!P$2+3,1,1))</f>
        <v/>
      </c>
      <c r="R69" s="16" t="str">
        <f ca="1">IF(OFFSET(掉落_design!$E69,0,掉落_design!Q$2,1,1)="","",OFFSET(掉落_design!$E69,0,掉落_design!Q$2,1,1)&amp;";"&amp;OFFSET(掉落_design!$E69,0,掉落_design!Q$2+1,1,1)&amp;";"&amp;OFFSET(掉落_design!$E69,0,掉落_design!Q$2+2,1,1)&amp;";"&amp;OFFSET(掉落_design!$E69,0,掉落_design!Q$2+3,1,1))</f>
        <v/>
      </c>
      <c r="S69" s="16" t="str">
        <f ca="1">IF(OFFSET(掉落_design!$E69,0,掉落_design!R$2,1,1)="","",OFFSET(掉落_design!$E69,0,掉落_design!R$2,1,1)&amp;";"&amp;OFFSET(掉落_design!$E69,0,掉落_design!R$2+1,1,1)&amp;";"&amp;OFFSET(掉落_design!$E69,0,掉落_design!R$2+2,1,1)&amp;";"&amp;OFFSET(掉落_design!$E69,0,掉落_design!R$2+3,1,1))</f>
        <v/>
      </c>
      <c r="T69" s="16" t="str">
        <f ca="1">IF(OFFSET(掉落_design!$E69,0,掉落_design!S$2,1,1)="","",OFFSET(掉落_design!$E69,0,掉落_design!S$2,1,1)&amp;";"&amp;OFFSET(掉落_design!$E69,0,掉落_design!S$2+1,1,1)&amp;";"&amp;OFFSET(掉落_design!$E69,0,掉落_design!S$2+2,1,1)&amp;";"&amp;OFFSET(掉落_design!$E69,0,掉落_design!S$2+3,1,1))</f>
        <v/>
      </c>
      <c r="U69" s="16" t="str">
        <f ca="1">IF(OFFSET(掉落_design!$E69,0,掉落_design!T$2,1,1)="","",OFFSET(掉落_design!$E69,0,掉落_design!T$2,1,1)&amp;";"&amp;OFFSET(掉落_design!$E69,0,掉落_design!T$2+1,1,1)&amp;";"&amp;OFFSET(掉落_design!$E69,0,掉落_design!T$2+2,1,1)&amp;";"&amp;OFFSET(掉落_design!$E69,0,掉落_design!T$2+3,1,1))</f>
        <v/>
      </c>
      <c r="V69" s="16" t="str">
        <f ca="1">IF(OFFSET(掉落_design!$E69,0,掉落_design!U$2,1,1)="","",OFFSET(掉落_design!$E69,0,掉落_design!U$2,1,1)&amp;";"&amp;OFFSET(掉落_design!$E69,0,掉落_design!U$2+1,1,1)&amp;";"&amp;OFFSET(掉落_design!$E69,0,掉落_design!U$2+2,1,1)&amp;";"&amp;OFFSET(掉落_design!$E69,0,掉落_design!U$2+3,1,1))</f>
        <v/>
      </c>
      <c r="W69" s="16" t="str">
        <f ca="1">IF(OFFSET(掉落_design!$E69,0,掉落_design!V$2,1,1)="","",OFFSET(掉落_design!$E69,0,掉落_design!V$2,1,1)&amp;";"&amp;OFFSET(掉落_design!$E69,0,掉落_design!V$2+1,1,1)&amp;";"&amp;OFFSET(掉落_design!$E69,0,掉落_design!V$2+2,1,1)&amp;";"&amp;OFFSET(掉落_design!$E69,0,掉落_design!V$2+3,1,1))</f>
        <v/>
      </c>
      <c r="X69" s="16" t="str">
        <f ca="1">IF(OFFSET(掉落_design!$E69,0,掉落_design!W$2,1,1)="","",OFFSET(掉落_design!$E69,0,掉落_design!W$2,1,1)&amp;";"&amp;OFFSET(掉落_design!$E69,0,掉落_design!W$2+1,1,1)&amp;";"&amp;OFFSET(掉落_design!$E69,0,掉落_design!W$2+2,1,1)&amp;";"&amp;OFFSET(掉落_design!$E69,0,掉落_design!W$2+3,1,1))</f>
        <v/>
      </c>
      <c r="Y69" s="16" t="str">
        <f ca="1">IF(OFFSET(掉落_design!$E69,0,掉落_design!X$2,1,1)="","",OFFSET(掉落_design!$E69,0,掉落_design!X$2,1,1)&amp;";"&amp;OFFSET(掉落_design!$E69,0,掉落_design!X$2+1,1,1)&amp;";"&amp;OFFSET(掉落_design!$E69,0,掉落_design!X$2+2,1,1)&amp;";"&amp;OFFSET(掉落_design!$E69,0,掉落_design!X$2+3,1,1))</f>
        <v/>
      </c>
    </row>
    <row r="70" spans="1:25" x14ac:dyDescent="0.15">
      <c r="A70" s="11" t="str">
        <f t="shared" si="28"/>
        <v/>
      </c>
      <c r="B70" s="25"/>
      <c r="C70" s="25"/>
      <c r="D70" s="15" t="str">
        <f>IF(掉落_design!C70="","",掉落_design!C70)</f>
        <v/>
      </c>
      <c r="E70" s="15" t="str">
        <f>IF(A70="","",掉落_design!D70)</f>
        <v/>
      </c>
      <c r="F70" s="16" t="str">
        <f ca="1">IF(OFFSET(掉落_design!$E70,0,掉落_design!E$2,1,1)="","",OFFSET(掉落_design!$E70,0,掉落_design!E$2,1,1)&amp;";"&amp;OFFSET(掉落_design!$E70,0,掉落_design!E$2+1,1,1)&amp;";"&amp;OFFSET(掉落_design!$E70,0,掉落_design!E$2+2,1,1)&amp;";"&amp;OFFSET(掉落_design!$E70,0,掉落_design!E$2+3,1,1))</f>
        <v/>
      </c>
      <c r="G70" s="16" t="str">
        <f ca="1">IF(OFFSET(掉落_design!$E70,0,掉落_design!F$2,1,1)="","",OFFSET(掉落_design!$E70,0,掉落_design!F$2,1,1)&amp;";"&amp;OFFSET(掉落_design!$E70,0,掉落_design!F$2+1,1,1)&amp;";"&amp;OFFSET(掉落_design!$E70,0,掉落_design!F$2+2,1,1)&amp;";"&amp;OFFSET(掉落_design!$E70,0,掉落_design!F$2+3,1,1))</f>
        <v/>
      </c>
      <c r="H70" s="16" t="str">
        <f ca="1">IF(OFFSET(掉落_design!$E70,0,掉落_design!G$2,1,1)="","",OFFSET(掉落_design!$E70,0,掉落_design!G$2,1,1)&amp;";"&amp;OFFSET(掉落_design!$E70,0,掉落_design!G$2+1,1,1)&amp;";"&amp;OFFSET(掉落_design!$E70,0,掉落_design!G$2+2,1,1)&amp;";"&amp;OFFSET(掉落_design!$E70,0,掉落_design!G$2+3,1,1))</f>
        <v/>
      </c>
      <c r="I70" s="16" t="str">
        <f ca="1">IF(OFFSET(掉落_design!$E70,0,掉落_design!H$2,1,1)="","",OFFSET(掉落_design!$E70,0,掉落_design!H$2,1,1)&amp;";"&amp;OFFSET(掉落_design!$E70,0,掉落_design!H$2+1,1,1)&amp;";"&amp;OFFSET(掉落_design!$E70,0,掉落_design!H$2+2,1,1)&amp;";"&amp;OFFSET(掉落_design!$E70,0,掉落_design!H$2+3,1,1))</f>
        <v/>
      </c>
      <c r="J70" s="16" t="str">
        <f ca="1">IF(OFFSET(掉落_design!$E70,0,掉落_design!I$2,1,1)="","",OFFSET(掉落_design!$E70,0,掉落_design!I$2,1,1)&amp;";"&amp;OFFSET(掉落_design!$E70,0,掉落_design!I$2+1,1,1)&amp;";"&amp;OFFSET(掉落_design!$E70,0,掉落_design!I$2+2,1,1)&amp;";"&amp;OFFSET(掉落_design!$E70,0,掉落_design!I$2+3,1,1))</f>
        <v/>
      </c>
      <c r="K70" s="16" t="str">
        <f ca="1">IF(OFFSET(掉落_design!$E70,0,掉落_design!J$2,1,1)="","",OFFSET(掉落_design!$E70,0,掉落_design!J$2,1,1)&amp;";"&amp;OFFSET(掉落_design!$E70,0,掉落_design!J$2+1,1,1)&amp;";"&amp;OFFSET(掉落_design!$E70,0,掉落_design!J$2+2,1,1)&amp;";"&amp;OFFSET(掉落_design!$E70,0,掉落_design!J$2+3,1,1))</f>
        <v/>
      </c>
      <c r="L70" s="16" t="str">
        <f ca="1">IF(OFFSET(掉落_design!$E70,0,掉落_design!K$2,1,1)="","",OFFSET(掉落_design!$E70,0,掉落_design!K$2,1,1)&amp;";"&amp;OFFSET(掉落_design!$E70,0,掉落_design!K$2+1,1,1)&amp;";"&amp;OFFSET(掉落_design!$E70,0,掉落_design!K$2+2,1,1)&amp;";"&amp;OFFSET(掉落_design!$E70,0,掉落_design!K$2+3,1,1))</f>
        <v/>
      </c>
      <c r="M70" s="16" t="str">
        <f ca="1">IF(OFFSET(掉落_design!$E70,0,掉落_design!L$2,1,1)="","",OFFSET(掉落_design!$E70,0,掉落_design!L$2,1,1)&amp;";"&amp;OFFSET(掉落_design!$E70,0,掉落_design!L$2+1,1,1)&amp;";"&amp;OFFSET(掉落_design!$E70,0,掉落_design!L$2+2,1,1)&amp;";"&amp;OFFSET(掉落_design!$E70,0,掉落_design!L$2+3,1,1))</f>
        <v/>
      </c>
      <c r="N70" s="16" t="str">
        <f ca="1">IF(OFFSET(掉落_design!$E70,0,掉落_design!M$2,1,1)="","",OFFSET(掉落_design!$E70,0,掉落_design!M$2,1,1)&amp;";"&amp;OFFSET(掉落_design!$E70,0,掉落_design!M$2+1,1,1)&amp;";"&amp;OFFSET(掉落_design!$E70,0,掉落_design!M$2+2,1,1)&amp;";"&amp;OFFSET(掉落_design!$E70,0,掉落_design!M$2+3,1,1))</f>
        <v/>
      </c>
      <c r="O70" s="16" t="str">
        <f ca="1">IF(OFFSET(掉落_design!$E70,0,掉落_design!N$2,1,1)="","",OFFSET(掉落_design!$E70,0,掉落_design!N$2,1,1)&amp;";"&amp;OFFSET(掉落_design!$E70,0,掉落_design!N$2+1,1,1)&amp;";"&amp;OFFSET(掉落_design!$E70,0,掉落_design!N$2+2,1,1)&amp;";"&amp;OFFSET(掉落_design!$E70,0,掉落_design!N$2+3,1,1))</f>
        <v/>
      </c>
      <c r="P70" s="16" t="str">
        <f ca="1">IF(OFFSET(掉落_design!$E70,0,掉落_design!O$2,1,1)="","",OFFSET(掉落_design!$E70,0,掉落_design!O$2,1,1)&amp;";"&amp;OFFSET(掉落_design!$E70,0,掉落_design!O$2+1,1,1)&amp;";"&amp;OFFSET(掉落_design!$E70,0,掉落_design!O$2+2,1,1)&amp;";"&amp;OFFSET(掉落_design!$E70,0,掉落_design!O$2+3,1,1))</f>
        <v/>
      </c>
      <c r="Q70" s="16" t="str">
        <f ca="1">IF(OFFSET(掉落_design!$E70,0,掉落_design!P$2,1,1)="","",OFFSET(掉落_design!$E70,0,掉落_design!P$2,1,1)&amp;";"&amp;OFFSET(掉落_design!$E70,0,掉落_design!P$2+1,1,1)&amp;";"&amp;OFFSET(掉落_design!$E70,0,掉落_design!P$2+2,1,1)&amp;";"&amp;OFFSET(掉落_design!$E70,0,掉落_design!P$2+3,1,1))</f>
        <v/>
      </c>
      <c r="R70" s="16" t="str">
        <f ca="1">IF(OFFSET(掉落_design!$E70,0,掉落_design!Q$2,1,1)="","",OFFSET(掉落_design!$E70,0,掉落_design!Q$2,1,1)&amp;";"&amp;OFFSET(掉落_design!$E70,0,掉落_design!Q$2+1,1,1)&amp;";"&amp;OFFSET(掉落_design!$E70,0,掉落_design!Q$2+2,1,1)&amp;";"&amp;OFFSET(掉落_design!$E70,0,掉落_design!Q$2+3,1,1))</f>
        <v/>
      </c>
      <c r="S70" s="16" t="str">
        <f ca="1">IF(OFFSET(掉落_design!$E70,0,掉落_design!R$2,1,1)="","",OFFSET(掉落_design!$E70,0,掉落_design!R$2,1,1)&amp;";"&amp;OFFSET(掉落_design!$E70,0,掉落_design!R$2+1,1,1)&amp;";"&amp;OFFSET(掉落_design!$E70,0,掉落_design!R$2+2,1,1)&amp;";"&amp;OFFSET(掉落_design!$E70,0,掉落_design!R$2+3,1,1))</f>
        <v/>
      </c>
      <c r="T70" s="16" t="str">
        <f ca="1">IF(OFFSET(掉落_design!$E70,0,掉落_design!S$2,1,1)="","",OFFSET(掉落_design!$E70,0,掉落_design!S$2,1,1)&amp;";"&amp;OFFSET(掉落_design!$E70,0,掉落_design!S$2+1,1,1)&amp;";"&amp;OFFSET(掉落_design!$E70,0,掉落_design!S$2+2,1,1)&amp;";"&amp;OFFSET(掉落_design!$E70,0,掉落_design!S$2+3,1,1))</f>
        <v/>
      </c>
      <c r="U70" s="16" t="str">
        <f ca="1">IF(OFFSET(掉落_design!$E70,0,掉落_design!T$2,1,1)="","",OFFSET(掉落_design!$E70,0,掉落_design!T$2,1,1)&amp;";"&amp;OFFSET(掉落_design!$E70,0,掉落_design!T$2+1,1,1)&amp;";"&amp;OFFSET(掉落_design!$E70,0,掉落_design!T$2+2,1,1)&amp;";"&amp;OFFSET(掉落_design!$E70,0,掉落_design!T$2+3,1,1))</f>
        <v/>
      </c>
      <c r="V70" s="16" t="str">
        <f ca="1">IF(OFFSET(掉落_design!$E70,0,掉落_design!U$2,1,1)="","",OFFSET(掉落_design!$E70,0,掉落_design!U$2,1,1)&amp;";"&amp;OFFSET(掉落_design!$E70,0,掉落_design!U$2+1,1,1)&amp;";"&amp;OFFSET(掉落_design!$E70,0,掉落_design!U$2+2,1,1)&amp;";"&amp;OFFSET(掉落_design!$E70,0,掉落_design!U$2+3,1,1))</f>
        <v/>
      </c>
      <c r="W70" s="16" t="str">
        <f ca="1">IF(OFFSET(掉落_design!$E70,0,掉落_design!V$2,1,1)="","",OFFSET(掉落_design!$E70,0,掉落_design!V$2,1,1)&amp;";"&amp;OFFSET(掉落_design!$E70,0,掉落_design!V$2+1,1,1)&amp;";"&amp;OFFSET(掉落_design!$E70,0,掉落_design!V$2+2,1,1)&amp;";"&amp;OFFSET(掉落_design!$E70,0,掉落_design!V$2+3,1,1))</f>
        <v/>
      </c>
      <c r="X70" s="16" t="str">
        <f ca="1">IF(OFFSET(掉落_design!$E70,0,掉落_design!W$2,1,1)="","",OFFSET(掉落_design!$E70,0,掉落_design!W$2,1,1)&amp;";"&amp;OFFSET(掉落_design!$E70,0,掉落_design!W$2+1,1,1)&amp;";"&amp;OFFSET(掉落_design!$E70,0,掉落_design!W$2+2,1,1)&amp;";"&amp;OFFSET(掉落_design!$E70,0,掉落_design!W$2+3,1,1))</f>
        <v/>
      </c>
      <c r="Y70" s="16" t="str">
        <f ca="1">IF(OFFSET(掉落_design!$E70,0,掉落_design!X$2,1,1)="","",OFFSET(掉落_design!$E70,0,掉落_design!X$2,1,1)&amp;";"&amp;OFFSET(掉落_design!$E70,0,掉落_design!X$2+1,1,1)&amp;";"&amp;OFFSET(掉落_design!$E70,0,掉落_design!X$2+2,1,1)&amp;";"&amp;OFFSET(掉落_design!$E70,0,掉落_design!X$2+3,1,1))</f>
        <v/>
      </c>
    </row>
    <row r="71" spans="1:25" x14ac:dyDescent="0.15">
      <c r="A71" s="11" t="str">
        <f t="shared" si="28"/>
        <v>DATA</v>
      </c>
      <c r="B71" s="25"/>
      <c r="C71" s="25"/>
      <c r="D71" s="15">
        <f>IF(掉落_design!C71="","",掉落_design!C71)</f>
        <v>20800</v>
      </c>
      <c r="E71" s="15">
        <f>IF(A71="","",掉落_design!D71)</f>
        <v>1</v>
      </c>
      <c r="F71" s="16" t="str">
        <f ca="1">IF(OFFSET(掉落_design!$E71,0,掉落_design!E$2,1,1)="","",OFFSET(掉落_design!$E71,0,掉落_design!E$2,1,1)&amp;";"&amp;OFFSET(掉落_design!$E71,0,掉落_design!E$2+1,1,1)&amp;";"&amp;OFFSET(掉落_design!$E71,0,掉落_design!E$2+2,1,1)&amp;";"&amp;OFFSET(掉落_design!$E71,0,掉落_design!E$2+3,1,1))</f>
        <v>1001;80;100;1000</v>
      </c>
      <c r="G71" s="16" t="str">
        <f ca="1">IF(OFFSET(掉落_design!$E71,0,掉落_design!F$2,1,1)="","",OFFSET(掉落_design!$E71,0,掉落_design!F$2,1,1)&amp;";"&amp;OFFSET(掉落_design!$E71,0,掉落_design!F$2+1,1,1)&amp;";"&amp;OFFSET(掉落_design!$E71,0,掉落_design!F$2+2,1,1)&amp;";"&amp;OFFSET(掉落_design!$E71,0,掉落_design!F$2+3,1,1))</f>
        <v>1204;1;1;1000</v>
      </c>
      <c r="H71" s="16" t="str">
        <f ca="1">IF(OFFSET(掉落_design!$E71,0,掉落_design!G$2,1,1)="","",OFFSET(掉落_design!$E71,0,掉落_design!G$2,1,1)&amp;";"&amp;OFFSET(掉落_design!$E71,0,掉落_design!G$2+1,1,1)&amp;";"&amp;OFFSET(掉落_design!$E71,0,掉落_design!G$2+2,1,1)&amp;";"&amp;OFFSET(掉落_design!$E71,0,掉落_design!G$2+3,1,1))</f>
        <v/>
      </c>
      <c r="I71" s="16" t="str">
        <f ca="1">IF(OFFSET(掉落_design!$E71,0,掉落_design!H$2,1,1)="","",OFFSET(掉落_design!$E71,0,掉落_design!H$2,1,1)&amp;";"&amp;OFFSET(掉落_design!$E71,0,掉落_design!H$2+1,1,1)&amp;";"&amp;OFFSET(掉落_design!$E71,0,掉落_design!H$2+2,1,1)&amp;";"&amp;OFFSET(掉落_design!$E71,0,掉落_design!H$2+3,1,1))</f>
        <v/>
      </c>
      <c r="J71" s="16" t="str">
        <f ca="1">IF(OFFSET(掉落_design!$E71,0,掉落_design!I$2,1,1)="","",OFFSET(掉落_design!$E71,0,掉落_design!I$2,1,1)&amp;";"&amp;OFFSET(掉落_design!$E71,0,掉落_design!I$2+1,1,1)&amp;";"&amp;OFFSET(掉落_design!$E71,0,掉落_design!I$2+2,1,1)&amp;";"&amp;OFFSET(掉落_design!$E71,0,掉落_design!I$2+3,1,1))</f>
        <v/>
      </c>
      <c r="K71" s="16" t="str">
        <f ca="1">IF(OFFSET(掉落_design!$E71,0,掉落_design!J$2,1,1)="","",OFFSET(掉落_design!$E71,0,掉落_design!J$2,1,1)&amp;";"&amp;OFFSET(掉落_design!$E71,0,掉落_design!J$2+1,1,1)&amp;";"&amp;OFFSET(掉落_design!$E71,0,掉落_design!J$2+2,1,1)&amp;";"&amp;OFFSET(掉落_design!$E71,0,掉落_design!J$2+3,1,1))</f>
        <v/>
      </c>
      <c r="L71" s="16" t="str">
        <f ca="1">IF(OFFSET(掉落_design!$E71,0,掉落_design!K$2,1,1)="","",OFFSET(掉落_design!$E71,0,掉落_design!K$2,1,1)&amp;";"&amp;OFFSET(掉落_design!$E71,0,掉落_design!K$2+1,1,1)&amp;";"&amp;OFFSET(掉落_design!$E71,0,掉落_design!K$2+2,1,1)&amp;";"&amp;OFFSET(掉落_design!$E71,0,掉落_design!K$2+3,1,1))</f>
        <v/>
      </c>
      <c r="M71" s="16" t="str">
        <f ca="1">IF(OFFSET(掉落_design!$E71,0,掉落_design!L$2,1,1)="","",OFFSET(掉落_design!$E71,0,掉落_design!L$2,1,1)&amp;";"&amp;OFFSET(掉落_design!$E71,0,掉落_design!L$2+1,1,1)&amp;";"&amp;OFFSET(掉落_design!$E71,0,掉落_design!L$2+2,1,1)&amp;";"&amp;OFFSET(掉落_design!$E71,0,掉落_design!L$2+3,1,1))</f>
        <v/>
      </c>
      <c r="N71" s="16" t="str">
        <f ca="1">IF(OFFSET(掉落_design!$E71,0,掉落_design!M$2,1,1)="","",OFFSET(掉落_design!$E71,0,掉落_design!M$2,1,1)&amp;";"&amp;OFFSET(掉落_design!$E71,0,掉落_design!M$2+1,1,1)&amp;";"&amp;OFFSET(掉落_design!$E71,0,掉落_design!M$2+2,1,1)&amp;";"&amp;OFFSET(掉落_design!$E71,0,掉落_design!M$2+3,1,1))</f>
        <v/>
      </c>
      <c r="O71" s="16" t="str">
        <f ca="1">IF(OFFSET(掉落_design!$E71,0,掉落_design!N$2,1,1)="","",OFFSET(掉落_design!$E71,0,掉落_design!N$2,1,1)&amp;";"&amp;OFFSET(掉落_design!$E71,0,掉落_design!N$2+1,1,1)&amp;";"&amp;OFFSET(掉落_design!$E71,0,掉落_design!N$2+2,1,1)&amp;";"&amp;OFFSET(掉落_design!$E71,0,掉落_design!N$2+3,1,1))</f>
        <v/>
      </c>
      <c r="P71" s="16" t="str">
        <f ca="1">IF(OFFSET(掉落_design!$E71,0,掉落_design!O$2,1,1)="","",OFFSET(掉落_design!$E71,0,掉落_design!O$2,1,1)&amp;";"&amp;OFFSET(掉落_design!$E71,0,掉落_design!O$2+1,1,1)&amp;";"&amp;OFFSET(掉落_design!$E71,0,掉落_design!O$2+2,1,1)&amp;";"&amp;OFFSET(掉落_design!$E71,0,掉落_design!O$2+3,1,1))</f>
        <v/>
      </c>
      <c r="Q71" s="16" t="str">
        <f ca="1">IF(OFFSET(掉落_design!$E71,0,掉落_design!P$2,1,1)="","",OFFSET(掉落_design!$E71,0,掉落_design!P$2,1,1)&amp;";"&amp;OFFSET(掉落_design!$E71,0,掉落_design!P$2+1,1,1)&amp;";"&amp;OFFSET(掉落_design!$E71,0,掉落_design!P$2+2,1,1)&amp;";"&amp;OFFSET(掉落_design!$E71,0,掉落_design!P$2+3,1,1))</f>
        <v/>
      </c>
      <c r="R71" s="16" t="str">
        <f ca="1">IF(OFFSET(掉落_design!$E71,0,掉落_design!Q$2,1,1)="","",OFFSET(掉落_design!$E71,0,掉落_design!Q$2,1,1)&amp;";"&amp;OFFSET(掉落_design!$E71,0,掉落_design!Q$2+1,1,1)&amp;";"&amp;OFFSET(掉落_design!$E71,0,掉落_design!Q$2+2,1,1)&amp;";"&amp;OFFSET(掉落_design!$E71,0,掉落_design!Q$2+3,1,1))</f>
        <v/>
      </c>
      <c r="S71" s="16" t="str">
        <f ca="1">IF(OFFSET(掉落_design!$E71,0,掉落_design!R$2,1,1)="","",OFFSET(掉落_design!$E71,0,掉落_design!R$2,1,1)&amp;";"&amp;OFFSET(掉落_design!$E71,0,掉落_design!R$2+1,1,1)&amp;";"&amp;OFFSET(掉落_design!$E71,0,掉落_design!R$2+2,1,1)&amp;";"&amp;OFFSET(掉落_design!$E71,0,掉落_design!R$2+3,1,1))</f>
        <v/>
      </c>
      <c r="T71" s="16" t="str">
        <f ca="1">IF(OFFSET(掉落_design!$E71,0,掉落_design!S$2,1,1)="","",OFFSET(掉落_design!$E71,0,掉落_design!S$2,1,1)&amp;";"&amp;OFFSET(掉落_design!$E71,0,掉落_design!S$2+1,1,1)&amp;";"&amp;OFFSET(掉落_design!$E71,0,掉落_design!S$2+2,1,1)&amp;";"&amp;OFFSET(掉落_design!$E71,0,掉落_design!S$2+3,1,1))</f>
        <v/>
      </c>
      <c r="U71" s="16" t="str">
        <f ca="1">IF(OFFSET(掉落_design!$E71,0,掉落_design!T$2,1,1)="","",OFFSET(掉落_design!$E71,0,掉落_design!T$2,1,1)&amp;";"&amp;OFFSET(掉落_design!$E71,0,掉落_design!T$2+1,1,1)&amp;";"&amp;OFFSET(掉落_design!$E71,0,掉落_design!T$2+2,1,1)&amp;";"&amp;OFFSET(掉落_design!$E71,0,掉落_design!T$2+3,1,1))</f>
        <v/>
      </c>
      <c r="V71" s="16" t="str">
        <f ca="1">IF(OFFSET(掉落_design!$E71,0,掉落_design!U$2,1,1)="","",OFFSET(掉落_design!$E71,0,掉落_design!U$2,1,1)&amp;";"&amp;OFFSET(掉落_design!$E71,0,掉落_design!U$2+1,1,1)&amp;";"&amp;OFFSET(掉落_design!$E71,0,掉落_design!U$2+2,1,1)&amp;";"&amp;OFFSET(掉落_design!$E71,0,掉落_design!U$2+3,1,1))</f>
        <v/>
      </c>
      <c r="W71" s="16" t="str">
        <f ca="1">IF(OFFSET(掉落_design!$E71,0,掉落_design!V$2,1,1)="","",OFFSET(掉落_design!$E71,0,掉落_design!V$2,1,1)&amp;";"&amp;OFFSET(掉落_design!$E71,0,掉落_design!V$2+1,1,1)&amp;";"&amp;OFFSET(掉落_design!$E71,0,掉落_design!V$2+2,1,1)&amp;";"&amp;OFFSET(掉落_design!$E71,0,掉落_design!V$2+3,1,1))</f>
        <v/>
      </c>
      <c r="X71" s="16" t="str">
        <f ca="1">IF(OFFSET(掉落_design!$E71,0,掉落_design!W$2,1,1)="","",OFFSET(掉落_design!$E71,0,掉落_design!W$2,1,1)&amp;";"&amp;OFFSET(掉落_design!$E71,0,掉落_design!W$2+1,1,1)&amp;";"&amp;OFFSET(掉落_design!$E71,0,掉落_design!W$2+2,1,1)&amp;";"&amp;OFFSET(掉落_design!$E71,0,掉落_design!W$2+3,1,1))</f>
        <v/>
      </c>
      <c r="Y71" s="16" t="str">
        <f ca="1">IF(OFFSET(掉落_design!$E71,0,掉落_design!X$2,1,1)="","",OFFSET(掉落_design!$E71,0,掉落_design!X$2,1,1)&amp;";"&amp;OFFSET(掉落_design!$E71,0,掉落_design!X$2+1,1,1)&amp;";"&amp;OFFSET(掉落_design!$E71,0,掉落_design!X$2+2,1,1)&amp;";"&amp;OFFSET(掉落_design!$E71,0,掉落_design!X$2+3,1,1))</f>
        <v/>
      </c>
    </row>
    <row r="72" spans="1:25" x14ac:dyDescent="0.15">
      <c r="A72" s="11" t="str">
        <f t="shared" si="28"/>
        <v>DATA</v>
      </c>
      <c r="B72" s="25"/>
      <c r="C72" s="25"/>
      <c r="D72" s="15">
        <f>IF(掉落_design!C72="","",掉落_design!C72)</f>
        <v>20801</v>
      </c>
      <c r="E72" s="15">
        <f>IF(A72="","",掉落_design!D72)</f>
        <v>2</v>
      </c>
      <c r="F72" s="16" t="str">
        <f ca="1">IF(OFFSET(掉落_design!$E72,0,掉落_design!E$2,1,1)="","",OFFSET(掉落_design!$E72,0,掉落_design!E$2,1,1)&amp;";"&amp;OFFSET(掉落_design!$E72,0,掉落_design!E$2+1,1,1)&amp;";"&amp;OFFSET(掉落_design!$E72,0,掉落_design!E$2+2,1,1)&amp;";"&amp;OFFSET(掉落_design!$E72,0,掉落_design!E$2+3,1,1))</f>
        <v>20533;1;1;1</v>
      </c>
      <c r="G72" s="16" t="str">
        <f ca="1">IF(OFFSET(掉落_design!$E72,0,掉落_design!F$2,1,1)="","",OFFSET(掉落_design!$E72,0,掉落_design!F$2,1,1)&amp;";"&amp;OFFSET(掉落_design!$E72,0,掉落_design!F$2+1,1,1)&amp;";"&amp;OFFSET(掉落_design!$E72,0,掉落_design!F$2+2,1,1)&amp;";"&amp;OFFSET(掉落_design!$E72,0,掉落_design!F$2+3,1,1))</f>
        <v>20432;1;1;1</v>
      </c>
      <c r="H72" s="16" t="str">
        <f ca="1">IF(OFFSET(掉落_design!$E72,0,掉落_design!G$2,1,1)="","",OFFSET(掉落_design!$E72,0,掉落_design!G$2,1,1)&amp;";"&amp;OFFSET(掉落_design!$E72,0,掉落_design!G$2+1,1,1)&amp;";"&amp;OFFSET(掉落_design!$E72,0,掉落_design!G$2+2,1,1)&amp;";"&amp;OFFSET(掉落_design!$E72,0,掉落_design!G$2+3,1,1))</f>
        <v>20633;1;1;1</v>
      </c>
      <c r="I72" s="16" t="str">
        <f ca="1">IF(OFFSET(掉落_design!$E72,0,掉落_design!H$2,1,1)="","",OFFSET(掉落_design!$E72,0,掉落_design!H$2,1,1)&amp;";"&amp;OFFSET(掉落_design!$E72,0,掉落_design!H$2+1,1,1)&amp;";"&amp;OFFSET(掉落_design!$E72,0,掉落_design!H$2+2,1,1)&amp;";"&amp;OFFSET(掉落_design!$E72,0,掉落_design!H$2+3,1,1))</f>
        <v>20533;1;1;1</v>
      </c>
      <c r="J72" s="16" t="str">
        <f ca="1">IF(OFFSET(掉落_design!$E72,0,掉落_design!I$2,1,1)="","",OFFSET(掉落_design!$E72,0,掉落_design!I$2,1,1)&amp;";"&amp;OFFSET(掉落_design!$E72,0,掉落_design!I$2+1,1,1)&amp;";"&amp;OFFSET(掉落_design!$E72,0,掉落_design!I$2+2,1,1)&amp;";"&amp;OFFSET(掉落_design!$E72,0,掉落_design!I$2+3,1,1))</f>
        <v>20633;1;1;1</v>
      </c>
      <c r="K72" s="16" t="str">
        <f ca="1">IF(OFFSET(掉落_design!$E72,0,掉落_design!J$2,1,1)="","",OFFSET(掉落_design!$E72,0,掉落_design!J$2,1,1)&amp;";"&amp;OFFSET(掉落_design!$E72,0,掉落_design!J$2+1,1,1)&amp;";"&amp;OFFSET(掉落_design!$E72,0,掉落_design!J$2+2,1,1)&amp;";"&amp;OFFSET(掉落_design!$E72,0,掉落_design!J$2+3,1,1))</f>
        <v>20532;1;1;1</v>
      </c>
      <c r="L72" s="16" t="str">
        <f ca="1">IF(OFFSET(掉落_design!$E72,0,掉落_design!K$2,1,1)="","",OFFSET(掉落_design!$E72,0,掉落_design!K$2,1,1)&amp;";"&amp;OFFSET(掉落_design!$E72,0,掉落_design!K$2+1,1,1)&amp;";"&amp;OFFSET(掉落_design!$E72,0,掉落_design!K$2+2,1,1)&amp;";"&amp;OFFSET(掉落_design!$E72,0,掉落_design!K$2+3,1,1))</f>
        <v>20332;1;1;1</v>
      </c>
      <c r="M72" s="16" t="str">
        <f ca="1">IF(OFFSET(掉落_design!$E72,0,掉落_design!L$2,1,1)="","",OFFSET(掉落_design!$E72,0,掉落_design!L$2,1,1)&amp;";"&amp;OFFSET(掉落_design!$E72,0,掉落_design!L$2+1,1,1)&amp;";"&amp;OFFSET(掉落_design!$E72,0,掉落_design!L$2+2,1,1)&amp;";"&amp;OFFSET(掉落_design!$E72,0,掉落_design!L$2+3,1,1))</f>
        <v>20532;1;1;1</v>
      </c>
      <c r="N72" s="16" t="str">
        <f ca="1">IF(OFFSET(掉落_design!$E72,0,掉落_design!M$2,1,1)="","",OFFSET(掉落_design!$E72,0,掉落_design!M$2,1,1)&amp;";"&amp;OFFSET(掉落_design!$E72,0,掉落_design!M$2+1,1,1)&amp;";"&amp;OFFSET(掉落_design!$E72,0,掉落_design!M$2+2,1,1)&amp;";"&amp;OFFSET(掉落_design!$E72,0,掉落_design!M$2+3,1,1))</f>
        <v>20432;1;1;1</v>
      </c>
      <c r="O72" s="16" t="str">
        <f ca="1">IF(OFFSET(掉落_design!$E72,0,掉落_design!N$2,1,1)="","",OFFSET(掉落_design!$E72,0,掉落_design!N$2,1,1)&amp;";"&amp;OFFSET(掉落_design!$E72,0,掉落_design!N$2+1,1,1)&amp;";"&amp;OFFSET(掉落_design!$E72,0,掉落_design!N$2+2,1,1)&amp;";"&amp;OFFSET(掉落_design!$E72,0,掉落_design!N$2+3,1,1))</f>
        <v>20533;1;1;1</v>
      </c>
      <c r="P72" s="16" t="str">
        <f ca="1">IF(OFFSET(掉落_design!$E72,0,掉落_design!O$2,1,1)="","",OFFSET(掉落_design!$E72,0,掉落_design!O$2,1,1)&amp;";"&amp;OFFSET(掉落_design!$E72,0,掉落_design!O$2+1,1,1)&amp;";"&amp;OFFSET(掉落_design!$E72,0,掉落_design!O$2+2,1,1)&amp;";"&amp;OFFSET(掉落_design!$E72,0,掉落_design!O$2+3,1,1))</f>
        <v>1001;400;450;20</v>
      </c>
      <c r="Q72" s="16" t="str">
        <f ca="1">IF(OFFSET(掉落_design!$E72,0,掉落_design!P$2,1,1)="","",OFFSET(掉落_design!$E72,0,掉落_design!P$2,1,1)&amp;";"&amp;OFFSET(掉落_design!$E72,0,掉落_design!P$2+1,1,1)&amp;";"&amp;OFFSET(掉落_design!$E72,0,掉落_design!P$2+2,1,1)&amp;";"&amp;OFFSET(掉落_design!$E72,0,掉落_design!P$2+3,1,1))</f>
        <v/>
      </c>
      <c r="R72" s="16" t="str">
        <f ca="1">IF(OFFSET(掉落_design!$E72,0,掉落_design!Q$2,1,1)="","",OFFSET(掉落_design!$E72,0,掉落_design!Q$2,1,1)&amp;";"&amp;OFFSET(掉落_design!$E72,0,掉落_design!Q$2+1,1,1)&amp;";"&amp;OFFSET(掉落_design!$E72,0,掉落_design!Q$2+2,1,1)&amp;";"&amp;OFFSET(掉落_design!$E72,0,掉落_design!Q$2+3,1,1))</f>
        <v/>
      </c>
      <c r="S72" s="16" t="str">
        <f ca="1">IF(OFFSET(掉落_design!$E72,0,掉落_design!R$2,1,1)="","",OFFSET(掉落_design!$E72,0,掉落_design!R$2,1,1)&amp;";"&amp;OFFSET(掉落_design!$E72,0,掉落_design!R$2+1,1,1)&amp;";"&amp;OFFSET(掉落_design!$E72,0,掉落_design!R$2+2,1,1)&amp;";"&amp;OFFSET(掉落_design!$E72,0,掉落_design!R$2+3,1,1))</f>
        <v/>
      </c>
      <c r="T72" s="16" t="str">
        <f ca="1">IF(OFFSET(掉落_design!$E72,0,掉落_design!S$2,1,1)="","",OFFSET(掉落_design!$E72,0,掉落_design!S$2,1,1)&amp;";"&amp;OFFSET(掉落_design!$E72,0,掉落_design!S$2+1,1,1)&amp;";"&amp;OFFSET(掉落_design!$E72,0,掉落_design!S$2+2,1,1)&amp;";"&amp;OFFSET(掉落_design!$E72,0,掉落_design!S$2+3,1,1))</f>
        <v/>
      </c>
      <c r="U72" s="16" t="str">
        <f ca="1">IF(OFFSET(掉落_design!$E72,0,掉落_design!T$2,1,1)="","",OFFSET(掉落_design!$E72,0,掉落_design!T$2,1,1)&amp;";"&amp;OFFSET(掉落_design!$E72,0,掉落_design!T$2+1,1,1)&amp;";"&amp;OFFSET(掉落_design!$E72,0,掉落_design!T$2+2,1,1)&amp;";"&amp;OFFSET(掉落_design!$E72,0,掉落_design!T$2+3,1,1))</f>
        <v/>
      </c>
      <c r="V72" s="16" t="str">
        <f ca="1">IF(OFFSET(掉落_design!$E72,0,掉落_design!U$2,1,1)="","",OFFSET(掉落_design!$E72,0,掉落_design!U$2,1,1)&amp;";"&amp;OFFSET(掉落_design!$E72,0,掉落_design!U$2+1,1,1)&amp;";"&amp;OFFSET(掉落_design!$E72,0,掉落_design!U$2+2,1,1)&amp;";"&amp;OFFSET(掉落_design!$E72,0,掉落_design!U$2+3,1,1))</f>
        <v/>
      </c>
      <c r="W72" s="16" t="str">
        <f ca="1">IF(OFFSET(掉落_design!$E72,0,掉落_design!V$2,1,1)="","",OFFSET(掉落_design!$E72,0,掉落_design!V$2,1,1)&amp;";"&amp;OFFSET(掉落_design!$E72,0,掉落_design!V$2+1,1,1)&amp;";"&amp;OFFSET(掉落_design!$E72,0,掉落_design!V$2+2,1,1)&amp;";"&amp;OFFSET(掉落_design!$E72,0,掉落_design!V$2+3,1,1))</f>
        <v/>
      </c>
      <c r="X72" s="16" t="str">
        <f ca="1">IF(OFFSET(掉落_design!$E72,0,掉落_design!W$2,1,1)="","",OFFSET(掉落_design!$E72,0,掉落_design!W$2,1,1)&amp;";"&amp;OFFSET(掉落_design!$E72,0,掉落_design!W$2+1,1,1)&amp;";"&amp;OFFSET(掉落_design!$E72,0,掉落_design!W$2+2,1,1)&amp;";"&amp;OFFSET(掉落_design!$E72,0,掉落_design!W$2+3,1,1))</f>
        <v/>
      </c>
      <c r="Y72" s="16" t="str">
        <f ca="1">IF(OFFSET(掉落_design!$E72,0,掉落_design!X$2,1,1)="","",OFFSET(掉落_design!$E72,0,掉落_design!X$2,1,1)&amp;";"&amp;OFFSET(掉落_design!$E72,0,掉落_design!X$2+1,1,1)&amp;";"&amp;OFFSET(掉落_design!$E72,0,掉落_design!X$2+2,1,1)&amp;";"&amp;OFFSET(掉落_design!$E72,0,掉落_design!X$2+3,1,1))</f>
        <v/>
      </c>
    </row>
    <row r="73" spans="1:25" x14ac:dyDescent="0.15">
      <c r="A73" s="11" t="str">
        <f t="shared" si="28"/>
        <v/>
      </c>
      <c r="B73" s="25"/>
      <c r="C73" s="25"/>
      <c r="D73" s="15" t="str">
        <f>IF(掉落_design!C73="","",掉落_design!C73)</f>
        <v/>
      </c>
      <c r="E73" s="15" t="str">
        <f>IF(A73="","",掉落_design!D73)</f>
        <v/>
      </c>
      <c r="F73" s="16" t="str">
        <f ca="1">IF(OFFSET(掉落_design!$E73,0,掉落_design!E$2,1,1)="","",OFFSET(掉落_design!$E73,0,掉落_design!E$2,1,1)&amp;";"&amp;OFFSET(掉落_design!$E73,0,掉落_design!E$2+1,1,1)&amp;";"&amp;OFFSET(掉落_design!$E73,0,掉落_design!E$2+2,1,1)&amp;";"&amp;OFFSET(掉落_design!$E73,0,掉落_design!E$2+3,1,1))</f>
        <v/>
      </c>
      <c r="G73" s="16" t="str">
        <f ca="1">IF(OFFSET(掉落_design!$E73,0,掉落_design!F$2,1,1)="","",OFFSET(掉落_design!$E73,0,掉落_design!F$2,1,1)&amp;";"&amp;OFFSET(掉落_design!$E73,0,掉落_design!F$2+1,1,1)&amp;";"&amp;OFFSET(掉落_design!$E73,0,掉落_design!F$2+2,1,1)&amp;";"&amp;OFFSET(掉落_design!$E73,0,掉落_design!F$2+3,1,1))</f>
        <v/>
      </c>
      <c r="H73" s="16" t="str">
        <f ca="1">IF(OFFSET(掉落_design!$E73,0,掉落_design!G$2,1,1)="","",OFFSET(掉落_design!$E73,0,掉落_design!G$2,1,1)&amp;";"&amp;OFFSET(掉落_design!$E73,0,掉落_design!G$2+1,1,1)&amp;";"&amp;OFFSET(掉落_design!$E73,0,掉落_design!G$2+2,1,1)&amp;";"&amp;OFFSET(掉落_design!$E73,0,掉落_design!G$2+3,1,1))</f>
        <v/>
      </c>
      <c r="I73" s="16" t="str">
        <f ca="1">IF(OFFSET(掉落_design!$E73,0,掉落_design!H$2,1,1)="","",OFFSET(掉落_design!$E73,0,掉落_design!H$2,1,1)&amp;";"&amp;OFFSET(掉落_design!$E73,0,掉落_design!H$2+1,1,1)&amp;";"&amp;OFFSET(掉落_design!$E73,0,掉落_design!H$2+2,1,1)&amp;";"&amp;OFFSET(掉落_design!$E73,0,掉落_design!H$2+3,1,1))</f>
        <v/>
      </c>
      <c r="J73" s="16" t="str">
        <f ca="1">IF(OFFSET(掉落_design!$E73,0,掉落_design!I$2,1,1)="","",OFFSET(掉落_design!$E73,0,掉落_design!I$2,1,1)&amp;";"&amp;OFFSET(掉落_design!$E73,0,掉落_design!I$2+1,1,1)&amp;";"&amp;OFFSET(掉落_design!$E73,0,掉落_design!I$2+2,1,1)&amp;";"&amp;OFFSET(掉落_design!$E73,0,掉落_design!I$2+3,1,1))</f>
        <v/>
      </c>
      <c r="K73" s="16" t="str">
        <f ca="1">IF(OFFSET(掉落_design!$E73,0,掉落_design!J$2,1,1)="","",OFFSET(掉落_design!$E73,0,掉落_design!J$2,1,1)&amp;";"&amp;OFFSET(掉落_design!$E73,0,掉落_design!J$2+1,1,1)&amp;";"&amp;OFFSET(掉落_design!$E73,0,掉落_design!J$2+2,1,1)&amp;";"&amp;OFFSET(掉落_design!$E73,0,掉落_design!J$2+3,1,1))</f>
        <v/>
      </c>
      <c r="L73" s="16" t="str">
        <f ca="1">IF(OFFSET(掉落_design!$E73,0,掉落_design!K$2,1,1)="","",OFFSET(掉落_design!$E73,0,掉落_design!K$2,1,1)&amp;";"&amp;OFFSET(掉落_design!$E73,0,掉落_design!K$2+1,1,1)&amp;";"&amp;OFFSET(掉落_design!$E73,0,掉落_design!K$2+2,1,1)&amp;";"&amp;OFFSET(掉落_design!$E73,0,掉落_design!K$2+3,1,1))</f>
        <v/>
      </c>
      <c r="M73" s="16" t="str">
        <f ca="1">IF(OFFSET(掉落_design!$E73,0,掉落_design!L$2,1,1)="","",OFFSET(掉落_design!$E73,0,掉落_design!L$2,1,1)&amp;";"&amp;OFFSET(掉落_design!$E73,0,掉落_design!L$2+1,1,1)&amp;";"&amp;OFFSET(掉落_design!$E73,0,掉落_design!L$2+2,1,1)&amp;";"&amp;OFFSET(掉落_design!$E73,0,掉落_design!L$2+3,1,1))</f>
        <v/>
      </c>
      <c r="N73" s="16" t="str">
        <f ca="1">IF(OFFSET(掉落_design!$E73,0,掉落_design!M$2,1,1)="","",OFFSET(掉落_design!$E73,0,掉落_design!M$2,1,1)&amp;";"&amp;OFFSET(掉落_design!$E73,0,掉落_design!M$2+1,1,1)&amp;";"&amp;OFFSET(掉落_design!$E73,0,掉落_design!M$2+2,1,1)&amp;";"&amp;OFFSET(掉落_design!$E73,0,掉落_design!M$2+3,1,1))</f>
        <v/>
      </c>
      <c r="O73" s="16" t="str">
        <f ca="1">IF(OFFSET(掉落_design!$E73,0,掉落_design!N$2,1,1)="","",OFFSET(掉落_design!$E73,0,掉落_design!N$2,1,1)&amp;";"&amp;OFFSET(掉落_design!$E73,0,掉落_design!N$2+1,1,1)&amp;";"&amp;OFFSET(掉落_design!$E73,0,掉落_design!N$2+2,1,1)&amp;";"&amp;OFFSET(掉落_design!$E73,0,掉落_design!N$2+3,1,1))</f>
        <v/>
      </c>
      <c r="P73" s="16" t="str">
        <f ca="1">IF(OFFSET(掉落_design!$E73,0,掉落_design!O$2,1,1)="","",OFFSET(掉落_design!$E73,0,掉落_design!O$2,1,1)&amp;";"&amp;OFFSET(掉落_design!$E73,0,掉落_design!O$2+1,1,1)&amp;";"&amp;OFFSET(掉落_design!$E73,0,掉落_design!O$2+2,1,1)&amp;";"&amp;OFFSET(掉落_design!$E73,0,掉落_design!O$2+3,1,1))</f>
        <v/>
      </c>
      <c r="Q73" s="16" t="str">
        <f ca="1">IF(OFFSET(掉落_design!$E73,0,掉落_design!P$2,1,1)="","",OFFSET(掉落_design!$E73,0,掉落_design!P$2,1,1)&amp;";"&amp;OFFSET(掉落_design!$E73,0,掉落_design!P$2+1,1,1)&amp;";"&amp;OFFSET(掉落_design!$E73,0,掉落_design!P$2+2,1,1)&amp;";"&amp;OFFSET(掉落_design!$E73,0,掉落_design!P$2+3,1,1))</f>
        <v/>
      </c>
      <c r="R73" s="16" t="str">
        <f ca="1">IF(OFFSET(掉落_design!$E73,0,掉落_design!Q$2,1,1)="","",OFFSET(掉落_design!$E73,0,掉落_design!Q$2,1,1)&amp;";"&amp;OFFSET(掉落_design!$E73,0,掉落_design!Q$2+1,1,1)&amp;";"&amp;OFFSET(掉落_design!$E73,0,掉落_design!Q$2+2,1,1)&amp;";"&amp;OFFSET(掉落_design!$E73,0,掉落_design!Q$2+3,1,1))</f>
        <v/>
      </c>
      <c r="S73" s="16" t="str">
        <f ca="1">IF(OFFSET(掉落_design!$E73,0,掉落_design!R$2,1,1)="","",OFFSET(掉落_design!$E73,0,掉落_design!R$2,1,1)&amp;";"&amp;OFFSET(掉落_design!$E73,0,掉落_design!R$2+1,1,1)&amp;";"&amp;OFFSET(掉落_design!$E73,0,掉落_design!R$2+2,1,1)&amp;";"&amp;OFFSET(掉落_design!$E73,0,掉落_design!R$2+3,1,1))</f>
        <v/>
      </c>
      <c r="T73" s="16" t="str">
        <f ca="1">IF(OFFSET(掉落_design!$E73,0,掉落_design!S$2,1,1)="","",OFFSET(掉落_design!$E73,0,掉落_design!S$2,1,1)&amp;";"&amp;OFFSET(掉落_design!$E73,0,掉落_design!S$2+1,1,1)&amp;";"&amp;OFFSET(掉落_design!$E73,0,掉落_design!S$2+2,1,1)&amp;";"&amp;OFFSET(掉落_design!$E73,0,掉落_design!S$2+3,1,1))</f>
        <v/>
      </c>
      <c r="U73" s="16" t="str">
        <f ca="1">IF(OFFSET(掉落_design!$E73,0,掉落_design!T$2,1,1)="","",OFFSET(掉落_design!$E73,0,掉落_design!T$2,1,1)&amp;";"&amp;OFFSET(掉落_design!$E73,0,掉落_design!T$2+1,1,1)&amp;";"&amp;OFFSET(掉落_design!$E73,0,掉落_design!T$2+2,1,1)&amp;";"&amp;OFFSET(掉落_design!$E73,0,掉落_design!T$2+3,1,1))</f>
        <v/>
      </c>
      <c r="V73" s="16" t="str">
        <f ca="1">IF(OFFSET(掉落_design!$E73,0,掉落_design!U$2,1,1)="","",OFFSET(掉落_design!$E73,0,掉落_design!U$2,1,1)&amp;";"&amp;OFFSET(掉落_design!$E73,0,掉落_design!U$2+1,1,1)&amp;";"&amp;OFFSET(掉落_design!$E73,0,掉落_design!U$2+2,1,1)&amp;";"&amp;OFFSET(掉落_design!$E73,0,掉落_design!U$2+3,1,1))</f>
        <v/>
      </c>
      <c r="W73" s="16" t="str">
        <f ca="1">IF(OFFSET(掉落_design!$E73,0,掉落_design!V$2,1,1)="","",OFFSET(掉落_design!$E73,0,掉落_design!V$2,1,1)&amp;";"&amp;OFFSET(掉落_design!$E73,0,掉落_design!V$2+1,1,1)&amp;";"&amp;OFFSET(掉落_design!$E73,0,掉落_design!V$2+2,1,1)&amp;";"&amp;OFFSET(掉落_design!$E73,0,掉落_design!V$2+3,1,1))</f>
        <v/>
      </c>
      <c r="X73" s="16" t="str">
        <f ca="1">IF(OFFSET(掉落_design!$E73,0,掉落_design!W$2,1,1)="","",OFFSET(掉落_design!$E73,0,掉落_design!W$2,1,1)&amp;";"&amp;OFFSET(掉落_design!$E73,0,掉落_design!W$2+1,1,1)&amp;";"&amp;OFFSET(掉落_design!$E73,0,掉落_design!W$2+2,1,1)&amp;";"&amp;OFFSET(掉落_design!$E73,0,掉落_design!W$2+3,1,1))</f>
        <v/>
      </c>
      <c r="Y73" s="16" t="str">
        <f ca="1">IF(OFFSET(掉落_design!$E73,0,掉落_design!X$2,1,1)="","",OFFSET(掉落_design!$E73,0,掉落_design!X$2,1,1)&amp;";"&amp;OFFSET(掉落_design!$E73,0,掉落_design!X$2+1,1,1)&amp;";"&amp;OFFSET(掉落_design!$E73,0,掉落_design!X$2+2,1,1)&amp;";"&amp;OFFSET(掉落_design!$E73,0,掉落_design!X$2+3,1,1))</f>
        <v/>
      </c>
    </row>
    <row r="74" spans="1:25" x14ac:dyDescent="0.15">
      <c r="A74" s="11" t="str">
        <f t="shared" ref="A74:A91" si="29">IF(D74="","","DATA")</f>
        <v>DATA</v>
      </c>
      <c r="B74" s="25"/>
      <c r="C74" s="25"/>
      <c r="D74" s="15">
        <f>IF(掉落_design!C74="","",掉落_design!C74)</f>
        <v>20900</v>
      </c>
      <c r="E74" s="15">
        <f>IF(A74="","",掉落_design!D74)</f>
        <v>1</v>
      </c>
      <c r="F74" s="16" t="str">
        <f ca="1">IF(OFFSET(掉落_design!$E74,0,掉落_design!E$2,1,1)="","",OFFSET(掉落_design!$E74,0,掉落_design!E$2,1,1)&amp;";"&amp;OFFSET(掉落_design!$E74,0,掉落_design!E$2+1,1,1)&amp;";"&amp;OFFSET(掉落_design!$E74,0,掉落_design!E$2+2,1,1)&amp;";"&amp;OFFSET(掉落_design!$E74,0,掉落_design!E$2+3,1,1))</f>
        <v>1001;80;100;1000</v>
      </c>
      <c r="G74" s="16" t="str">
        <f ca="1">IF(OFFSET(掉落_design!$E74,0,掉落_design!F$2,1,1)="","",OFFSET(掉落_design!$E74,0,掉落_design!F$2,1,1)&amp;";"&amp;OFFSET(掉落_design!$E74,0,掉落_design!F$2+1,1,1)&amp;";"&amp;OFFSET(掉落_design!$E74,0,掉落_design!F$2+2,1,1)&amp;";"&amp;OFFSET(掉落_design!$E74,0,掉落_design!F$2+3,1,1))</f>
        <v>1204;1;1;1000</v>
      </c>
      <c r="H74" s="16" t="str">
        <f ca="1">IF(OFFSET(掉落_design!$E74,0,掉落_design!G$2,1,1)="","",OFFSET(掉落_design!$E74,0,掉落_design!G$2,1,1)&amp;";"&amp;OFFSET(掉落_design!$E74,0,掉落_design!G$2+1,1,1)&amp;";"&amp;OFFSET(掉落_design!$E74,0,掉落_design!G$2+2,1,1)&amp;";"&amp;OFFSET(掉落_design!$E74,0,掉落_design!G$2+3,1,1))</f>
        <v/>
      </c>
      <c r="I74" s="16" t="str">
        <f ca="1">IF(OFFSET(掉落_design!$E74,0,掉落_design!H$2,1,1)="","",OFFSET(掉落_design!$E74,0,掉落_design!H$2,1,1)&amp;";"&amp;OFFSET(掉落_design!$E74,0,掉落_design!H$2+1,1,1)&amp;";"&amp;OFFSET(掉落_design!$E74,0,掉落_design!H$2+2,1,1)&amp;";"&amp;OFFSET(掉落_design!$E74,0,掉落_design!H$2+3,1,1))</f>
        <v/>
      </c>
      <c r="J74" s="16" t="str">
        <f ca="1">IF(OFFSET(掉落_design!$E74,0,掉落_design!I$2,1,1)="","",OFFSET(掉落_design!$E74,0,掉落_design!I$2,1,1)&amp;";"&amp;OFFSET(掉落_design!$E74,0,掉落_design!I$2+1,1,1)&amp;";"&amp;OFFSET(掉落_design!$E74,0,掉落_design!I$2+2,1,1)&amp;";"&amp;OFFSET(掉落_design!$E74,0,掉落_design!I$2+3,1,1))</f>
        <v/>
      </c>
      <c r="K74" s="16" t="str">
        <f ca="1">IF(OFFSET(掉落_design!$E74,0,掉落_design!J$2,1,1)="","",OFFSET(掉落_design!$E74,0,掉落_design!J$2,1,1)&amp;";"&amp;OFFSET(掉落_design!$E74,0,掉落_design!J$2+1,1,1)&amp;";"&amp;OFFSET(掉落_design!$E74,0,掉落_design!J$2+2,1,1)&amp;";"&amp;OFFSET(掉落_design!$E74,0,掉落_design!J$2+3,1,1))</f>
        <v/>
      </c>
      <c r="L74" s="16" t="str">
        <f ca="1">IF(OFFSET(掉落_design!$E74,0,掉落_design!K$2,1,1)="","",OFFSET(掉落_design!$E74,0,掉落_design!K$2,1,1)&amp;";"&amp;OFFSET(掉落_design!$E74,0,掉落_design!K$2+1,1,1)&amp;";"&amp;OFFSET(掉落_design!$E74,0,掉落_design!K$2+2,1,1)&amp;";"&amp;OFFSET(掉落_design!$E74,0,掉落_design!K$2+3,1,1))</f>
        <v/>
      </c>
      <c r="M74" s="16" t="str">
        <f ca="1">IF(OFFSET(掉落_design!$E74,0,掉落_design!L$2,1,1)="","",OFFSET(掉落_design!$E74,0,掉落_design!L$2,1,1)&amp;";"&amp;OFFSET(掉落_design!$E74,0,掉落_design!L$2+1,1,1)&amp;";"&amp;OFFSET(掉落_design!$E74,0,掉落_design!L$2+2,1,1)&amp;";"&amp;OFFSET(掉落_design!$E74,0,掉落_design!L$2+3,1,1))</f>
        <v/>
      </c>
      <c r="N74" s="16" t="str">
        <f ca="1">IF(OFFSET(掉落_design!$E74,0,掉落_design!M$2,1,1)="","",OFFSET(掉落_design!$E74,0,掉落_design!M$2,1,1)&amp;";"&amp;OFFSET(掉落_design!$E74,0,掉落_design!M$2+1,1,1)&amp;";"&amp;OFFSET(掉落_design!$E74,0,掉落_design!M$2+2,1,1)&amp;";"&amp;OFFSET(掉落_design!$E74,0,掉落_design!M$2+3,1,1))</f>
        <v/>
      </c>
      <c r="O74" s="16" t="str">
        <f ca="1">IF(OFFSET(掉落_design!$E74,0,掉落_design!N$2,1,1)="","",OFFSET(掉落_design!$E74,0,掉落_design!N$2,1,1)&amp;";"&amp;OFFSET(掉落_design!$E74,0,掉落_design!N$2+1,1,1)&amp;";"&amp;OFFSET(掉落_design!$E74,0,掉落_design!N$2+2,1,1)&amp;";"&amp;OFFSET(掉落_design!$E74,0,掉落_design!N$2+3,1,1))</f>
        <v/>
      </c>
      <c r="P74" s="16" t="str">
        <f ca="1">IF(OFFSET(掉落_design!$E74,0,掉落_design!O$2,1,1)="","",OFFSET(掉落_design!$E74,0,掉落_design!O$2,1,1)&amp;";"&amp;OFFSET(掉落_design!$E74,0,掉落_design!O$2+1,1,1)&amp;";"&amp;OFFSET(掉落_design!$E74,0,掉落_design!O$2+2,1,1)&amp;";"&amp;OFFSET(掉落_design!$E74,0,掉落_design!O$2+3,1,1))</f>
        <v/>
      </c>
      <c r="Q74" s="16" t="str">
        <f ca="1">IF(OFFSET(掉落_design!$E74,0,掉落_design!P$2,1,1)="","",OFFSET(掉落_design!$E74,0,掉落_design!P$2,1,1)&amp;";"&amp;OFFSET(掉落_design!$E74,0,掉落_design!P$2+1,1,1)&amp;";"&amp;OFFSET(掉落_design!$E74,0,掉落_design!P$2+2,1,1)&amp;";"&amp;OFFSET(掉落_design!$E74,0,掉落_design!P$2+3,1,1))</f>
        <v/>
      </c>
      <c r="R74" s="16" t="str">
        <f ca="1">IF(OFFSET(掉落_design!$E74,0,掉落_design!Q$2,1,1)="","",OFFSET(掉落_design!$E74,0,掉落_design!Q$2,1,1)&amp;";"&amp;OFFSET(掉落_design!$E74,0,掉落_design!Q$2+1,1,1)&amp;";"&amp;OFFSET(掉落_design!$E74,0,掉落_design!Q$2+2,1,1)&amp;";"&amp;OFFSET(掉落_design!$E74,0,掉落_design!Q$2+3,1,1))</f>
        <v/>
      </c>
      <c r="S74" s="16" t="str">
        <f ca="1">IF(OFFSET(掉落_design!$E74,0,掉落_design!R$2,1,1)="","",OFFSET(掉落_design!$E74,0,掉落_design!R$2,1,1)&amp;";"&amp;OFFSET(掉落_design!$E74,0,掉落_design!R$2+1,1,1)&amp;";"&amp;OFFSET(掉落_design!$E74,0,掉落_design!R$2+2,1,1)&amp;";"&amp;OFFSET(掉落_design!$E74,0,掉落_design!R$2+3,1,1))</f>
        <v/>
      </c>
      <c r="T74" s="16" t="str">
        <f ca="1">IF(OFFSET(掉落_design!$E74,0,掉落_design!S$2,1,1)="","",OFFSET(掉落_design!$E74,0,掉落_design!S$2,1,1)&amp;";"&amp;OFFSET(掉落_design!$E74,0,掉落_design!S$2+1,1,1)&amp;";"&amp;OFFSET(掉落_design!$E74,0,掉落_design!S$2+2,1,1)&amp;";"&amp;OFFSET(掉落_design!$E74,0,掉落_design!S$2+3,1,1))</f>
        <v/>
      </c>
      <c r="U74" s="16" t="str">
        <f ca="1">IF(OFFSET(掉落_design!$E74,0,掉落_design!T$2,1,1)="","",OFFSET(掉落_design!$E74,0,掉落_design!T$2,1,1)&amp;";"&amp;OFFSET(掉落_design!$E74,0,掉落_design!T$2+1,1,1)&amp;";"&amp;OFFSET(掉落_design!$E74,0,掉落_design!T$2+2,1,1)&amp;";"&amp;OFFSET(掉落_design!$E74,0,掉落_design!T$2+3,1,1))</f>
        <v/>
      </c>
      <c r="V74" s="16" t="str">
        <f ca="1">IF(OFFSET(掉落_design!$E74,0,掉落_design!U$2,1,1)="","",OFFSET(掉落_design!$E74,0,掉落_design!U$2,1,1)&amp;";"&amp;OFFSET(掉落_design!$E74,0,掉落_design!U$2+1,1,1)&amp;";"&amp;OFFSET(掉落_design!$E74,0,掉落_design!U$2+2,1,1)&amp;";"&amp;OFFSET(掉落_design!$E74,0,掉落_design!U$2+3,1,1))</f>
        <v/>
      </c>
      <c r="W74" s="16" t="str">
        <f ca="1">IF(OFFSET(掉落_design!$E74,0,掉落_design!V$2,1,1)="","",OFFSET(掉落_design!$E74,0,掉落_design!V$2,1,1)&amp;";"&amp;OFFSET(掉落_design!$E74,0,掉落_design!V$2+1,1,1)&amp;";"&amp;OFFSET(掉落_design!$E74,0,掉落_design!V$2+2,1,1)&amp;";"&amp;OFFSET(掉落_design!$E74,0,掉落_design!V$2+3,1,1))</f>
        <v/>
      </c>
      <c r="X74" s="16" t="str">
        <f ca="1">IF(OFFSET(掉落_design!$E74,0,掉落_design!W$2,1,1)="","",OFFSET(掉落_design!$E74,0,掉落_design!W$2,1,1)&amp;";"&amp;OFFSET(掉落_design!$E74,0,掉落_design!W$2+1,1,1)&amp;";"&amp;OFFSET(掉落_design!$E74,0,掉落_design!W$2+2,1,1)&amp;";"&amp;OFFSET(掉落_design!$E74,0,掉落_design!W$2+3,1,1))</f>
        <v/>
      </c>
      <c r="Y74" s="16" t="str">
        <f ca="1">IF(OFFSET(掉落_design!$E74,0,掉落_design!X$2,1,1)="","",OFFSET(掉落_design!$E74,0,掉落_design!X$2,1,1)&amp;";"&amp;OFFSET(掉落_design!$E74,0,掉落_design!X$2+1,1,1)&amp;";"&amp;OFFSET(掉落_design!$E74,0,掉落_design!X$2+2,1,1)&amp;";"&amp;OFFSET(掉落_design!$E74,0,掉落_design!X$2+3,1,1))</f>
        <v/>
      </c>
    </row>
    <row r="75" spans="1:25" x14ac:dyDescent="0.15">
      <c r="A75" s="11" t="str">
        <f t="shared" si="29"/>
        <v>DATA</v>
      </c>
      <c r="B75" s="25"/>
      <c r="C75" s="25"/>
      <c r="D75" s="15">
        <f>IF(掉落_design!C75="","",掉落_design!C75)</f>
        <v>20901</v>
      </c>
      <c r="E75" s="15">
        <f>IF(A75="","",掉落_design!D75)</f>
        <v>2</v>
      </c>
      <c r="F75" s="16" t="str">
        <f ca="1">IF(OFFSET(掉落_design!$E75,0,掉落_design!E$2,1,1)="","",OFFSET(掉落_design!$E75,0,掉落_design!E$2,1,1)&amp;";"&amp;OFFSET(掉落_design!$E75,0,掉落_design!E$2+1,1,1)&amp;";"&amp;OFFSET(掉落_design!$E75,0,掉落_design!E$2+2,1,1)&amp;";"&amp;OFFSET(掉落_design!$E75,0,掉落_design!E$2+3,1,1))</f>
        <v>20533;1;1;1</v>
      </c>
      <c r="G75" s="16" t="str">
        <f ca="1">IF(OFFSET(掉落_design!$E75,0,掉落_design!F$2,1,1)="","",OFFSET(掉落_design!$E75,0,掉落_design!F$2,1,1)&amp;";"&amp;OFFSET(掉落_design!$E75,0,掉落_design!F$2+1,1,1)&amp;";"&amp;OFFSET(掉落_design!$E75,0,掉落_design!F$2+2,1,1)&amp;";"&amp;OFFSET(掉落_design!$E75,0,掉落_design!F$2+3,1,1))</f>
        <v>20634;1;1;1</v>
      </c>
      <c r="H75" s="16" t="str">
        <f ca="1">IF(OFFSET(掉落_design!$E75,0,掉落_design!G$2,1,1)="","",OFFSET(掉落_design!$E75,0,掉落_design!G$2,1,1)&amp;";"&amp;OFFSET(掉落_design!$E75,0,掉落_design!G$2+1,1,1)&amp;";"&amp;OFFSET(掉落_design!$E75,0,掉落_design!G$2+2,1,1)&amp;";"&amp;OFFSET(掉落_design!$E75,0,掉落_design!G$2+3,1,1))</f>
        <v>20533;1;1;1</v>
      </c>
      <c r="I75" s="16" t="str">
        <f ca="1">IF(OFFSET(掉落_design!$E75,0,掉落_design!H$2,1,1)="","",OFFSET(掉落_design!$E75,0,掉落_design!H$2,1,1)&amp;";"&amp;OFFSET(掉落_design!$E75,0,掉落_design!H$2+1,1,1)&amp;";"&amp;OFFSET(掉落_design!$E75,0,掉落_design!H$2+2,1,1)&amp;";"&amp;OFFSET(掉落_design!$E75,0,掉落_design!H$2+3,1,1))</f>
        <v>20534;1;1;1</v>
      </c>
      <c r="J75" s="16" t="str">
        <f ca="1">IF(OFFSET(掉落_design!$E75,0,掉落_design!I$2,1,1)="","",OFFSET(掉落_design!$E75,0,掉落_design!I$2,1,1)&amp;";"&amp;OFFSET(掉落_design!$E75,0,掉落_design!I$2+1,1,1)&amp;";"&amp;OFFSET(掉落_design!$E75,0,掉落_design!I$2+2,1,1)&amp;";"&amp;OFFSET(掉落_design!$E75,0,掉落_design!I$2+3,1,1))</f>
        <v>20333;1;1;1</v>
      </c>
      <c r="K75" s="16" t="str">
        <f ca="1">IF(OFFSET(掉落_design!$E75,0,掉落_design!J$2,1,1)="","",OFFSET(掉落_design!$E75,0,掉落_design!J$2,1,1)&amp;";"&amp;OFFSET(掉落_design!$E75,0,掉落_design!J$2+1,1,1)&amp;";"&amp;OFFSET(掉落_design!$E75,0,掉落_design!J$2+2,1,1)&amp;";"&amp;OFFSET(掉落_design!$E75,0,掉落_design!J$2+3,1,1))</f>
        <v>20534;1;1;1</v>
      </c>
      <c r="L75" s="16" t="str">
        <f ca="1">IF(OFFSET(掉落_design!$E75,0,掉落_design!K$2,1,1)="","",OFFSET(掉落_design!$E75,0,掉落_design!K$2,1,1)&amp;";"&amp;OFFSET(掉落_design!$E75,0,掉落_design!K$2+1,1,1)&amp;";"&amp;OFFSET(掉落_design!$E75,0,掉落_design!K$2+2,1,1)&amp;";"&amp;OFFSET(掉落_design!$E75,0,掉落_design!K$2+3,1,1))</f>
        <v>20333;1;1;1</v>
      </c>
      <c r="M75" s="16" t="str">
        <f ca="1">IF(OFFSET(掉落_design!$E75,0,掉落_design!L$2,1,1)="","",OFFSET(掉落_design!$E75,0,掉落_design!L$2,1,1)&amp;";"&amp;OFFSET(掉落_design!$E75,0,掉落_design!L$2+1,1,1)&amp;";"&amp;OFFSET(掉落_design!$E75,0,掉落_design!L$2+2,1,1)&amp;";"&amp;OFFSET(掉落_design!$E75,0,掉落_design!L$2+3,1,1))</f>
        <v>20433;1;1;1</v>
      </c>
      <c r="N75" s="16" t="str">
        <f ca="1">IF(OFFSET(掉落_design!$E75,0,掉落_design!M$2,1,1)="","",OFFSET(掉落_design!$E75,0,掉落_design!M$2,1,1)&amp;";"&amp;OFFSET(掉落_design!$E75,0,掉落_design!M$2+1,1,1)&amp;";"&amp;OFFSET(掉落_design!$E75,0,掉落_design!M$2+2,1,1)&amp;";"&amp;OFFSET(掉落_design!$E75,0,掉落_design!M$2+3,1,1))</f>
        <v>20634;1;1;1</v>
      </c>
      <c r="O75" s="16" t="str">
        <f ca="1">IF(OFFSET(掉落_design!$E75,0,掉落_design!N$2,1,1)="","",OFFSET(掉落_design!$E75,0,掉落_design!N$2,1,1)&amp;";"&amp;OFFSET(掉落_design!$E75,0,掉落_design!N$2+1,1,1)&amp;";"&amp;OFFSET(掉落_design!$E75,0,掉落_design!N$2+2,1,1)&amp;";"&amp;OFFSET(掉落_design!$E75,0,掉落_design!N$2+3,1,1))</f>
        <v>20534;1;1;1</v>
      </c>
      <c r="P75" s="16" t="str">
        <f ca="1">IF(OFFSET(掉落_design!$E75,0,掉落_design!O$2,1,1)="","",OFFSET(掉落_design!$E75,0,掉落_design!O$2,1,1)&amp;";"&amp;OFFSET(掉落_design!$E75,0,掉落_design!O$2+1,1,1)&amp;";"&amp;OFFSET(掉落_design!$E75,0,掉落_design!O$2+2,1,1)&amp;";"&amp;OFFSET(掉落_design!$E75,0,掉落_design!O$2+3,1,1))</f>
        <v>1001;450;500;20</v>
      </c>
      <c r="Q75" s="16" t="str">
        <f ca="1">IF(OFFSET(掉落_design!$E75,0,掉落_design!P$2,1,1)="","",OFFSET(掉落_design!$E75,0,掉落_design!P$2,1,1)&amp;";"&amp;OFFSET(掉落_design!$E75,0,掉落_design!P$2+1,1,1)&amp;";"&amp;OFFSET(掉落_design!$E75,0,掉落_design!P$2+2,1,1)&amp;";"&amp;OFFSET(掉落_design!$E75,0,掉落_design!P$2+3,1,1))</f>
        <v/>
      </c>
      <c r="R75" s="16" t="str">
        <f ca="1">IF(OFFSET(掉落_design!$E75,0,掉落_design!Q$2,1,1)="","",OFFSET(掉落_design!$E75,0,掉落_design!Q$2,1,1)&amp;";"&amp;OFFSET(掉落_design!$E75,0,掉落_design!Q$2+1,1,1)&amp;";"&amp;OFFSET(掉落_design!$E75,0,掉落_design!Q$2+2,1,1)&amp;";"&amp;OFFSET(掉落_design!$E75,0,掉落_design!Q$2+3,1,1))</f>
        <v/>
      </c>
      <c r="S75" s="16" t="str">
        <f ca="1">IF(OFFSET(掉落_design!$E75,0,掉落_design!R$2,1,1)="","",OFFSET(掉落_design!$E75,0,掉落_design!R$2,1,1)&amp;";"&amp;OFFSET(掉落_design!$E75,0,掉落_design!R$2+1,1,1)&amp;";"&amp;OFFSET(掉落_design!$E75,0,掉落_design!R$2+2,1,1)&amp;";"&amp;OFFSET(掉落_design!$E75,0,掉落_design!R$2+3,1,1))</f>
        <v/>
      </c>
      <c r="T75" s="16" t="str">
        <f ca="1">IF(OFFSET(掉落_design!$E75,0,掉落_design!S$2,1,1)="","",OFFSET(掉落_design!$E75,0,掉落_design!S$2,1,1)&amp;";"&amp;OFFSET(掉落_design!$E75,0,掉落_design!S$2+1,1,1)&amp;";"&amp;OFFSET(掉落_design!$E75,0,掉落_design!S$2+2,1,1)&amp;";"&amp;OFFSET(掉落_design!$E75,0,掉落_design!S$2+3,1,1))</f>
        <v/>
      </c>
      <c r="U75" s="16" t="str">
        <f ca="1">IF(OFFSET(掉落_design!$E75,0,掉落_design!T$2,1,1)="","",OFFSET(掉落_design!$E75,0,掉落_design!T$2,1,1)&amp;";"&amp;OFFSET(掉落_design!$E75,0,掉落_design!T$2+1,1,1)&amp;";"&amp;OFFSET(掉落_design!$E75,0,掉落_design!T$2+2,1,1)&amp;";"&amp;OFFSET(掉落_design!$E75,0,掉落_design!T$2+3,1,1))</f>
        <v/>
      </c>
      <c r="V75" s="16" t="str">
        <f ca="1">IF(OFFSET(掉落_design!$E75,0,掉落_design!U$2,1,1)="","",OFFSET(掉落_design!$E75,0,掉落_design!U$2,1,1)&amp;";"&amp;OFFSET(掉落_design!$E75,0,掉落_design!U$2+1,1,1)&amp;";"&amp;OFFSET(掉落_design!$E75,0,掉落_design!U$2+2,1,1)&amp;";"&amp;OFFSET(掉落_design!$E75,0,掉落_design!U$2+3,1,1))</f>
        <v/>
      </c>
      <c r="W75" s="16" t="str">
        <f ca="1">IF(OFFSET(掉落_design!$E75,0,掉落_design!V$2,1,1)="","",OFFSET(掉落_design!$E75,0,掉落_design!V$2,1,1)&amp;";"&amp;OFFSET(掉落_design!$E75,0,掉落_design!V$2+1,1,1)&amp;";"&amp;OFFSET(掉落_design!$E75,0,掉落_design!V$2+2,1,1)&amp;";"&amp;OFFSET(掉落_design!$E75,0,掉落_design!V$2+3,1,1))</f>
        <v/>
      </c>
      <c r="X75" s="16" t="str">
        <f ca="1">IF(OFFSET(掉落_design!$E75,0,掉落_design!W$2,1,1)="","",OFFSET(掉落_design!$E75,0,掉落_design!W$2,1,1)&amp;";"&amp;OFFSET(掉落_design!$E75,0,掉落_design!W$2+1,1,1)&amp;";"&amp;OFFSET(掉落_design!$E75,0,掉落_design!W$2+2,1,1)&amp;";"&amp;OFFSET(掉落_design!$E75,0,掉落_design!W$2+3,1,1))</f>
        <v/>
      </c>
      <c r="Y75" s="16" t="str">
        <f ca="1">IF(OFFSET(掉落_design!$E75,0,掉落_design!X$2,1,1)="","",OFFSET(掉落_design!$E75,0,掉落_design!X$2,1,1)&amp;";"&amp;OFFSET(掉落_design!$E75,0,掉落_design!X$2+1,1,1)&amp;";"&amp;OFFSET(掉落_design!$E75,0,掉落_design!X$2+2,1,1)&amp;";"&amp;OFFSET(掉落_design!$E75,0,掉落_design!X$2+3,1,1))</f>
        <v/>
      </c>
    </row>
    <row r="76" spans="1:25" x14ac:dyDescent="0.15">
      <c r="A76" s="11" t="str">
        <f t="shared" si="29"/>
        <v/>
      </c>
      <c r="B76" s="25"/>
      <c r="C76" s="25"/>
      <c r="D76" s="15" t="str">
        <f>IF(掉落_design!C76="","",掉落_design!C76)</f>
        <v/>
      </c>
      <c r="E76" s="15" t="str">
        <f>IF(A76="","",掉落_design!D76)</f>
        <v/>
      </c>
      <c r="F76" s="16" t="str">
        <f ca="1">IF(OFFSET(掉落_design!$E76,0,掉落_design!E$2,1,1)="","",OFFSET(掉落_design!$E76,0,掉落_design!E$2,1,1)&amp;";"&amp;OFFSET(掉落_design!$E76,0,掉落_design!E$2+1,1,1)&amp;";"&amp;OFFSET(掉落_design!$E76,0,掉落_design!E$2+2,1,1)&amp;";"&amp;OFFSET(掉落_design!$E76,0,掉落_design!E$2+3,1,1))</f>
        <v/>
      </c>
      <c r="G76" s="16" t="str">
        <f ca="1">IF(OFFSET(掉落_design!$E76,0,掉落_design!F$2,1,1)="","",OFFSET(掉落_design!$E76,0,掉落_design!F$2,1,1)&amp;";"&amp;OFFSET(掉落_design!$E76,0,掉落_design!F$2+1,1,1)&amp;";"&amp;OFFSET(掉落_design!$E76,0,掉落_design!F$2+2,1,1)&amp;";"&amp;OFFSET(掉落_design!$E76,0,掉落_design!F$2+3,1,1))</f>
        <v/>
      </c>
      <c r="H76" s="16" t="str">
        <f ca="1">IF(OFFSET(掉落_design!$E76,0,掉落_design!G$2,1,1)="","",OFFSET(掉落_design!$E76,0,掉落_design!G$2,1,1)&amp;";"&amp;OFFSET(掉落_design!$E76,0,掉落_design!G$2+1,1,1)&amp;";"&amp;OFFSET(掉落_design!$E76,0,掉落_design!G$2+2,1,1)&amp;";"&amp;OFFSET(掉落_design!$E76,0,掉落_design!G$2+3,1,1))</f>
        <v/>
      </c>
      <c r="I76" s="16" t="str">
        <f ca="1">IF(OFFSET(掉落_design!$E76,0,掉落_design!H$2,1,1)="","",OFFSET(掉落_design!$E76,0,掉落_design!H$2,1,1)&amp;";"&amp;OFFSET(掉落_design!$E76,0,掉落_design!H$2+1,1,1)&amp;";"&amp;OFFSET(掉落_design!$E76,0,掉落_design!H$2+2,1,1)&amp;";"&amp;OFFSET(掉落_design!$E76,0,掉落_design!H$2+3,1,1))</f>
        <v/>
      </c>
      <c r="J76" s="16" t="str">
        <f ca="1">IF(OFFSET(掉落_design!$E76,0,掉落_design!I$2,1,1)="","",OFFSET(掉落_design!$E76,0,掉落_design!I$2,1,1)&amp;";"&amp;OFFSET(掉落_design!$E76,0,掉落_design!I$2+1,1,1)&amp;";"&amp;OFFSET(掉落_design!$E76,0,掉落_design!I$2+2,1,1)&amp;";"&amp;OFFSET(掉落_design!$E76,0,掉落_design!I$2+3,1,1))</f>
        <v/>
      </c>
      <c r="K76" s="16" t="str">
        <f ca="1">IF(OFFSET(掉落_design!$E76,0,掉落_design!J$2,1,1)="","",OFFSET(掉落_design!$E76,0,掉落_design!J$2,1,1)&amp;";"&amp;OFFSET(掉落_design!$E76,0,掉落_design!J$2+1,1,1)&amp;";"&amp;OFFSET(掉落_design!$E76,0,掉落_design!J$2+2,1,1)&amp;";"&amp;OFFSET(掉落_design!$E76,0,掉落_design!J$2+3,1,1))</f>
        <v/>
      </c>
      <c r="L76" s="16" t="str">
        <f ca="1">IF(OFFSET(掉落_design!$E76,0,掉落_design!K$2,1,1)="","",OFFSET(掉落_design!$E76,0,掉落_design!K$2,1,1)&amp;";"&amp;OFFSET(掉落_design!$E76,0,掉落_design!K$2+1,1,1)&amp;";"&amp;OFFSET(掉落_design!$E76,0,掉落_design!K$2+2,1,1)&amp;";"&amp;OFFSET(掉落_design!$E76,0,掉落_design!K$2+3,1,1))</f>
        <v/>
      </c>
      <c r="M76" s="16" t="str">
        <f ca="1">IF(OFFSET(掉落_design!$E76,0,掉落_design!L$2,1,1)="","",OFFSET(掉落_design!$E76,0,掉落_design!L$2,1,1)&amp;";"&amp;OFFSET(掉落_design!$E76,0,掉落_design!L$2+1,1,1)&amp;";"&amp;OFFSET(掉落_design!$E76,0,掉落_design!L$2+2,1,1)&amp;";"&amp;OFFSET(掉落_design!$E76,0,掉落_design!L$2+3,1,1))</f>
        <v/>
      </c>
      <c r="N76" s="16" t="str">
        <f ca="1">IF(OFFSET(掉落_design!$E76,0,掉落_design!M$2,1,1)="","",OFFSET(掉落_design!$E76,0,掉落_design!M$2,1,1)&amp;";"&amp;OFFSET(掉落_design!$E76,0,掉落_design!M$2+1,1,1)&amp;";"&amp;OFFSET(掉落_design!$E76,0,掉落_design!M$2+2,1,1)&amp;";"&amp;OFFSET(掉落_design!$E76,0,掉落_design!M$2+3,1,1))</f>
        <v/>
      </c>
      <c r="O76" s="16" t="str">
        <f ca="1">IF(OFFSET(掉落_design!$E76,0,掉落_design!N$2,1,1)="","",OFFSET(掉落_design!$E76,0,掉落_design!N$2,1,1)&amp;";"&amp;OFFSET(掉落_design!$E76,0,掉落_design!N$2+1,1,1)&amp;";"&amp;OFFSET(掉落_design!$E76,0,掉落_design!N$2+2,1,1)&amp;";"&amp;OFFSET(掉落_design!$E76,0,掉落_design!N$2+3,1,1))</f>
        <v/>
      </c>
      <c r="P76" s="16" t="str">
        <f ca="1">IF(OFFSET(掉落_design!$E76,0,掉落_design!O$2,1,1)="","",OFFSET(掉落_design!$E76,0,掉落_design!O$2,1,1)&amp;";"&amp;OFFSET(掉落_design!$E76,0,掉落_design!O$2+1,1,1)&amp;";"&amp;OFFSET(掉落_design!$E76,0,掉落_design!O$2+2,1,1)&amp;";"&amp;OFFSET(掉落_design!$E76,0,掉落_design!O$2+3,1,1))</f>
        <v/>
      </c>
      <c r="Q76" s="16" t="str">
        <f ca="1">IF(OFFSET(掉落_design!$E76,0,掉落_design!P$2,1,1)="","",OFFSET(掉落_design!$E76,0,掉落_design!P$2,1,1)&amp;";"&amp;OFFSET(掉落_design!$E76,0,掉落_design!P$2+1,1,1)&amp;";"&amp;OFFSET(掉落_design!$E76,0,掉落_design!P$2+2,1,1)&amp;";"&amp;OFFSET(掉落_design!$E76,0,掉落_design!P$2+3,1,1))</f>
        <v/>
      </c>
      <c r="R76" s="16" t="str">
        <f ca="1">IF(OFFSET(掉落_design!$E76,0,掉落_design!Q$2,1,1)="","",OFFSET(掉落_design!$E76,0,掉落_design!Q$2,1,1)&amp;";"&amp;OFFSET(掉落_design!$E76,0,掉落_design!Q$2+1,1,1)&amp;";"&amp;OFFSET(掉落_design!$E76,0,掉落_design!Q$2+2,1,1)&amp;";"&amp;OFFSET(掉落_design!$E76,0,掉落_design!Q$2+3,1,1))</f>
        <v/>
      </c>
      <c r="S76" s="16" t="str">
        <f ca="1">IF(OFFSET(掉落_design!$E76,0,掉落_design!R$2,1,1)="","",OFFSET(掉落_design!$E76,0,掉落_design!R$2,1,1)&amp;";"&amp;OFFSET(掉落_design!$E76,0,掉落_design!R$2+1,1,1)&amp;";"&amp;OFFSET(掉落_design!$E76,0,掉落_design!R$2+2,1,1)&amp;";"&amp;OFFSET(掉落_design!$E76,0,掉落_design!R$2+3,1,1))</f>
        <v/>
      </c>
      <c r="T76" s="16" t="str">
        <f ca="1">IF(OFFSET(掉落_design!$E76,0,掉落_design!S$2,1,1)="","",OFFSET(掉落_design!$E76,0,掉落_design!S$2,1,1)&amp;";"&amp;OFFSET(掉落_design!$E76,0,掉落_design!S$2+1,1,1)&amp;";"&amp;OFFSET(掉落_design!$E76,0,掉落_design!S$2+2,1,1)&amp;";"&amp;OFFSET(掉落_design!$E76,0,掉落_design!S$2+3,1,1))</f>
        <v/>
      </c>
      <c r="U76" s="16" t="str">
        <f ca="1">IF(OFFSET(掉落_design!$E76,0,掉落_design!T$2,1,1)="","",OFFSET(掉落_design!$E76,0,掉落_design!T$2,1,1)&amp;";"&amp;OFFSET(掉落_design!$E76,0,掉落_design!T$2+1,1,1)&amp;";"&amp;OFFSET(掉落_design!$E76,0,掉落_design!T$2+2,1,1)&amp;";"&amp;OFFSET(掉落_design!$E76,0,掉落_design!T$2+3,1,1))</f>
        <v/>
      </c>
      <c r="V76" s="16" t="str">
        <f ca="1">IF(OFFSET(掉落_design!$E76,0,掉落_design!U$2,1,1)="","",OFFSET(掉落_design!$E76,0,掉落_design!U$2,1,1)&amp;";"&amp;OFFSET(掉落_design!$E76,0,掉落_design!U$2+1,1,1)&amp;";"&amp;OFFSET(掉落_design!$E76,0,掉落_design!U$2+2,1,1)&amp;";"&amp;OFFSET(掉落_design!$E76,0,掉落_design!U$2+3,1,1))</f>
        <v/>
      </c>
      <c r="W76" s="16" t="str">
        <f ca="1">IF(OFFSET(掉落_design!$E76,0,掉落_design!V$2,1,1)="","",OFFSET(掉落_design!$E76,0,掉落_design!V$2,1,1)&amp;";"&amp;OFFSET(掉落_design!$E76,0,掉落_design!V$2+1,1,1)&amp;";"&amp;OFFSET(掉落_design!$E76,0,掉落_design!V$2+2,1,1)&amp;";"&amp;OFFSET(掉落_design!$E76,0,掉落_design!V$2+3,1,1))</f>
        <v/>
      </c>
      <c r="X76" s="16" t="str">
        <f ca="1">IF(OFFSET(掉落_design!$E76,0,掉落_design!W$2,1,1)="","",OFFSET(掉落_design!$E76,0,掉落_design!W$2,1,1)&amp;";"&amp;OFFSET(掉落_design!$E76,0,掉落_design!W$2+1,1,1)&amp;";"&amp;OFFSET(掉落_design!$E76,0,掉落_design!W$2+2,1,1)&amp;";"&amp;OFFSET(掉落_design!$E76,0,掉落_design!W$2+3,1,1))</f>
        <v/>
      </c>
      <c r="Y76" s="16" t="str">
        <f ca="1">IF(OFFSET(掉落_design!$E76,0,掉落_design!X$2,1,1)="","",OFFSET(掉落_design!$E76,0,掉落_design!X$2,1,1)&amp;";"&amp;OFFSET(掉落_design!$E76,0,掉落_design!X$2+1,1,1)&amp;";"&amp;OFFSET(掉落_design!$E76,0,掉落_design!X$2+2,1,1)&amp;";"&amp;OFFSET(掉落_design!$E76,0,掉落_design!X$2+3,1,1))</f>
        <v/>
      </c>
    </row>
    <row r="77" spans="1:25" x14ac:dyDescent="0.15">
      <c r="A77" s="11" t="str">
        <f t="shared" si="29"/>
        <v>DATA</v>
      </c>
      <c r="B77" s="25"/>
      <c r="C77" s="25"/>
      <c r="D77" s="15">
        <f>IF(掉落_design!C77="","",掉落_design!C77)</f>
        <v>21000</v>
      </c>
      <c r="E77" s="15">
        <f>IF(A77="","",掉落_design!D77)</f>
        <v>1</v>
      </c>
      <c r="F77" s="16" t="str">
        <f ca="1">IF(OFFSET(掉落_design!$E77,0,掉落_design!E$2,1,1)="","",OFFSET(掉落_design!$E77,0,掉落_design!E$2,1,1)&amp;";"&amp;OFFSET(掉落_design!$E77,0,掉落_design!E$2+1,1,1)&amp;";"&amp;OFFSET(掉落_design!$E77,0,掉落_design!E$2+2,1,1)&amp;";"&amp;OFFSET(掉落_design!$E77,0,掉落_design!E$2+3,1,1))</f>
        <v>1001;80;100;1000</v>
      </c>
      <c r="G77" s="16" t="str">
        <f ca="1">IF(OFFSET(掉落_design!$E77,0,掉落_design!F$2,1,1)="","",OFFSET(掉落_design!$E77,0,掉落_design!F$2,1,1)&amp;";"&amp;OFFSET(掉落_design!$E77,0,掉落_design!F$2+1,1,1)&amp;";"&amp;OFFSET(掉落_design!$E77,0,掉落_design!F$2+2,1,1)&amp;";"&amp;OFFSET(掉落_design!$E77,0,掉落_design!F$2+3,1,1))</f>
        <v>1204;1;1;1000</v>
      </c>
      <c r="H77" s="16" t="str">
        <f ca="1">IF(OFFSET(掉落_design!$E77,0,掉落_design!G$2,1,1)="","",OFFSET(掉落_design!$E77,0,掉落_design!G$2,1,1)&amp;";"&amp;OFFSET(掉落_design!$E77,0,掉落_design!G$2+1,1,1)&amp;";"&amp;OFFSET(掉落_design!$E77,0,掉落_design!G$2+2,1,1)&amp;";"&amp;OFFSET(掉落_design!$E77,0,掉落_design!G$2+3,1,1))</f>
        <v/>
      </c>
      <c r="I77" s="16" t="str">
        <f ca="1">IF(OFFSET(掉落_design!$E77,0,掉落_design!H$2,1,1)="","",OFFSET(掉落_design!$E77,0,掉落_design!H$2,1,1)&amp;";"&amp;OFFSET(掉落_design!$E77,0,掉落_design!H$2+1,1,1)&amp;";"&amp;OFFSET(掉落_design!$E77,0,掉落_design!H$2+2,1,1)&amp;";"&amp;OFFSET(掉落_design!$E77,0,掉落_design!H$2+3,1,1))</f>
        <v/>
      </c>
      <c r="J77" s="16" t="str">
        <f ca="1">IF(OFFSET(掉落_design!$E77,0,掉落_design!I$2,1,1)="","",OFFSET(掉落_design!$E77,0,掉落_design!I$2,1,1)&amp;";"&amp;OFFSET(掉落_design!$E77,0,掉落_design!I$2+1,1,1)&amp;";"&amp;OFFSET(掉落_design!$E77,0,掉落_design!I$2+2,1,1)&amp;";"&amp;OFFSET(掉落_design!$E77,0,掉落_design!I$2+3,1,1))</f>
        <v/>
      </c>
      <c r="K77" s="16" t="str">
        <f ca="1">IF(OFFSET(掉落_design!$E77,0,掉落_design!J$2,1,1)="","",OFFSET(掉落_design!$E77,0,掉落_design!J$2,1,1)&amp;";"&amp;OFFSET(掉落_design!$E77,0,掉落_design!J$2+1,1,1)&amp;";"&amp;OFFSET(掉落_design!$E77,0,掉落_design!J$2+2,1,1)&amp;";"&amp;OFFSET(掉落_design!$E77,0,掉落_design!J$2+3,1,1))</f>
        <v/>
      </c>
      <c r="L77" s="16" t="str">
        <f ca="1">IF(OFFSET(掉落_design!$E77,0,掉落_design!K$2,1,1)="","",OFFSET(掉落_design!$E77,0,掉落_design!K$2,1,1)&amp;";"&amp;OFFSET(掉落_design!$E77,0,掉落_design!K$2+1,1,1)&amp;";"&amp;OFFSET(掉落_design!$E77,0,掉落_design!K$2+2,1,1)&amp;";"&amp;OFFSET(掉落_design!$E77,0,掉落_design!K$2+3,1,1))</f>
        <v/>
      </c>
      <c r="M77" s="16" t="str">
        <f ca="1">IF(OFFSET(掉落_design!$E77,0,掉落_design!L$2,1,1)="","",OFFSET(掉落_design!$E77,0,掉落_design!L$2,1,1)&amp;";"&amp;OFFSET(掉落_design!$E77,0,掉落_design!L$2+1,1,1)&amp;";"&amp;OFFSET(掉落_design!$E77,0,掉落_design!L$2+2,1,1)&amp;";"&amp;OFFSET(掉落_design!$E77,0,掉落_design!L$2+3,1,1))</f>
        <v/>
      </c>
      <c r="N77" s="16" t="str">
        <f ca="1">IF(OFFSET(掉落_design!$E77,0,掉落_design!M$2,1,1)="","",OFFSET(掉落_design!$E77,0,掉落_design!M$2,1,1)&amp;";"&amp;OFFSET(掉落_design!$E77,0,掉落_design!M$2+1,1,1)&amp;";"&amp;OFFSET(掉落_design!$E77,0,掉落_design!M$2+2,1,1)&amp;";"&amp;OFFSET(掉落_design!$E77,0,掉落_design!M$2+3,1,1))</f>
        <v/>
      </c>
      <c r="O77" s="16" t="str">
        <f ca="1">IF(OFFSET(掉落_design!$E77,0,掉落_design!N$2,1,1)="","",OFFSET(掉落_design!$E77,0,掉落_design!N$2,1,1)&amp;";"&amp;OFFSET(掉落_design!$E77,0,掉落_design!N$2+1,1,1)&amp;";"&amp;OFFSET(掉落_design!$E77,0,掉落_design!N$2+2,1,1)&amp;";"&amp;OFFSET(掉落_design!$E77,0,掉落_design!N$2+3,1,1))</f>
        <v/>
      </c>
      <c r="P77" s="16" t="str">
        <f ca="1">IF(OFFSET(掉落_design!$E77,0,掉落_design!O$2,1,1)="","",OFFSET(掉落_design!$E77,0,掉落_design!O$2,1,1)&amp;";"&amp;OFFSET(掉落_design!$E77,0,掉落_design!O$2+1,1,1)&amp;";"&amp;OFFSET(掉落_design!$E77,0,掉落_design!O$2+2,1,1)&amp;";"&amp;OFFSET(掉落_design!$E77,0,掉落_design!O$2+3,1,1))</f>
        <v/>
      </c>
      <c r="Q77" s="16" t="str">
        <f ca="1">IF(OFFSET(掉落_design!$E77,0,掉落_design!P$2,1,1)="","",OFFSET(掉落_design!$E77,0,掉落_design!P$2,1,1)&amp;";"&amp;OFFSET(掉落_design!$E77,0,掉落_design!P$2+1,1,1)&amp;";"&amp;OFFSET(掉落_design!$E77,0,掉落_design!P$2+2,1,1)&amp;";"&amp;OFFSET(掉落_design!$E77,0,掉落_design!P$2+3,1,1))</f>
        <v/>
      </c>
      <c r="R77" s="16" t="str">
        <f ca="1">IF(OFFSET(掉落_design!$E77,0,掉落_design!Q$2,1,1)="","",OFFSET(掉落_design!$E77,0,掉落_design!Q$2,1,1)&amp;";"&amp;OFFSET(掉落_design!$E77,0,掉落_design!Q$2+1,1,1)&amp;";"&amp;OFFSET(掉落_design!$E77,0,掉落_design!Q$2+2,1,1)&amp;";"&amp;OFFSET(掉落_design!$E77,0,掉落_design!Q$2+3,1,1))</f>
        <v/>
      </c>
      <c r="S77" s="16" t="str">
        <f ca="1">IF(OFFSET(掉落_design!$E77,0,掉落_design!R$2,1,1)="","",OFFSET(掉落_design!$E77,0,掉落_design!R$2,1,1)&amp;";"&amp;OFFSET(掉落_design!$E77,0,掉落_design!R$2+1,1,1)&amp;";"&amp;OFFSET(掉落_design!$E77,0,掉落_design!R$2+2,1,1)&amp;";"&amp;OFFSET(掉落_design!$E77,0,掉落_design!R$2+3,1,1))</f>
        <v/>
      </c>
      <c r="T77" s="16" t="str">
        <f ca="1">IF(OFFSET(掉落_design!$E77,0,掉落_design!S$2,1,1)="","",OFFSET(掉落_design!$E77,0,掉落_design!S$2,1,1)&amp;";"&amp;OFFSET(掉落_design!$E77,0,掉落_design!S$2+1,1,1)&amp;";"&amp;OFFSET(掉落_design!$E77,0,掉落_design!S$2+2,1,1)&amp;";"&amp;OFFSET(掉落_design!$E77,0,掉落_design!S$2+3,1,1))</f>
        <v/>
      </c>
      <c r="U77" s="16" t="str">
        <f ca="1">IF(OFFSET(掉落_design!$E77,0,掉落_design!T$2,1,1)="","",OFFSET(掉落_design!$E77,0,掉落_design!T$2,1,1)&amp;";"&amp;OFFSET(掉落_design!$E77,0,掉落_design!T$2+1,1,1)&amp;";"&amp;OFFSET(掉落_design!$E77,0,掉落_design!T$2+2,1,1)&amp;";"&amp;OFFSET(掉落_design!$E77,0,掉落_design!T$2+3,1,1))</f>
        <v/>
      </c>
      <c r="V77" s="16" t="str">
        <f ca="1">IF(OFFSET(掉落_design!$E77,0,掉落_design!U$2,1,1)="","",OFFSET(掉落_design!$E77,0,掉落_design!U$2,1,1)&amp;";"&amp;OFFSET(掉落_design!$E77,0,掉落_design!U$2+1,1,1)&amp;";"&amp;OFFSET(掉落_design!$E77,0,掉落_design!U$2+2,1,1)&amp;";"&amp;OFFSET(掉落_design!$E77,0,掉落_design!U$2+3,1,1))</f>
        <v/>
      </c>
      <c r="W77" s="16" t="str">
        <f ca="1">IF(OFFSET(掉落_design!$E77,0,掉落_design!V$2,1,1)="","",OFFSET(掉落_design!$E77,0,掉落_design!V$2,1,1)&amp;";"&amp;OFFSET(掉落_design!$E77,0,掉落_design!V$2+1,1,1)&amp;";"&amp;OFFSET(掉落_design!$E77,0,掉落_design!V$2+2,1,1)&amp;";"&amp;OFFSET(掉落_design!$E77,0,掉落_design!V$2+3,1,1))</f>
        <v/>
      </c>
      <c r="X77" s="16" t="str">
        <f ca="1">IF(OFFSET(掉落_design!$E77,0,掉落_design!W$2,1,1)="","",OFFSET(掉落_design!$E77,0,掉落_design!W$2,1,1)&amp;";"&amp;OFFSET(掉落_design!$E77,0,掉落_design!W$2+1,1,1)&amp;";"&amp;OFFSET(掉落_design!$E77,0,掉落_design!W$2+2,1,1)&amp;";"&amp;OFFSET(掉落_design!$E77,0,掉落_design!W$2+3,1,1))</f>
        <v/>
      </c>
      <c r="Y77" s="16" t="str">
        <f ca="1">IF(OFFSET(掉落_design!$E77,0,掉落_design!X$2,1,1)="","",OFFSET(掉落_design!$E77,0,掉落_design!X$2,1,1)&amp;";"&amp;OFFSET(掉落_design!$E77,0,掉落_design!X$2+1,1,1)&amp;";"&amp;OFFSET(掉落_design!$E77,0,掉落_design!X$2+2,1,1)&amp;";"&amp;OFFSET(掉落_design!$E77,0,掉落_design!X$2+3,1,1))</f>
        <v/>
      </c>
    </row>
    <row r="78" spans="1:25" x14ac:dyDescent="0.15">
      <c r="A78" s="11" t="str">
        <f t="shared" si="29"/>
        <v>DATA</v>
      </c>
      <c r="B78" s="25"/>
      <c r="C78" s="25"/>
      <c r="D78" s="15">
        <f>IF(掉落_design!C78="","",掉落_design!C78)</f>
        <v>21001</v>
      </c>
      <c r="E78" s="15">
        <f>IF(A78="","",掉落_design!D78)</f>
        <v>2</v>
      </c>
      <c r="F78" s="16" t="str">
        <f ca="1">IF(OFFSET(掉落_design!$E78,0,掉落_design!E$2,1,1)="","",OFFSET(掉落_design!$E78,0,掉落_design!E$2,1,1)&amp;";"&amp;OFFSET(掉落_design!$E78,0,掉落_design!E$2+1,1,1)&amp;";"&amp;OFFSET(掉落_design!$E78,0,掉落_design!E$2+2,1,1)&amp;";"&amp;OFFSET(掉落_design!$E78,0,掉落_design!E$2+3,1,1))</f>
        <v>20536;1;1;1</v>
      </c>
      <c r="G78" s="16" t="str">
        <f ca="1">IF(OFFSET(掉落_design!$E78,0,掉落_design!F$2,1,1)="","",OFFSET(掉落_design!$E78,0,掉落_design!F$2,1,1)&amp;";"&amp;OFFSET(掉落_design!$E78,0,掉落_design!F$2+1,1,1)&amp;";"&amp;OFFSET(掉落_design!$E78,0,掉落_design!F$2+2,1,1)&amp;";"&amp;OFFSET(掉落_design!$E78,0,掉落_design!F$2+3,1,1))</f>
        <v>20634;1;1;1</v>
      </c>
      <c r="H78" s="16" t="str">
        <f ca="1">IF(OFFSET(掉落_design!$E78,0,掉落_design!G$2,1,1)="","",OFFSET(掉落_design!$E78,0,掉落_design!G$2,1,1)&amp;";"&amp;OFFSET(掉落_design!$E78,0,掉落_design!G$2+1,1,1)&amp;";"&amp;OFFSET(掉落_design!$E78,0,掉落_design!G$2+2,1,1)&amp;";"&amp;OFFSET(掉落_design!$E78,0,掉落_design!G$2+3,1,1))</f>
        <v>20434;1;1;1</v>
      </c>
      <c r="I78" s="16" t="str">
        <f ca="1">IF(OFFSET(掉落_design!$E78,0,掉落_design!H$2,1,1)="","",OFFSET(掉落_design!$E78,0,掉落_design!H$2,1,1)&amp;";"&amp;OFFSET(掉落_design!$E78,0,掉落_design!H$2+1,1,1)&amp;";"&amp;OFFSET(掉落_design!$E78,0,掉落_design!H$2+2,1,1)&amp;";"&amp;OFFSET(掉落_design!$E78,0,掉落_design!H$2+3,1,1))</f>
        <v>20435;1;1;1</v>
      </c>
      <c r="J78" s="16" t="str">
        <f ca="1">IF(OFFSET(掉落_design!$E78,0,掉落_design!I$2,1,1)="","",OFFSET(掉落_design!$E78,0,掉落_design!I$2,1,1)&amp;";"&amp;OFFSET(掉落_design!$E78,0,掉落_design!I$2+1,1,1)&amp;";"&amp;OFFSET(掉落_design!$E78,0,掉落_design!I$2+2,1,1)&amp;";"&amp;OFFSET(掉落_design!$E78,0,掉落_design!I$2+3,1,1))</f>
        <v>20434;1;1;1</v>
      </c>
      <c r="K78" s="16" t="str">
        <f ca="1">IF(OFFSET(掉落_design!$E78,0,掉落_design!J$2,1,1)="","",OFFSET(掉落_design!$E78,0,掉落_design!J$2,1,1)&amp;";"&amp;OFFSET(掉落_design!$E78,0,掉落_design!J$2+1,1,1)&amp;";"&amp;OFFSET(掉落_design!$E78,0,掉落_design!J$2+2,1,1)&amp;";"&amp;OFFSET(掉落_design!$E78,0,掉落_design!J$2+3,1,1))</f>
        <v>20536;1;1;1</v>
      </c>
      <c r="L78" s="16" t="str">
        <f ca="1">IF(OFFSET(掉落_design!$E78,0,掉落_design!K$2,1,1)="","",OFFSET(掉落_design!$E78,0,掉落_design!K$2,1,1)&amp;";"&amp;OFFSET(掉落_design!$E78,0,掉落_design!K$2+1,1,1)&amp;";"&amp;OFFSET(掉落_design!$E78,0,掉落_design!K$2+2,1,1)&amp;";"&amp;OFFSET(掉落_design!$E78,0,掉落_design!K$2+3,1,1))</f>
        <v>20434;1;1;1</v>
      </c>
      <c r="M78" s="16" t="str">
        <f ca="1">IF(OFFSET(掉落_design!$E78,0,掉落_design!L$2,1,1)="","",OFFSET(掉落_design!$E78,0,掉落_design!L$2,1,1)&amp;";"&amp;OFFSET(掉落_design!$E78,0,掉落_design!L$2+1,1,1)&amp;";"&amp;OFFSET(掉落_design!$E78,0,掉落_design!L$2+2,1,1)&amp;";"&amp;OFFSET(掉落_design!$E78,0,掉落_design!L$2+3,1,1))</f>
        <v>20435;1;1;1</v>
      </c>
      <c r="N78" s="16" t="str">
        <f ca="1">IF(OFFSET(掉落_design!$E78,0,掉落_design!M$2,1,1)="","",OFFSET(掉落_design!$E78,0,掉落_design!M$2,1,1)&amp;";"&amp;OFFSET(掉落_design!$E78,0,掉落_design!M$2+1,1,1)&amp;";"&amp;OFFSET(掉落_design!$E78,0,掉落_design!M$2+2,1,1)&amp;";"&amp;OFFSET(掉落_design!$E78,0,掉落_design!M$2+3,1,1))</f>
        <v>20335;1;1;1</v>
      </c>
      <c r="O78" s="16" t="str">
        <f ca="1">IF(OFFSET(掉落_design!$E78,0,掉落_design!N$2,1,1)="","",OFFSET(掉落_design!$E78,0,掉落_design!N$2,1,1)&amp;";"&amp;OFFSET(掉落_design!$E78,0,掉落_design!N$2+1,1,1)&amp;";"&amp;OFFSET(掉落_design!$E78,0,掉落_design!N$2+2,1,1)&amp;";"&amp;OFFSET(掉落_design!$E78,0,掉落_design!N$2+3,1,1))</f>
        <v>20636;1;1;1</v>
      </c>
      <c r="P78" s="16" t="str">
        <f ca="1">IF(OFFSET(掉落_design!$E78,0,掉落_design!O$2,1,1)="","",OFFSET(掉落_design!$E78,0,掉落_design!O$2,1,1)&amp;";"&amp;OFFSET(掉落_design!$E78,0,掉落_design!O$2+1,1,1)&amp;";"&amp;OFFSET(掉落_design!$E78,0,掉落_design!O$2+2,1,1)&amp;";"&amp;OFFSET(掉落_design!$E78,0,掉落_design!O$2+3,1,1))</f>
        <v>1001;500;550;20</v>
      </c>
      <c r="Q78" s="16" t="str">
        <f ca="1">IF(OFFSET(掉落_design!$E78,0,掉落_design!P$2,1,1)="","",OFFSET(掉落_design!$E78,0,掉落_design!P$2,1,1)&amp;";"&amp;OFFSET(掉落_design!$E78,0,掉落_design!P$2+1,1,1)&amp;";"&amp;OFFSET(掉落_design!$E78,0,掉落_design!P$2+2,1,1)&amp;";"&amp;OFFSET(掉落_design!$E78,0,掉落_design!P$2+3,1,1))</f>
        <v/>
      </c>
      <c r="R78" s="16" t="str">
        <f ca="1">IF(OFFSET(掉落_design!$E78,0,掉落_design!Q$2,1,1)="","",OFFSET(掉落_design!$E78,0,掉落_design!Q$2,1,1)&amp;";"&amp;OFFSET(掉落_design!$E78,0,掉落_design!Q$2+1,1,1)&amp;";"&amp;OFFSET(掉落_design!$E78,0,掉落_design!Q$2+2,1,1)&amp;";"&amp;OFFSET(掉落_design!$E78,0,掉落_design!Q$2+3,1,1))</f>
        <v/>
      </c>
      <c r="S78" s="16" t="str">
        <f ca="1">IF(OFFSET(掉落_design!$E78,0,掉落_design!R$2,1,1)="","",OFFSET(掉落_design!$E78,0,掉落_design!R$2,1,1)&amp;";"&amp;OFFSET(掉落_design!$E78,0,掉落_design!R$2+1,1,1)&amp;";"&amp;OFFSET(掉落_design!$E78,0,掉落_design!R$2+2,1,1)&amp;";"&amp;OFFSET(掉落_design!$E78,0,掉落_design!R$2+3,1,1))</f>
        <v/>
      </c>
      <c r="T78" s="16" t="str">
        <f ca="1">IF(OFFSET(掉落_design!$E78,0,掉落_design!S$2,1,1)="","",OFFSET(掉落_design!$E78,0,掉落_design!S$2,1,1)&amp;";"&amp;OFFSET(掉落_design!$E78,0,掉落_design!S$2+1,1,1)&amp;";"&amp;OFFSET(掉落_design!$E78,0,掉落_design!S$2+2,1,1)&amp;";"&amp;OFFSET(掉落_design!$E78,0,掉落_design!S$2+3,1,1))</f>
        <v/>
      </c>
      <c r="U78" s="16" t="str">
        <f ca="1">IF(OFFSET(掉落_design!$E78,0,掉落_design!T$2,1,1)="","",OFFSET(掉落_design!$E78,0,掉落_design!T$2,1,1)&amp;";"&amp;OFFSET(掉落_design!$E78,0,掉落_design!T$2+1,1,1)&amp;";"&amp;OFFSET(掉落_design!$E78,0,掉落_design!T$2+2,1,1)&amp;";"&amp;OFFSET(掉落_design!$E78,0,掉落_design!T$2+3,1,1))</f>
        <v/>
      </c>
      <c r="V78" s="16" t="str">
        <f ca="1">IF(OFFSET(掉落_design!$E78,0,掉落_design!U$2,1,1)="","",OFFSET(掉落_design!$E78,0,掉落_design!U$2,1,1)&amp;";"&amp;OFFSET(掉落_design!$E78,0,掉落_design!U$2+1,1,1)&amp;";"&amp;OFFSET(掉落_design!$E78,0,掉落_design!U$2+2,1,1)&amp;";"&amp;OFFSET(掉落_design!$E78,0,掉落_design!U$2+3,1,1))</f>
        <v/>
      </c>
      <c r="W78" s="16" t="str">
        <f ca="1">IF(OFFSET(掉落_design!$E78,0,掉落_design!V$2,1,1)="","",OFFSET(掉落_design!$E78,0,掉落_design!V$2,1,1)&amp;";"&amp;OFFSET(掉落_design!$E78,0,掉落_design!V$2+1,1,1)&amp;";"&amp;OFFSET(掉落_design!$E78,0,掉落_design!V$2+2,1,1)&amp;";"&amp;OFFSET(掉落_design!$E78,0,掉落_design!V$2+3,1,1))</f>
        <v/>
      </c>
      <c r="X78" s="16" t="str">
        <f ca="1">IF(OFFSET(掉落_design!$E78,0,掉落_design!W$2,1,1)="","",OFFSET(掉落_design!$E78,0,掉落_design!W$2,1,1)&amp;";"&amp;OFFSET(掉落_design!$E78,0,掉落_design!W$2+1,1,1)&amp;";"&amp;OFFSET(掉落_design!$E78,0,掉落_design!W$2+2,1,1)&amp;";"&amp;OFFSET(掉落_design!$E78,0,掉落_design!W$2+3,1,1))</f>
        <v/>
      </c>
      <c r="Y78" s="16" t="str">
        <f ca="1">IF(OFFSET(掉落_design!$E78,0,掉落_design!X$2,1,1)="","",OFFSET(掉落_design!$E78,0,掉落_design!X$2,1,1)&amp;";"&amp;OFFSET(掉落_design!$E78,0,掉落_design!X$2+1,1,1)&amp;";"&amp;OFFSET(掉落_design!$E78,0,掉落_design!X$2+2,1,1)&amp;";"&amp;OFFSET(掉落_design!$E78,0,掉落_design!X$2+3,1,1))</f>
        <v/>
      </c>
    </row>
    <row r="79" spans="1:25" x14ac:dyDescent="0.15">
      <c r="A79" s="11" t="str">
        <f t="shared" si="29"/>
        <v/>
      </c>
      <c r="B79" s="25"/>
      <c r="C79" s="25"/>
      <c r="D79" s="15" t="str">
        <f>IF(掉落_design!C79="","",掉落_design!C79)</f>
        <v/>
      </c>
      <c r="E79" s="15" t="str">
        <f>IF(A79="","",掉落_design!D79)</f>
        <v/>
      </c>
      <c r="F79" s="16" t="str">
        <f ca="1">IF(OFFSET(掉落_design!$E79,0,掉落_design!E$2,1,1)="","",OFFSET(掉落_design!$E79,0,掉落_design!E$2,1,1)&amp;";"&amp;OFFSET(掉落_design!$E79,0,掉落_design!E$2+1,1,1)&amp;";"&amp;OFFSET(掉落_design!$E79,0,掉落_design!E$2+2,1,1)&amp;";"&amp;OFFSET(掉落_design!$E79,0,掉落_design!E$2+3,1,1))</f>
        <v/>
      </c>
      <c r="G79" s="16" t="str">
        <f ca="1">IF(OFFSET(掉落_design!$E79,0,掉落_design!F$2,1,1)="","",OFFSET(掉落_design!$E79,0,掉落_design!F$2,1,1)&amp;";"&amp;OFFSET(掉落_design!$E79,0,掉落_design!F$2+1,1,1)&amp;";"&amp;OFFSET(掉落_design!$E79,0,掉落_design!F$2+2,1,1)&amp;";"&amp;OFFSET(掉落_design!$E79,0,掉落_design!F$2+3,1,1))</f>
        <v/>
      </c>
      <c r="H79" s="16" t="str">
        <f ca="1">IF(OFFSET(掉落_design!$E79,0,掉落_design!G$2,1,1)="","",OFFSET(掉落_design!$E79,0,掉落_design!G$2,1,1)&amp;";"&amp;OFFSET(掉落_design!$E79,0,掉落_design!G$2+1,1,1)&amp;";"&amp;OFFSET(掉落_design!$E79,0,掉落_design!G$2+2,1,1)&amp;";"&amp;OFFSET(掉落_design!$E79,0,掉落_design!G$2+3,1,1))</f>
        <v/>
      </c>
      <c r="I79" s="16" t="str">
        <f ca="1">IF(OFFSET(掉落_design!$E79,0,掉落_design!H$2,1,1)="","",OFFSET(掉落_design!$E79,0,掉落_design!H$2,1,1)&amp;";"&amp;OFFSET(掉落_design!$E79,0,掉落_design!H$2+1,1,1)&amp;";"&amp;OFFSET(掉落_design!$E79,0,掉落_design!H$2+2,1,1)&amp;";"&amp;OFFSET(掉落_design!$E79,0,掉落_design!H$2+3,1,1))</f>
        <v/>
      </c>
      <c r="J79" s="16" t="str">
        <f ca="1">IF(OFFSET(掉落_design!$E79,0,掉落_design!I$2,1,1)="","",OFFSET(掉落_design!$E79,0,掉落_design!I$2,1,1)&amp;";"&amp;OFFSET(掉落_design!$E79,0,掉落_design!I$2+1,1,1)&amp;";"&amp;OFFSET(掉落_design!$E79,0,掉落_design!I$2+2,1,1)&amp;";"&amp;OFFSET(掉落_design!$E79,0,掉落_design!I$2+3,1,1))</f>
        <v/>
      </c>
      <c r="K79" s="16" t="str">
        <f ca="1">IF(OFFSET(掉落_design!$E79,0,掉落_design!J$2,1,1)="","",OFFSET(掉落_design!$E79,0,掉落_design!J$2,1,1)&amp;";"&amp;OFFSET(掉落_design!$E79,0,掉落_design!J$2+1,1,1)&amp;";"&amp;OFFSET(掉落_design!$E79,0,掉落_design!J$2+2,1,1)&amp;";"&amp;OFFSET(掉落_design!$E79,0,掉落_design!J$2+3,1,1))</f>
        <v/>
      </c>
      <c r="L79" s="16" t="str">
        <f ca="1">IF(OFFSET(掉落_design!$E79,0,掉落_design!K$2,1,1)="","",OFFSET(掉落_design!$E79,0,掉落_design!K$2,1,1)&amp;";"&amp;OFFSET(掉落_design!$E79,0,掉落_design!K$2+1,1,1)&amp;";"&amp;OFFSET(掉落_design!$E79,0,掉落_design!K$2+2,1,1)&amp;";"&amp;OFFSET(掉落_design!$E79,0,掉落_design!K$2+3,1,1))</f>
        <v/>
      </c>
      <c r="M79" s="16" t="str">
        <f ca="1">IF(OFFSET(掉落_design!$E79,0,掉落_design!L$2,1,1)="","",OFFSET(掉落_design!$E79,0,掉落_design!L$2,1,1)&amp;";"&amp;OFFSET(掉落_design!$E79,0,掉落_design!L$2+1,1,1)&amp;";"&amp;OFFSET(掉落_design!$E79,0,掉落_design!L$2+2,1,1)&amp;";"&amp;OFFSET(掉落_design!$E79,0,掉落_design!L$2+3,1,1))</f>
        <v/>
      </c>
      <c r="N79" s="16" t="str">
        <f ca="1">IF(OFFSET(掉落_design!$E79,0,掉落_design!M$2,1,1)="","",OFFSET(掉落_design!$E79,0,掉落_design!M$2,1,1)&amp;";"&amp;OFFSET(掉落_design!$E79,0,掉落_design!M$2+1,1,1)&amp;";"&amp;OFFSET(掉落_design!$E79,0,掉落_design!M$2+2,1,1)&amp;";"&amp;OFFSET(掉落_design!$E79,0,掉落_design!M$2+3,1,1))</f>
        <v/>
      </c>
      <c r="O79" s="16" t="str">
        <f ca="1">IF(OFFSET(掉落_design!$E79,0,掉落_design!N$2,1,1)="","",OFFSET(掉落_design!$E79,0,掉落_design!N$2,1,1)&amp;";"&amp;OFFSET(掉落_design!$E79,0,掉落_design!N$2+1,1,1)&amp;";"&amp;OFFSET(掉落_design!$E79,0,掉落_design!N$2+2,1,1)&amp;";"&amp;OFFSET(掉落_design!$E79,0,掉落_design!N$2+3,1,1))</f>
        <v/>
      </c>
      <c r="P79" s="16" t="str">
        <f ca="1">IF(OFFSET(掉落_design!$E79,0,掉落_design!O$2,1,1)="","",OFFSET(掉落_design!$E79,0,掉落_design!O$2,1,1)&amp;";"&amp;OFFSET(掉落_design!$E79,0,掉落_design!O$2+1,1,1)&amp;";"&amp;OFFSET(掉落_design!$E79,0,掉落_design!O$2+2,1,1)&amp;";"&amp;OFFSET(掉落_design!$E79,0,掉落_design!O$2+3,1,1))</f>
        <v/>
      </c>
      <c r="Q79" s="16" t="str">
        <f ca="1">IF(OFFSET(掉落_design!$E79,0,掉落_design!P$2,1,1)="","",OFFSET(掉落_design!$E79,0,掉落_design!P$2,1,1)&amp;";"&amp;OFFSET(掉落_design!$E79,0,掉落_design!P$2+1,1,1)&amp;";"&amp;OFFSET(掉落_design!$E79,0,掉落_design!P$2+2,1,1)&amp;";"&amp;OFFSET(掉落_design!$E79,0,掉落_design!P$2+3,1,1))</f>
        <v/>
      </c>
      <c r="R79" s="16" t="str">
        <f ca="1">IF(OFFSET(掉落_design!$E79,0,掉落_design!Q$2,1,1)="","",OFFSET(掉落_design!$E79,0,掉落_design!Q$2,1,1)&amp;";"&amp;OFFSET(掉落_design!$E79,0,掉落_design!Q$2+1,1,1)&amp;";"&amp;OFFSET(掉落_design!$E79,0,掉落_design!Q$2+2,1,1)&amp;";"&amp;OFFSET(掉落_design!$E79,0,掉落_design!Q$2+3,1,1))</f>
        <v/>
      </c>
      <c r="S79" s="16" t="str">
        <f ca="1">IF(OFFSET(掉落_design!$E79,0,掉落_design!R$2,1,1)="","",OFFSET(掉落_design!$E79,0,掉落_design!R$2,1,1)&amp;";"&amp;OFFSET(掉落_design!$E79,0,掉落_design!R$2+1,1,1)&amp;";"&amp;OFFSET(掉落_design!$E79,0,掉落_design!R$2+2,1,1)&amp;";"&amp;OFFSET(掉落_design!$E79,0,掉落_design!R$2+3,1,1))</f>
        <v/>
      </c>
      <c r="T79" s="16" t="str">
        <f ca="1">IF(OFFSET(掉落_design!$E79,0,掉落_design!S$2,1,1)="","",OFFSET(掉落_design!$E79,0,掉落_design!S$2,1,1)&amp;";"&amp;OFFSET(掉落_design!$E79,0,掉落_design!S$2+1,1,1)&amp;";"&amp;OFFSET(掉落_design!$E79,0,掉落_design!S$2+2,1,1)&amp;";"&amp;OFFSET(掉落_design!$E79,0,掉落_design!S$2+3,1,1))</f>
        <v/>
      </c>
      <c r="U79" s="16" t="str">
        <f ca="1">IF(OFFSET(掉落_design!$E79,0,掉落_design!T$2,1,1)="","",OFFSET(掉落_design!$E79,0,掉落_design!T$2,1,1)&amp;";"&amp;OFFSET(掉落_design!$E79,0,掉落_design!T$2+1,1,1)&amp;";"&amp;OFFSET(掉落_design!$E79,0,掉落_design!T$2+2,1,1)&amp;";"&amp;OFFSET(掉落_design!$E79,0,掉落_design!T$2+3,1,1))</f>
        <v/>
      </c>
      <c r="V79" s="16" t="str">
        <f ca="1">IF(OFFSET(掉落_design!$E79,0,掉落_design!U$2,1,1)="","",OFFSET(掉落_design!$E79,0,掉落_design!U$2,1,1)&amp;";"&amp;OFFSET(掉落_design!$E79,0,掉落_design!U$2+1,1,1)&amp;";"&amp;OFFSET(掉落_design!$E79,0,掉落_design!U$2+2,1,1)&amp;";"&amp;OFFSET(掉落_design!$E79,0,掉落_design!U$2+3,1,1))</f>
        <v/>
      </c>
      <c r="W79" s="16" t="str">
        <f ca="1">IF(OFFSET(掉落_design!$E79,0,掉落_design!V$2,1,1)="","",OFFSET(掉落_design!$E79,0,掉落_design!V$2,1,1)&amp;";"&amp;OFFSET(掉落_design!$E79,0,掉落_design!V$2+1,1,1)&amp;";"&amp;OFFSET(掉落_design!$E79,0,掉落_design!V$2+2,1,1)&amp;";"&amp;OFFSET(掉落_design!$E79,0,掉落_design!V$2+3,1,1))</f>
        <v/>
      </c>
      <c r="X79" s="16" t="str">
        <f ca="1">IF(OFFSET(掉落_design!$E79,0,掉落_design!W$2,1,1)="","",OFFSET(掉落_design!$E79,0,掉落_design!W$2,1,1)&amp;";"&amp;OFFSET(掉落_design!$E79,0,掉落_design!W$2+1,1,1)&amp;";"&amp;OFFSET(掉落_design!$E79,0,掉落_design!W$2+2,1,1)&amp;";"&amp;OFFSET(掉落_design!$E79,0,掉落_design!W$2+3,1,1))</f>
        <v/>
      </c>
      <c r="Y79" s="16" t="str">
        <f ca="1">IF(OFFSET(掉落_design!$E79,0,掉落_design!X$2,1,1)="","",OFFSET(掉落_design!$E79,0,掉落_design!X$2,1,1)&amp;";"&amp;OFFSET(掉落_design!$E79,0,掉落_design!X$2+1,1,1)&amp;";"&amp;OFFSET(掉落_design!$E79,0,掉落_design!X$2+2,1,1)&amp;";"&amp;OFFSET(掉落_design!$E79,0,掉落_design!X$2+3,1,1))</f>
        <v/>
      </c>
    </row>
    <row r="80" spans="1:25" x14ac:dyDescent="0.15">
      <c r="A80" s="11" t="str">
        <f t="shared" si="29"/>
        <v/>
      </c>
      <c r="B80" s="25"/>
      <c r="C80" s="25"/>
      <c r="D80" s="15" t="str">
        <f>IF(掉落_design!C80="","",掉落_design!C80)</f>
        <v/>
      </c>
      <c r="E80" s="15" t="str">
        <f>IF(A80="","",掉落_design!D80)</f>
        <v/>
      </c>
      <c r="F80" s="16" t="str">
        <f ca="1">IF(OFFSET(掉落_design!$E80,0,掉落_design!E$2,1,1)="","",OFFSET(掉落_design!$E80,0,掉落_design!E$2,1,1)&amp;";"&amp;OFFSET(掉落_design!$E80,0,掉落_design!E$2+1,1,1)&amp;";"&amp;OFFSET(掉落_design!$E80,0,掉落_design!E$2+2,1,1)&amp;";"&amp;OFFSET(掉落_design!$E80,0,掉落_design!E$2+3,1,1))</f>
        <v/>
      </c>
      <c r="G80" s="16" t="str">
        <f ca="1">IF(OFFSET(掉落_design!$E80,0,掉落_design!F$2,1,1)="","",OFFSET(掉落_design!$E80,0,掉落_design!F$2,1,1)&amp;";"&amp;OFFSET(掉落_design!$E80,0,掉落_design!F$2+1,1,1)&amp;";"&amp;OFFSET(掉落_design!$E80,0,掉落_design!F$2+2,1,1)&amp;";"&amp;OFFSET(掉落_design!$E80,0,掉落_design!F$2+3,1,1))</f>
        <v/>
      </c>
      <c r="H80" s="16" t="str">
        <f ca="1">IF(OFFSET(掉落_design!$E80,0,掉落_design!G$2,1,1)="","",OFFSET(掉落_design!$E80,0,掉落_design!G$2,1,1)&amp;";"&amp;OFFSET(掉落_design!$E80,0,掉落_design!G$2+1,1,1)&amp;";"&amp;OFFSET(掉落_design!$E80,0,掉落_design!G$2+2,1,1)&amp;";"&amp;OFFSET(掉落_design!$E80,0,掉落_design!G$2+3,1,1))</f>
        <v/>
      </c>
      <c r="I80" s="16" t="str">
        <f ca="1">IF(OFFSET(掉落_design!$E80,0,掉落_design!H$2,1,1)="","",OFFSET(掉落_design!$E80,0,掉落_design!H$2,1,1)&amp;";"&amp;OFFSET(掉落_design!$E80,0,掉落_design!H$2+1,1,1)&amp;";"&amp;OFFSET(掉落_design!$E80,0,掉落_design!H$2+2,1,1)&amp;";"&amp;OFFSET(掉落_design!$E80,0,掉落_design!H$2+3,1,1))</f>
        <v/>
      </c>
      <c r="J80" s="16" t="str">
        <f ca="1">IF(OFFSET(掉落_design!$E80,0,掉落_design!I$2,1,1)="","",OFFSET(掉落_design!$E80,0,掉落_design!I$2,1,1)&amp;";"&amp;OFFSET(掉落_design!$E80,0,掉落_design!I$2+1,1,1)&amp;";"&amp;OFFSET(掉落_design!$E80,0,掉落_design!I$2+2,1,1)&amp;";"&amp;OFFSET(掉落_design!$E80,0,掉落_design!I$2+3,1,1))</f>
        <v/>
      </c>
      <c r="K80" s="16" t="str">
        <f ca="1">IF(OFFSET(掉落_design!$E80,0,掉落_design!J$2,1,1)="","",OFFSET(掉落_design!$E80,0,掉落_design!J$2,1,1)&amp;";"&amp;OFFSET(掉落_design!$E80,0,掉落_design!J$2+1,1,1)&amp;";"&amp;OFFSET(掉落_design!$E80,0,掉落_design!J$2+2,1,1)&amp;";"&amp;OFFSET(掉落_design!$E80,0,掉落_design!J$2+3,1,1))</f>
        <v/>
      </c>
      <c r="L80" s="16" t="str">
        <f ca="1">IF(OFFSET(掉落_design!$E80,0,掉落_design!K$2,1,1)="","",OFFSET(掉落_design!$E80,0,掉落_design!K$2,1,1)&amp;";"&amp;OFFSET(掉落_design!$E80,0,掉落_design!K$2+1,1,1)&amp;";"&amp;OFFSET(掉落_design!$E80,0,掉落_design!K$2+2,1,1)&amp;";"&amp;OFFSET(掉落_design!$E80,0,掉落_design!K$2+3,1,1))</f>
        <v/>
      </c>
      <c r="M80" s="16" t="str">
        <f ca="1">IF(OFFSET(掉落_design!$E80,0,掉落_design!L$2,1,1)="","",OFFSET(掉落_design!$E80,0,掉落_design!L$2,1,1)&amp;";"&amp;OFFSET(掉落_design!$E80,0,掉落_design!L$2+1,1,1)&amp;";"&amp;OFFSET(掉落_design!$E80,0,掉落_design!L$2+2,1,1)&amp;";"&amp;OFFSET(掉落_design!$E80,0,掉落_design!L$2+3,1,1))</f>
        <v/>
      </c>
      <c r="N80" s="16" t="str">
        <f ca="1">IF(OFFSET(掉落_design!$E80,0,掉落_design!M$2,1,1)="","",OFFSET(掉落_design!$E80,0,掉落_design!M$2,1,1)&amp;";"&amp;OFFSET(掉落_design!$E80,0,掉落_design!M$2+1,1,1)&amp;";"&amp;OFFSET(掉落_design!$E80,0,掉落_design!M$2+2,1,1)&amp;";"&amp;OFFSET(掉落_design!$E80,0,掉落_design!M$2+3,1,1))</f>
        <v/>
      </c>
      <c r="O80" s="16" t="str">
        <f ca="1">IF(OFFSET(掉落_design!$E80,0,掉落_design!N$2,1,1)="","",OFFSET(掉落_design!$E80,0,掉落_design!N$2,1,1)&amp;";"&amp;OFFSET(掉落_design!$E80,0,掉落_design!N$2+1,1,1)&amp;";"&amp;OFFSET(掉落_design!$E80,0,掉落_design!N$2+2,1,1)&amp;";"&amp;OFFSET(掉落_design!$E80,0,掉落_design!N$2+3,1,1))</f>
        <v/>
      </c>
      <c r="P80" s="16" t="str">
        <f ca="1">IF(OFFSET(掉落_design!$E80,0,掉落_design!O$2,1,1)="","",OFFSET(掉落_design!$E80,0,掉落_design!O$2,1,1)&amp;";"&amp;OFFSET(掉落_design!$E80,0,掉落_design!O$2+1,1,1)&amp;";"&amp;OFFSET(掉落_design!$E80,0,掉落_design!O$2+2,1,1)&amp;";"&amp;OFFSET(掉落_design!$E80,0,掉落_design!O$2+3,1,1))</f>
        <v/>
      </c>
      <c r="Q80" s="16" t="str">
        <f ca="1">IF(OFFSET(掉落_design!$E80,0,掉落_design!P$2,1,1)="","",OFFSET(掉落_design!$E80,0,掉落_design!P$2,1,1)&amp;";"&amp;OFFSET(掉落_design!$E80,0,掉落_design!P$2+1,1,1)&amp;";"&amp;OFFSET(掉落_design!$E80,0,掉落_design!P$2+2,1,1)&amp;";"&amp;OFFSET(掉落_design!$E80,0,掉落_design!P$2+3,1,1))</f>
        <v/>
      </c>
      <c r="R80" s="16" t="str">
        <f ca="1">IF(OFFSET(掉落_design!$E80,0,掉落_design!Q$2,1,1)="","",OFFSET(掉落_design!$E80,0,掉落_design!Q$2,1,1)&amp;";"&amp;OFFSET(掉落_design!$E80,0,掉落_design!Q$2+1,1,1)&amp;";"&amp;OFFSET(掉落_design!$E80,0,掉落_design!Q$2+2,1,1)&amp;";"&amp;OFFSET(掉落_design!$E80,0,掉落_design!Q$2+3,1,1))</f>
        <v/>
      </c>
      <c r="S80" s="16" t="str">
        <f ca="1">IF(OFFSET(掉落_design!$E80,0,掉落_design!R$2,1,1)="","",OFFSET(掉落_design!$E80,0,掉落_design!R$2,1,1)&amp;";"&amp;OFFSET(掉落_design!$E80,0,掉落_design!R$2+1,1,1)&amp;";"&amp;OFFSET(掉落_design!$E80,0,掉落_design!R$2+2,1,1)&amp;";"&amp;OFFSET(掉落_design!$E80,0,掉落_design!R$2+3,1,1))</f>
        <v/>
      </c>
      <c r="T80" s="16" t="str">
        <f ca="1">IF(OFFSET(掉落_design!$E80,0,掉落_design!S$2,1,1)="","",OFFSET(掉落_design!$E80,0,掉落_design!S$2,1,1)&amp;";"&amp;OFFSET(掉落_design!$E80,0,掉落_design!S$2+1,1,1)&amp;";"&amp;OFFSET(掉落_design!$E80,0,掉落_design!S$2+2,1,1)&amp;";"&amp;OFFSET(掉落_design!$E80,0,掉落_design!S$2+3,1,1))</f>
        <v/>
      </c>
      <c r="U80" s="16" t="str">
        <f ca="1">IF(OFFSET(掉落_design!$E80,0,掉落_design!T$2,1,1)="","",OFFSET(掉落_design!$E80,0,掉落_design!T$2,1,1)&amp;";"&amp;OFFSET(掉落_design!$E80,0,掉落_design!T$2+1,1,1)&amp;";"&amp;OFFSET(掉落_design!$E80,0,掉落_design!T$2+2,1,1)&amp;";"&amp;OFFSET(掉落_design!$E80,0,掉落_design!T$2+3,1,1))</f>
        <v/>
      </c>
      <c r="V80" s="16" t="str">
        <f ca="1">IF(OFFSET(掉落_design!$E80,0,掉落_design!U$2,1,1)="","",OFFSET(掉落_design!$E80,0,掉落_design!U$2,1,1)&amp;";"&amp;OFFSET(掉落_design!$E80,0,掉落_design!U$2+1,1,1)&amp;";"&amp;OFFSET(掉落_design!$E80,0,掉落_design!U$2+2,1,1)&amp;";"&amp;OFFSET(掉落_design!$E80,0,掉落_design!U$2+3,1,1))</f>
        <v/>
      </c>
      <c r="W80" s="16" t="str">
        <f ca="1">IF(OFFSET(掉落_design!$E80,0,掉落_design!V$2,1,1)="","",OFFSET(掉落_design!$E80,0,掉落_design!V$2,1,1)&amp;";"&amp;OFFSET(掉落_design!$E80,0,掉落_design!V$2+1,1,1)&amp;";"&amp;OFFSET(掉落_design!$E80,0,掉落_design!V$2+2,1,1)&amp;";"&amp;OFFSET(掉落_design!$E80,0,掉落_design!V$2+3,1,1))</f>
        <v/>
      </c>
      <c r="X80" s="16" t="str">
        <f ca="1">IF(OFFSET(掉落_design!$E80,0,掉落_design!W$2,1,1)="","",OFFSET(掉落_design!$E80,0,掉落_design!W$2,1,1)&amp;";"&amp;OFFSET(掉落_design!$E80,0,掉落_design!W$2+1,1,1)&amp;";"&amp;OFFSET(掉落_design!$E80,0,掉落_design!W$2+2,1,1)&amp;";"&amp;OFFSET(掉落_design!$E80,0,掉落_design!W$2+3,1,1))</f>
        <v/>
      </c>
      <c r="Y80" s="16" t="str">
        <f ca="1">IF(OFFSET(掉落_design!$E80,0,掉落_design!X$2,1,1)="","",OFFSET(掉落_design!$E80,0,掉落_design!X$2,1,1)&amp;";"&amp;OFFSET(掉落_design!$E80,0,掉落_design!X$2+1,1,1)&amp;";"&amp;OFFSET(掉落_design!$E80,0,掉落_design!X$2+2,1,1)&amp;";"&amp;OFFSET(掉落_design!$E80,0,掉落_design!X$2+3,1,1))</f>
        <v/>
      </c>
    </row>
    <row r="81" spans="1:25" x14ac:dyDescent="0.15">
      <c r="A81" s="11" t="str">
        <f t="shared" si="29"/>
        <v>DATA</v>
      </c>
      <c r="B81" s="25"/>
      <c r="C81" s="25"/>
      <c r="D81" s="15">
        <f>IF(掉落_design!C81="","",掉落_design!C81)</f>
        <v>30100</v>
      </c>
      <c r="E81" s="15">
        <f>IF(A81="","",掉落_design!D81)</f>
        <v>1</v>
      </c>
      <c r="F81" s="16" t="str">
        <f ca="1">IF(OFFSET(掉落_design!$E81,0,掉落_design!E$2,1,1)="","",OFFSET(掉落_design!$E81,0,掉落_design!E$2,1,1)&amp;";"&amp;OFFSET(掉落_design!$E81,0,掉落_design!E$2+1,1,1)&amp;";"&amp;OFFSET(掉落_design!$E81,0,掉落_design!E$2+2,1,1)&amp;";"&amp;OFFSET(掉落_design!$E81,0,掉落_design!E$2+3,1,1))</f>
        <v>1000;50;50;10000</v>
      </c>
      <c r="G81" s="16" t="str">
        <f ca="1">IF(OFFSET(掉落_design!$E81,0,掉落_design!F$2,1,1)="","",OFFSET(掉落_design!$E81,0,掉落_design!F$2,1,1)&amp;";"&amp;OFFSET(掉落_design!$E81,0,掉落_design!F$2+1,1,1)&amp;";"&amp;OFFSET(掉落_design!$E81,0,掉落_design!F$2+2,1,1)&amp;";"&amp;OFFSET(掉落_design!$E81,0,掉落_design!F$2+3,1,1))</f>
        <v>1001;5000;5000;10000</v>
      </c>
      <c r="H81" s="16" t="str">
        <f ca="1">IF(OFFSET(掉落_design!$E81,0,掉落_design!G$2,1,1)="","",OFFSET(掉落_design!$E81,0,掉落_design!G$2,1,1)&amp;";"&amp;OFFSET(掉落_design!$E81,0,掉落_design!G$2+1,1,1)&amp;";"&amp;OFFSET(掉落_design!$E81,0,掉落_design!G$2+2,1,1)&amp;";"&amp;OFFSET(掉落_design!$E81,0,掉落_design!G$2+3,1,1))</f>
        <v>1100;5;5;10000</v>
      </c>
      <c r="I81" s="16" t="str">
        <f ca="1">IF(OFFSET(掉落_design!$E81,0,掉落_design!H$2,1,1)="","",OFFSET(掉落_design!$E81,0,掉落_design!H$2,1,1)&amp;";"&amp;OFFSET(掉落_design!$E81,0,掉落_design!H$2+1,1,1)&amp;";"&amp;OFFSET(掉落_design!$E81,0,掉落_design!H$2+2,1,1)&amp;";"&amp;OFFSET(掉落_design!$E81,0,掉落_design!H$2+3,1,1))</f>
        <v/>
      </c>
      <c r="J81" s="16" t="str">
        <f ca="1">IF(OFFSET(掉落_design!$E81,0,掉落_design!I$2,1,1)="","",OFFSET(掉落_design!$E81,0,掉落_design!I$2,1,1)&amp;";"&amp;OFFSET(掉落_design!$E81,0,掉落_design!I$2+1,1,1)&amp;";"&amp;OFFSET(掉落_design!$E81,0,掉落_design!I$2+2,1,1)&amp;";"&amp;OFFSET(掉落_design!$E81,0,掉落_design!I$2+3,1,1))</f>
        <v/>
      </c>
      <c r="K81" s="16" t="str">
        <f ca="1">IF(OFFSET(掉落_design!$E81,0,掉落_design!J$2,1,1)="","",OFFSET(掉落_design!$E81,0,掉落_design!J$2,1,1)&amp;";"&amp;OFFSET(掉落_design!$E81,0,掉落_design!J$2+1,1,1)&amp;";"&amp;OFFSET(掉落_design!$E81,0,掉落_design!J$2+2,1,1)&amp;";"&amp;OFFSET(掉落_design!$E81,0,掉落_design!J$2+3,1,1))</f>
        <v/>
      </c>
      <c r="L81" s="16" t="str">
        <f ca="1">IF(OFFSET(掉落_design!$E81,0,掉落_design!K$2,1,1)="","",OFFSET(掉落_design!$E81,0,掉落_design!K$2,1,1)&amp;";"&amp;OFFSET(掉落_design!$E81,0,掉落_design!K$2+1,1,1)&amp;";"&amp;OFFSET(掉落_design!$E81,0,掉落_design!K$2+2,1,1)&amp;";"&amp;OFFSET(掉落_design!$E81,0,掉落_design!K$2+3,1,1))</f>
        <v/>
      </c>
      <c r="M81" s="16" t="str">
        <f ca="1">IF(OFFSET(掉落_design!$E81,0,掉落_design!L$2,1,1)="","",OFFSET(掉落_design!$E81,0,掉落_design!L$2,1,1)&amp;";"&amp;OFFSET(掉落_design!$E81,0,掉落_design!L$2+1,1,1)&amp;";"&amp;OFFSET(掉落_design!$E81,0,掉落_design!L$2+2,1,1)&amp;";"&amp;OFFSET(掉落_design!$E81,0,掉落_design!L$2+3,1,1))</f>
        <v/>
      </c>
      <c r="N81" s="16" t="str">
        <f ca="1">IF(OFFSET(掉落_design!$E81,0,掉落_design!M$2,1,1)="","",OFFSET(掉落_design!$E81,0,掉落_design!M$2,1,1)&amp;";"&amp;OFFSET(掉落_design!$E81,0,掉落_design!M$2+1,1,1)&amp;";"&amp;OFFSET(掉落_design!$E81,0,掉落_design!M$2+2,1,1)&amp;";"&amp;OFFSET(掉落_design!$E81,0,掉落_design!M$2+3,1,1))</f>
        <v/>
      </c>
      <c r="O81" s="16" t="str">
        <f ca="1">IF(OFFSET(掉落_design!$E81,0,掉落_design!N$2,1,1)="","",OFFSET(掉落_design!$E81,0,掉落_design!N$2,1,1)&amp;";"&amp;OFFSET(掉落_design!$E81,0,掉落_design!N$2+1,1,1)&amp;";"&amp;OFFSET(掉落_design!$E81,0,掉落_design!N$2+2,1,1)&amp;";"&amp;OFFSET(掉落_design!$E81,0,掉落_design!N$2+3,1,1))</f>
        <v/>
      </c>
      <c r="P81" s="16" t="str">
        <f ca="1">IF(OFFSET(掉落_design!$E81,0,掉落_design!O$2,1,1)="","",OFFSET(掉落_design!$E81,0,掉落_design!O$2,1,1)&amp;";"&amp;OFFSET(掉落_design!$E81,0,掉落_design!O$2+1,1,1)&amp;";"&amp;OFFSET(掉落_design!$E81,0,掉落_design!O$2+2,1,1)&amp;";"&amp;OFFSET(掉落_design!$E81,0,掉落_design!O$2+3,1,1))</f>
        <v/>
      </c>
      <c r="Q81" s="16" t="str">
        <f ca="1">IF(OFFSET(掉落_design!$E81,0,掉落_design!P$2,1,1)="","",OFFSET(掉落_design!$E81,0,掉落_design!P$2,1,1)&amp;";"&amp;OFFSET(掉落_design!$E81,0,掉落_design!P$2+1,1,1)&amp;";"&amp;OFFSET(掉落_design!$E81,0,掉落_design!P$2+2,1,1)&amp;";"&amp;OFFSET(掉落_design!$E81,0,掉落_design!P$2+3,1,1))</f>
        <v/>
      </c>
      <c r="R81" s="16" t="str">
        <f ca="1">IF(OFFSET(掉落_design!$E81,0,掉落_design!Q$2,1,1)="","",OFFSET(掉落_design!$E81,0,掉落_design!Q$2,1,1)&amp;";"&amp;OFFSET(掉落_design!$E81,0,掉落_design!Q$2+1,1,1)&amp;";"&amp;OFFSET(掉落_design!$E81,0,掉落_design!Q$2+2,1,1)&amp;";"&amp;OFFSET(掉落_design!$E81,0,掉落_design!Q$2+3,1,1))</f>
        <v/>
      </c>
      <c r="S81" s="16" t="str">
        <f ca="1">IF(OFFSET(掉落_design!$E81,0,掉落_design!R$2,1,1)="","",OFFSET(掉落_design!$E81,0,掉落_design!R$2,1,1)&amp;";"&amp;OFFSET(掉落_design!$E81,0,掉落_design!R$2+1,1,1)&amp;";"&amp;OFFSET(掉落_design!$E81,0,掉落_design!R$2+2,1,1)&amp;";"&amp;OFFSET(掉落_design!$E81,0,掉落_design!R$2+3,1,1))</f>
        <v/>
      </c>
      <c r="T81" s="16" t="str">
        <f ca="1">IF(OFFSET(掉落_design!$E81,0,掉落_design!S$2,1,1)="","",OFFSET(掉落_design!$E81,0,掉落_design!S$2,1,1)&amp;";"&amp;OFFSET(掉落_design!$E81,0,掉落_design!S$2+1,1,1)&amp;";"&amp;OFFSET(掉落_design!$E81,0,掉落_design!S$2+2,1,1)&amp;";"&amp;OFFSET(掉落_design!$E81,0,掉落_design!S$2+3,1,1))</f>
        <v/>
      </c>
      <c r="U81" s="16" t="str">
        <f ca="1">IF(OFFSET(掉落_design!$E81,0,掉落_design!T$2,1,1)="","",OFFSET(掉落_design!$E81,0,掉落_design!T$2,1,1)&amp;";"&amp;OFFSET(掉落_design!$E81,0,掉落_design!T$2+1,1,1)&amp;";"&amp;OFFSET(掉落_design!$E81,0,掉落_design!T$2+2,1,1)&amp;";"&amp;OFFSET(掉落_design!$E81,0,掉落_design!T$2+3,1,1))</f>
        <v/>
      </c>
      <c r="V81" s="16" t="str">
        <f ca="1">IF(OFFSET(掉落_design!$E81,0,掉落_design!U$2,1,1)="","",OFFSET(掉落_design!$E81,0,掉落_design!U$2,1,1)&amp;";"&amp;OFFSET(掉落_design!$E81,0,掉落_design!U$2+1,1,1)&amp;";"&amp;OFFSET(掉落_design!$E81,0,掉落_design!U$2+2,1,1)&amp;";"&amp;OFFSET(掉落_design!$E81,0,掉落_design!U$2+3,1,1))</f>
        <v/>
      </c>
      <c r="W81" s="16" t="str">
        <f ca="1">IF(OFFSET(掉落_design!$E81,0,掉落_design!V$2,1,1)="","",OFFSET(掉落_design!$E81,0,掉落_design!V$2,1,1)&amp;";"&amp;OFFSET(掉落_design!$E81,0,掉落_design!V$2+1,1,1)&amp;";"&amp;OFFSET(掉落_design!$E81,0,掉落_design!V$2+2,1,1)&amp;";"&amp;OFFSET(掉落_design!$E81,0,掉落_design!V$2+3,1,1))</f>
        <v/>
      </c>
      <c r="X81" s="16" t="str">
        <f ca="1">IF(OFFSET(掉落_design!$E81,0,掉落_design!W$2,1,1)="","",OFFSET(掉落_design!$E81,0,掉落_design!W$2,1,1)&amp;";"&amp;OFFSET(掉落_design!$E81,0,掉落_design!W$2+1,1,1)&amp;";"&amp;OFFSET(掉落_design!$E81,0,掉落_design!W$2+2,1,1)&amp;";"&amp;OFFSET(掉落_design!$E81,0,掉落_design!W$2+3,1,1))</f>
        <v/>
      </c>
      <c r="Y81" s="16" t="str">
        <f ca="1">IF(OFFSET(掉落_design!$E81,0,掉落_design!X$2,1,1)="","",OFFSET(掉落_design!$E81,0,掉落_design!X$2,1,1)&amp;";"&amp;OFFSET(掉落_design!$E81,0,掉落_design!X$2+1,1,1)&amp;";"&amp;OFFSET(掉落_design!$E81,0,掉落_design!X$2+2,1,1)&amp;";"&amp;OFFSET(掉落_design!$E81,0,掉落_design!X$2+3,1,1))</f>
        <v/>
      </c>
    </row>
    <row r="82" spans="1:25" x14ac:dyDescent="0.15">
      <c r="A82" s="11" t="str">
        <f t="shared" si="29"/>
        <v>DATA</v>
      </c>
      <c r="B82" s="25"/>
      <c r="C82" s="25"/>
      <c r="D82" s="15">
        <f>IF(掉落_design!C82="","",掉落_design!C82)</f>
        <v>30101</v>
      </c>
      <c r="E82" s="15">
        <f>IF(A82="","",掉落_design!D82)</f>
        <v>1</v>
      </c>
      <c r="F82" s="16" t="str">
        <f ca="1">IF(OFFSET(掉落_design!$E82,0,掉落_design!E$2,1,1)="","",OFFSET(掉落_design!$E82,0,掉落_design!E$2,1,1)&amp;";"&amp;OFFSET(掉落_design!$E82,0,掉落_design!E$2+1,1,1)&amp;";"&amp;OFFSET(掉落_design!$E82,0,掉落_design!E$2+2,1,1)&amp;";"&amp;OFFSET(掉落_design!$E82,0,掉落_design!E$2+3,1,1))</f>
        <v>1000;20;20;10000</v>
      </c>
      <c r="G82" s="16" t="str">
        <f ca="1">IF(OFFSET(掉落_design!$E82,0,掉落_design!F$2,1,1)="","",OFFSET(掉落_design!$E82,0,掉落_design!F$2,1,1)&amp;";"&amp;OFFSET(掉落_design!$E82,0,掉落_design!F$2+1,1,1)&amp;";"&amp;OFFSET(掉落_design!$E82,0,掉落_design!F$2+2,1,1)&amp;";"&amp;OFFSET(掉落_design!$E82,0,掉落_design!F$2+3,1,1))</f>
        <v>1001;1000;1000;10000</v>
      </c>
      <c r="H82" s="16" t="str">
        <f ca="1">IF(OFFSET(掉落_design!$E82,0,掉落_design!G$2,1,1)="","",OFFSET(掉落_design!$E82,0,掉落_design!G$2,1,1)&amp;";"&amp;OFFSET(掉落_design!$E82,0,掉落_design!G$2+1,1,1)&amp;";"&amp;OFFSET(掉落_design!$E82,0,掉落_design!G$2+2,1,1)&amp;";"&amp;OFFSET(掉落_design!$E82,0,掉落_design!G$2+3,1,1))</f>
        <v>1100;2;2;10000</v>
      </c>
      <c r="I82" s="16" t="str">
        <f ca="1">IF(OFFSET(掉落_design!$E82,0,掉落_design!H$2,1,1)="","",OFFSET(掉落_design!$E82,0,掉落_design!H$2,1,1)&amp;";"&amp;OFFSET(掉落_design!$E82,0,掉落_design!H$2+1,1,1)&amp;";"&amp;OFFSET(掉落_design!$E82,0,掉落_design!H$2+2,1,1)&amp;";"&amp;OFFSET(掉落_design!$E82,0,掉落_design!H$2+3,1,1))</f>
        <v/>
      </c>
      <c r="J82" s="16" t="str">
        <f ca="1">IF(OFFSET(掉落_design!$E82,0,掉落_design!I$2,1,1)="","",OFFSET(掉落_design!$E82,0,掉落_design!I$2,1,1)&amp;";"&amp;OFFSET(掉落_design!$E82,0,掉落_design!I$2+1,1,1)&amp;";"&amp;OFFSET(掉落_design!$E82,0,掉落_design!I$2+2,1,1)&amp;";"&amp;OFFSET(掉落_design!$E82,0,掉落_design!I$2+3,1,1))</f>
        <v/>
      </c>
      <c r="K82" s="16" t="str">
        <f ca="1">IF(OFFSET(掉落_design!$E82,0,掉落_design!J$2,1,1)="","",OFFSET(掉落_design!$E82,0,掉落_design!J$2,1,1)&amp;";"&amp;OFFSET(掉落_design!$E82,0,掉落_design!J$2+1,1,1)&amp;";"&amp;OFFSET(掉落_design!$E82,0,掉落_design!J$2+2,1,1)&amp;";"&amp;OFFSET(掉落_design!$E82,0,掉落_design!J$2+3,1,1))</f>
        <v/>
      </c>
      <c r="L82" s="16" t="str">
        <f ca="1">IF(OFFSET(掉落_design!$E82,0,掉落_design!K$2,1,1)="","",OFFSET(掉落_design!$E82,0,掉落_design!K$2,1,1)&amp;";"&amp;OFFSET(掉落_design!$E82,0,掉落_design!K$2+1,1,1)&amp;";"&amp;OFFSET(掉落_design!$E82,0,掉落_design!K$2+2,1,1)&amp;";"&amp;OFFSET(掉落_design!$E82,0,掉落_design!K$2+3,1,1))</f>
        <v/>
      </c>
      <c r="M82" s="16" t="str">
        <f ca="1">IF(OFFSET(掉落_design!$E82,0,掉落_design!L$2,1,1)="","",OFFSET(掉落_design!$E82,0,掉落_design!L$2,1,1)&amp;";"&amp;OFFSET(掉落_design!$E82,0,掉落_design!L$2+1,1,1)&amp;";"&amp;OFFSET(掉落_design!$E82,0,掉落_design!L$2+2,1,1)&amp;";"&amp;OFFSET(掉落_design!$E82,0,掉落_design!L$2+3,1,1))</f>
        <v/>
      </c>
      <c r="N82" s="16" t="str">
        <f ca="1">IF(OFFSET(掉落_design!$E82,0,掉落_design!M$2,1,1)="","",OFFSET(掉落_design!$E82,0,掉落_design!M$2,1,1)&amp;";"&amp;OFFSET(掉落_design!$E82,0,掉落_design!M$2+1,1,1)&amp;";"&amp;OFFSET(掉落_design!$E82,0,掉落_design!M$2+2,1,1)&amp;";"&amp;OFFSET(掉落_design!$E82,0,掉落_design!M$2+3,1,1))</f>
        <v/>
      </c>
      <c r="O82" s="16" t="str">
        <f ca="1">IF(OFFSET(掉落_design!$E82,0,掉落_design!N$2,1,1)="","",OFFSET(掉落_design!$E82,0,掉落_design!N$2,1,1)&amp;";"&amp;OFFSET(掉落_design!$E82,0,掉落_design!N$2+1,1,1)&amp;";"&amp;OFFSET(掉落_design!$E82,0,掉落_design!N$2+2,1,1)&amp;";"&amp;OFFSET(掉落_design!$E82,0,掉落_design!N$2+3,1,1))</f>
        <v/>
      </c>
      <c r="P82" s="16" t="str">
        <f ca="1">IF(OFFSET(掉落_design!$E82,0,掉落_design!O$2,1,1)="","",OFFSET(掉落_design!$E82,0,掉落_design!O$2,1,1)&amp;";"&amp;OFFSET(掉落_design!$E82,0,掉落_design!O$2+1,1,1)&amp;";"&amp;OFFSET(掉落_design!$E82,0,掉落_design!O$2+2,1,1)&amp;";"&amp;OFFSET(掉落_design!$E82,0,掉落_design!O$2+3,1,1))</f>
        <v/>
      </c>
      <c r="Q82" s="16" t="str">
        <f ca="1">IF(OFFSET(掉落_design!$E82,0,掉落_design!P$2,1,1)="","",OFFSET(掉落_design!$E82,0,掉落_design!P$2,1,1)&amp;";"&amp;OFFSET(掉落_design!$E82,0,掉落_design!P$2+1,1,1)&amp;";"&amp;OFFSET(掉落_design!$E82,0,掉落_design!P$2+2,1,1)&amp;";"&amp;OFFSET(掉落_design!$E82,0,掉落_design!P$2+3,1,1))</f>
        <v/>
      </c>
      <c r="R82" s="16" t="str">
        <f ca="1">IF(OFFSET(掉落_design!$E82,0,掉落_design!Q$2,1,1)="","",OFFSET(掉落_design!$E82,0,掉落_design!Q$2,1,1)&amp;";"&amp;OFFSET(掉落_design!$E82,0,掉落_design!Q$2+1,1,1)&amp;";"&amp;OFFSET(掉落_design!$E82,0,掉落_design!Q$2+2,1,1)&amp;";"&amp;OFFSET(掉落_design!$E82,0,掉落_design!Q$2+3,1,1))</f>
        <v/>
      </c>
      <c r="S82" s="16" t="str">
        <f ca="1">IF(OFFSET(掉落_design!$E82,0,掉落_design!R$2,1,1)="","",OFFSET(掉落_design!$E82,0,掉落_design!R$2,1,1)&amp;";"&amp;OFFSET(掉落_design!$E82,0,掉落_design!R$2+1,1,1)&amp;";"&amp;OFFSET(掉落_design!$E82,0,掉落_design!R$2+2,1,1)&amp;";"&amp;OFFSET(掉落_design!$E82,0,掉落_design!R$2+3,1,1))</f>
        <v/>
      </c>
      <c r="T82" s="16" t="str">
        <f ca="1">IF(OFFSET(掉落_design!$E82,0,掉落_design!S$2,1,1)="","",OFFSET(掉落_design!$E82,0,掉落_design!S$2,1,1)&amp;";"&amp;OFFSET(掉落_design!$E82,0,掉落_design!S$2+1,1,1)&amp;";"&amp;OFFSET(掉落_design!$E82,0,掉落_design!S$2+2,1,1)&amp;";"&amp;OFFSET(掉落_design!$E82,0,掉落_design!S$2+3,1,1))</f>
        <v/>
      </c>
      <c r="U82" s="16" t="str">
        <f ca="1">IF(OFFSET(掉落_design!$E82,0,掉落_design!T$2,1,1)="","",OFFSET(掉落_design!$E82,0,掉落_design!T$2,1,1)&amp;";"&amp;OFFSET(掉落_design!$E82,0,掉落_design!T$2+1,1,1)&amp;";"&amp;OFFSET(掉落_design!$E82,0,掉落_design!T$2+2,1,1)&amp;";"&amp;OFFSET(掉落_design!$E82,0,掉落_design!T$2+3,1,1))</f>
        <v/>
      </c>
      <c r="V82" s="16" t="str">
        <f ca="1">IF(OFFSET(掉落_design!$E82,0,掉落_design!U$2,1,1)="","",OFFSET(掉落_design!$E82,0,掉落_design!U$2,1,1)&amp;";"&amp;OFFSET(掉落_design!$E82,0,掉落_design!U$2+1,1,1)&amp;";"&amp;OFFSET(掉落_design!$E82,0,掉落_design!U$2+2,1,1)&amp;";"&amp;OFFSET(掉落_design!$E82,0,掉落_design!U$2+3,1,1))</f>
        <v/>
      </c>
      <c r="W82" s="16" t="str">
        <f ca="1">IF(OFFSET(掉落_design!$E82,0,掉落_design!V$2,1,1)="","",OFFSET(掉落_design!$E82,0,掉落_design!V$2,1,1)&amp;";"&amp;OFFSET(掉落_design!$E82,0,掉落_design!V$2+1,1,1)&amp;";"&amp;OFFSET(掉落_design!$E82,0,掉落_design!V$2+2,1,1)&amp;";"&amp;OFFSET(掉落_design!$E82,0,掉落_design!V$2+3,1,1))</f>
        <v/>
      </c>
      <c r="X82" s="16" t="str">
        <f ca="1">IF(OFFSET(掉落_design!$E82,0,掉落_design!W$2,1,1)="","",OFFSET(掉落_design!$E82,0,掉落_design!W$2,1,1)&amp;";"&amp;OFFSET(掉落_design!$E82,0,掉落_design!W$2+1,1,1)&amp;";"&amp;OFFSET(掉落_design!$E82,0,掉落_design!W$2+2,1,1)&amp;";"&amp;OFFSET(掉落_design!$E82,0,掉落_design!W$2+3,1,1))</f>
        <v/>
      </c>
      <c r="Y82" s="16" t="str">
        <f ca="1">IF(OFFSET(掉落_design!$E82,0,掉落_design!X$2,1,1)="","",OFFSET(掉落_design!$E82,0,掉落_design!X$2,1,1)&amp;";"&amp;OFFSET(掉落_design!$E82,0,掉落_design!X$2+1,1,1)&amp;";"&amp;OFFSET(掉落_design!$E82,0,掉落_design!X$2+2,1,1)&amp;";"&amp;OFFSET(掉落_design!$E82,0,掉落_design!X$2+3,1,1))</f>
        <v/>
      </c>
    </row>
    <row r="83" spans="1:25" x14ac:dyDescent="0.15">
      <c r="A83" s="11" t="str">
        <f t="shared" si="29"/>
        <v>DATA</v>
      </c>
      <c r="B83" s="25"/>
      <c r="C83" s="25"/>
      <c r="D83" s="15">
        <f>IF(掉落_design!C83="","",掉落_design!C83)</f>
        <v>30102</v>
      </c>
      <c r="E83" s="15">
        <f>IF(A83="","",掉落_design!D83)</f>
        <v>1</v>
      </c>
      <c r="F83" s="16" t="str">
        <f ca="1">IF(OFFSET(掉落_design!$E83,0,掉落_design!E$2,1,1)="","",OFFSET(掉落_design!$E83,0,掉落_design!E$2,1,1)&amp;";"&amp;OFFSET(掉落_design!$E83,0,掉落_design!E$2+1,1,1)&amp;";"&amp;OFFSET(掉落_design!$E83,0,掉落_design!E$2+2,1,1)&amp;";"&amp;OFFSET(掉落_design!$E83,0,掉落_design!E$2+3,1,1))</f>
        <v>1000;100;100;10000</v>
      </c>
      <c r="G83" s="16" t="str">
        <f ca="1">IF(OFFSET(掉落_design!$E83,0,掉落_design!F$2,1,1)="","",OFFSET(掉落_design!$E83,0,掉落_design!F$2,1,1)&amp;";"&amp;OFFSET(掉落_design!$E83,0,掉落_design!F$2+1,1,1)&amp;";"&amp;OFFSET(掉落_design!$E83,0,掉落_design!F$2+2,1,1)&amp;";"&amp;OFFSET(掉落_design!$E83,0,掉落_design!F$2+3,1,1))</f>
        <v>1001;8888;8888;10000</v>
      </c>
      <c r="H83" s="16" t="str">
        <f ca="1">IF(OFFSET(掉落_design!$E83,0,掉落_design!G$2,1,1)="","",OFFSET(掉落_design!$E83,0,掉落_design!G$2,1,1)&amp;";"&amp;OFFSET(掉落_design!$E83,0,掉落_design!G$2+1,1,1)&amp;";"&amp;OFFSET(掉落_design!$E83,0,掉落_design!G$2+2,1,1)&amp;";"&amp;OFFSET(掉落_design!$E83,0,掉落_design!G$2+3,1,1))</f>
        <v>1100;9;9;10000</v>
      </c>
      <c r="I83" s="16" t="str">
        <f ca="1">IF(OFFSET(掉落_design!$E83,0,掉落_design!H$2,1,1)="","",OFFSET(掉落_design!$E83,0,掉落_design!H$2,1,1)&amp;";"&amp;OFFSET(掉落_design!$E83,0,掉落_design!H$2+1,1,1)&amp;";"&amp;OFFSET(掉落_design!$E83,0,掉落_design!H$2+2,1,1)&amp;";"&amp;OFFSET(掉落_design!$E83,0,掉落_design!H$2+3,1,1))</f>
        <v/>
      </c>
      <c r="J83" s="16" t="str">
        <f ca="1">IF(OFFSET(掉落_design!$E83,0,掉落_design!I$2,1,1)="","",OFFSET(掉落_design!$E83,0,掉落_design!I$2,1,1)&amp;";"&amp;OFFSET(掉落_design!$E83,0,掉落_design!I$2+1,1,1)&amp;";"&amp;OFFSET(掉落_design!$E83,0,掉落_design!I$2+2,1,1)&amp;";"&amp;OFFSET(掉落_design!$E83,0,掉落_design!I$2+3,1,1))</f>
        <v/>
      </c>
      <c r="K83" s="16" t="str">
        <f ca="1">IF(OFFSET(掉落_design!$E83,0,掉落_design!J$2,1,1)="","",OFFSET(掉落_design!$E83,0,掉落_design!J$2,1,1)&amp;";"&amp;OFFSET(掉落_design!$E83,0,掉落_design!J$2+1,1,1)&amp;";"&amp;OFFSET(掉落_design!$E83,0,掉落_design!J$2+2,1,1)&amp;";"&amp;OFFSET(掉落_design!$E83,0,掉落_design!J$2+3,1,1))</f>
        <v/>
      </c>
      <c r="L83" s="16" t="str">
        <f ca="1">IF(OFFSET(掉落_design!$E83,0,掉落_design!K$2,1,1)="","",OFFSET(掉落_design!$E83,0,掉落_design!K$2,1,1)&amp;";"&amp;OFFSET(掉落_design!$E83,0,掉落_design!K$2+1,1,1)&amp;";"&amp;OFFSET(掉落_design!$E83,0,掉落_design!K$2+2,1,1)&amp;";"&amp;OFFSET(掉落_design!$E83,0,掉落_design!K$2+3,1,1))</f>
        <v/>
      </c>
      <c r="M83" s="16" t="str">
        <f ca="1">IF(OFFSET(掉落_design!$E83,0,掉落_design!L$2,1,1)="","",OFFSET(掉落_design!$E83,0,掉落_design!L$2,1,1)&amp;";"&amp;OFFSET(掉落_design!$E83,0,掉落_design!L$2+1,1,1)&amp;";"&amp;OFFSET(掉落_design!$E83,0,掉落_design!L$2+2,1,1)&amp;";"&amp;OFFSET(掉落_design!$E83,0,掉落_design!L$2+3,1,1))</f>
        <v/>
      </c>
      <c r="N83" s="16" t="str">
        <f ca="1">IF(OFFSET(掉落_design!$E83,0,掉落_design!M$2,1,1)="","",OFFSET(掉落_design!$E83,0,掉落_design!M$2,1,1)&amp;";"&amp;OFFSET(掉落_design!$E83,0,掉落_design!M$2+1,1,1)&amp;";"&amp;OFFSET(掉落_design!$E83,0,掉落_design!M$2+2,1,1)&amp;";"&amp;OFFSET(掉落_design!$E83,0,掉落_design!M$2+3,1,1))</f>
        <v/>
      </c>
      <c r="O83" s="16" t="str">
        <f ca="1">IF(OFFSET(掉落_design!$E83,0,掉落_design!N$2,1,1)="","",OFFSET(掉落_design!$E83,0,掉落_design!N$2,1,1)&amp;";"&amp;OFFSET(掉落_design!$E83,0,掉落_design!N$2+1,1,1)&amp;";"&amp;OFFSET(掉落_design!$E83,0,掉落_design!N$2+2,1,1)&amp;";"&amp;OFFSET(掉落_design!$E83,0,掉落_design!N$2+3,1,1))</f>
        <v/>
      </c>
      <c r="P83" s="16" t="str">
        <f ca="1">IF(OFFSET(掉落_design!$E83,0,掉落_design!O$2,1,1)="","",OFFSET(掉落_design!$E83,0,掉落_design!O$2,1,1)&amp;";"&amp;OFFSET(掉落_design!$E83,0,掉落_design!O$2+1,1,1)&amp;";"&amp;OFFSET(掉落_design!$E83,0,掉落_design!O$2+2,1,1)&amp;";"&amp;OFFSET(掉落_design!$E83,0,掉落_design!O$2+3,1,1))</f>
        <v/>
      </c>
      <c r="Q83" s="16" t="str">
        <f ca="1">IF(OFFSET(掉落_design!$E83,0,掉落_design!P$2,1,1)="","",OFFSET(掉落_design!$E83,0,掉落_design!P$2,1,1)&amp;";"&amp;OFFSET(掉落_design!$E83,0,掉落_design!P$2+1,1,1)&amp;";"&amp;OFFSET(掉落_design!$E83,0,掉落_design!P$2+2,1,1)&amp;";"&amp;OFFSET(掉落_design!$E83,0,掉落_design!P$2+3,1,1))</f>
        <v/>
      </c>
      <c r="R83" s="16" t="str">
        <f ca="1">IF(OFFSET(掉落_design!$E83,0,掉落_design!Q$2,1,1)="","",OFFSET(掉落_design!$E83,0,掉落_design!Q$2,1,1)&amp;";"&amp;OFFSET(掉落_design!$E83,0,掉落_design!Q$2+1,1,1)&amp;";"&amp;OFFSET(掉落_design!$E83,0,掉落_design!Q$2+2,1,1)&amp;";"&amp;OFFSET(掉落_design!$E83,0,掉落_design!Q$2+3,1,1))</f>
        <v/>
      </c>
      <c r="S83" s="16" t="str">
        <f ca="1">IF(OFFSET(掉落_design!$E83,0,掉落_design!R$2,1,1)="","",OFFSET(掉落_design!$E83,0,掉落_design!R$2,1,1)&amp;";"&amp;OFFSET(掉落_design!$E83,0,掉落_design!R$2+1,1,1)&amp;";"&amp;OFFSET(掉落_design!$E83,0,掉落_design!R$2+2,1,1)&amp;";"&amp;OFFSET(掉落_design!$E83,0,掉落_design!R$2+3,1,1))</f>
        <v/>
      </c>
      <c r="T83" s="16" t="str">
        <f ca="1">IF(OFFSET(掉落_design!$E83,0,掉落_design!S$2,1,1)="","",OFFSET(掉落_design!$E83,0,掉落_design!S$2,1,1)&amp;";"&amp;OFFSET(掉落_design!$E83,0,掉落_design!S$2+1,1,1)&amp;";"&amp;OFFSET(掉落_design!$E83,0,掉落_design!S$2+2,1,1)&amp;";"&amp;OFFSET(掉落_design!$E83,0,掉落_design!S$2+3,1,1))</f>
        <v/>
      </c>
      <c r="U83" s="16" t="str">
        <f ca="1">IF(OFFSET(掉落_design!$E83,0,掉落_design!T$2,1,1)="","",OFFSET(掉落_design!$E83,0,掉落_design!T$2,1,1)&amp;";"&amp;OFFSET(掉落_design!$E83,0,掉落_design!T$2+1,1,1)&amp;";"&amp;OFFSET(掉落_design!$E83,0,掉落_design!T$2+2,1,1)&amp;";"&amp;OFFSET(掉落_design!$E83,0,掉落_design!T$2+3,1,1))</f>
        <v/>
      </c>
      <c r="V83" s="16" t="str">
        <f ca="1">IF(OFFSET(掉落_design!$E83,0,掉落_design!U$2,1,1)="","",OFFSET(掉落_design!$E83,0,掉落_design!U$2,1,1)&amp;";"&amp;OFFSET(掉落_design!$E83,0,掉落_design!U$2+1,1,1)&amp;";"&amp;OFFSET(掉落_design!$E83,0,掉落_design!U$2+2,1,1)&amp;";"&amp;OFFSET(掉落_design!$E83,0,掉落_design!U$2+3,1,1))</f>
        <v/>
      </c>
      <c r="W83" s="16" t="str">
        <f ca="1">IF(OFFSET(掉落_design!$E83,0,掉落_design!V$2,1,1)="","",OFFSET(掉落_design!$E83,0,掉落_design!V$2,1,1)&amp;";"&amp;OFFSET(掉落_design!$E83,0,掉落_design!V$2+1,1,1)&amp;";"&amp;OFFSET(掉落_design!$E83,0,掉落_design!V$2+2,1,1)&amp;";"&amp;OFFSET(掉落_design!$E83,0,掉落_design!V$2+3,1,1))</f>
        <v/>
      </c>
      <c r="X83" s="16" t="str">
        <f ca="1">IF(OFFSET(掉落_design!$E83,0,掉落_design!W$2,1,1)="","",OFFSET(掉落_design!$E83,0,掉落_design!W$2,1,1)&amp;";"&amp;OFFSET(掉落_design!$E83,0,掉落_design!W$2+1,1,1)&amp;";"&amp;OFFSET(掉落_design!$E83,0,掉落_design!W$2+2,1,1)&amp;";"&amp;OFFSET(掉落_design!$E83,0,掉落_design!W$2+3,1,1))</f>
        <v/>
      </c>
      <c r="Y83" s="16" t="str">
        <f ca="1">IF(OFFSET(掉落_design!$E83,0,掉落_design!X$2,1,1)="","",OFFSET(掉落_design!$E83,0,掉落_design!X$2,1,1)&amp;";"&amp;OFFSET(掉落_design!$E83,0,掉落_design!X$2+1,1,1)&amp;";"&amp;OFFSET(掉落_design!$E83,0,掉落_design!X$2+2,1,1)&amp;";"&amp;OFFSET(掉落_design!$E83,0,掉落_design!X$2+3,1,1))</f>
        <v/>
      </c>
    </row>
    <row r="84" spans="1:25" x14ac:dyDescent="0.15">
      <c r="A84" s="11" t="str">
        <f t="shared" si="29"/>
        <v/>
      </c>
      <c r="B84" s="25"/>
      <c r="C84" s="25"/>
      <c r="D84" s="15" t="str">
        <f>IF(掉落_design!C84="","",掉落_design!C84)</f>
        <v/>
      </c>
      <c r="E84" s="15" t="str">
        <f>IF(A84="","",掉落_design!D84)</f>
        <v/>
      </c>
      <c r="F84" s="16" t="str">
        <f ca="1">IF(OFFSET(掉落_design!$E84,0,掉落_design!E$2,1,1)="","",OFFSET(掉落_design!$E84,0,掉落_design!E$2,1,1)&amp;";"&amp;OFFSET(掉落_design!$E84,0,掉落_design!E$2+1,1,1)&amp;";"&amp;OFFSET(掉落_design!$E84,0,掉落_design!E$2+2,1,1)&amp;";"&amp;OFFSET(掉落_design!$E84,0,掉落_design!E$2+3,1,1))</f>
        <v/>
      </c>
      <c r="G84" s="16" t="str">
        <f ca="1">IF(OFFSET(掉落_design!$E84,0,掉落_design!F$2,1,1)="","",OFFSET(掉落_design!$E84,0,掉落_design!F$2,1,1)&amp;";"&amp;OFFSET(掉落_design!$E84,0,掉落_design!F$2+1,1,1)&amp;";"&amp;OFFSET(掉落_design!$E84,0,掉落_design!F$2+2,1,1)&amp;";"&amp;OFFSET(掉落_design!$E84,0,掉落_design!F$2+3,1,1))</f>
        <v/>
      </c>
      <c r="H84" s="16" t="str">
        <f ca="1">IF(OFFSET(掉落_design!$E84,0,掉落_design!G$2,1,1)="","",OFFSET(掉落_design!$E84,0,掉落_design!G$2,1,1)&amp;";"&amp;OFFSET(掉落_design!$E84,0,掉落_design!G$2+1,1,1)&amp;";"&amp;OFFSET(掉落_design!$E84,0,掉落_design!G$2+2,1,1)&amp;";"&amp;OFFSET(掉落_design!$E84,0,掉落_design!G$2+3,1,1))</f>
        <v/>
      </c>
      <c r="I84" s="16" t="str">
        <f ca="1">IF(OFFSET(掉落_design!$E84,0,掉落_design!H$2,1,1)="","",OFFSET(掉落_design!$E84,0,掉落_design!H$2,1,1)&amp;";"&amp;OFFSET(掉落_design!$E84,0,掉落_design!H$2+1,1,1)&amp;";"&amp;OFFSET(掉落_design!$E84,0,掉落_design!H$2+2,1,1)&amp;";"&amp;OFFSET(掉落_design!$E84,0,掉落_design!H$2+3,1,1))</f>
        <v/>
      </c>
      <c r="J84" s="16" t="str">
        <f ca="1">IF(OFFSET(掉落_design!$E84,0,掉落_design!I$2,1,1)="","",OFFSET(掉落_design!$E84,0,掉落_design!I$2,1,1)&amp;";"&amp;OFFSET(掉落_design!$E84,0,掉落_design!I$2+1,1,1)&amp;";"&amp;OFFSET(掉落_design!$E84,0,掉落_design!I$2+2,1,1)&amp;";"&amp;OFFSET(掉落_design!$E84,0,掉落_design!I$2+3,1,1))</f>
        <v/>
      </c>
      <c r="K84" s="16" t="str">
        <f ca="1">IF(OFFSET(掉落_design!$E84,0,掉落_design!J$2,1,1)="","",OFFSET(掉落_design!$E84,0,掉落_design!J$2,1,1)&amp;";"&amp;OFFSET(掉落_design!$E84,0,掉落_design!J$2+1,1,1)&amp;";"&amp;OFFSET(掉落_design!$E84,0,掉落_design!J$2+2,1,1)&amp;";"&amp;OFFSET(掉落_design!$E84,0,掉落_design!J$2+3,1,1))</f>
        <v/>
      </c>
      <c r="L84" s="16" t="str">
        <f ca="1">IF(OFFSET(掉落_design!$E84,0,掉落_design!K$2,1,1)="","",OFFSET(掉落_design!$E84,0,掉落_design!K$2,1,1)&amp;";"&amp;OFFSET(掉落_design!$E84,0,掉落_design!K$2+1,1,1)&amp;";"&amp;OFFSET(掉落_design!$E84,0,掉落_design!K$2+2,1,1)&amp;";"&amp;OFFSET(掉落_design!$E84,0,掉落_design!K$2+3,1,1))</f>
        <v/>
      </c>
      <c r="M84" s="16" t="str">
        <f ca="1">IF(OFFSET(掉落_design!$E84,0,掉落_design!L$2,1,1)="","",OFFSET(掉落_design!$E84,0,掉落_design!L$2,1,1)&amp;";"&amp;OFFSET(掉落_design!$E84,0,掉落_design!L$2+1,1,1)&amp;";"&amp;OFFSET(掉落_design!$E84,0,掉落_design!L$2+2,1,1)&amp;";"&amp;OFFSET(掉落_design!$E84,0,掉落_design!L$2+3,1,1))</f>
        <v/>
      </c>
      <c r="N84" s="16" t="str">
        <f ca="1">IF(OFFSET(掉落_design!$E84,0,掉落_design!M$2,1,1)="","",OFFSET(掉落_design!$E84,0,掉落_design!M$2,1,1)&amp;";"&amp;OFFSET(掉落_design!$E84,0,掉落_design!M$2+1,1,1)&amp;";"&amp;OFFSET(掉落_design!$E84,0,掉落_design!M$2+2,1,1)&amp;";"&amp;OFFSET(掉落_design!$E84,0,掉落_design!M$2+3,1,1))</f>
        <v/>
      </c>
      <c r="O84" s="16" t="str">
        <f ca="1">IF(OFFSET(掉落_design!$E84,0,掉落_design!N$2,1,1)="","",OFFSET(掉落_design!$E84,0,掉落_design!N$2,1,1)&amp;";"&amp;OFFSET(掉落_design!$E84,0,掉落_design!N$2+1,1,1)&amp;";"&amp;OFFSET(掉落_design!$E84,0,掉落_design!N$2+2,1,1)&amp;";"&amp;OFFSET(掉落_design!$E84,0,掉落_design!N$2+3,1,1))</f>
        <v/>
      </c>
      <c r="P84" s="16" t="str">
        <f ca="1">IF(OFFSET(掉落_design!$E84,0,掉落_design!O$2,1,1)="","",OFFSET(掉落_design!$E84,0,掉落_design!O$2,1,1)&amp;";"&amp;OFFSET(掉落_design!$E84,0,掉落_design!O$2+1,1,1)&amp;";"&amp;OFFSET(掉落_design!$E84,0,掉落_design!O$2+2,1,1)&amp;";"&amp;OFFSET(掉落_design!$E84,0,掉落_design!O$2+3,1,1))</f>
        <v/>
      </c>
      <c r="Q84" s="16" t="str">
        <f ca="1">IF(OFFSET(掉落_design!$E84,0,掉落_design!P$2,1,1)="","",OFFSET(掉落_design!$E84,0,掉落_design!P$2,1,1)&amp;";"&amp;OFFSET(掉落_design!$E84,0,掉落_design!P$2+1,1,1)&amp;";"&amp;OFFSET(掉落_design!$E84,0,掉落_design!P$2+2,1,1)&amp;";"&amp;OFFSET(掉落_design!$E84,0,掉落_design!P$2+3,1,1))</f>
        <v/>
      </c>
      <c r="R84" s="16" t="str">
        <f ca="1">IF(OFFSET(掉落_design!$E84,0,掉落_design!Q$2,1,1)="","",OFFSET(掉落_design!$E84,0,掉落_design!Q$2,1,1)&amp;";"&amp;OFFSET(掉落_design!$E84,0,掉落_design!Q$2+1,1,1)&amp;";"&amp;OFFSET(掉落_design!$E84,0,掉落_design!Q$2+2,1,1)&amp;";"&amp;OFFSET(掉落_design!$E84,0,掉落_design!Q$2+3,1,1))</f>
        <v/>
      </c>
      <c r="S84" s="16" t="str">
        <f ca="1">IF(OFFSET(掉落_design!$E84,0,掉落_design!R$2,1,1)="","",OFFSET(掉落_design!$E84,0,掉落_design!R$2,1,1)&amp;";"&amp;OFFSET(掉落_design!$E84,0,掉落_design!R$2+1,1,1)&amp;";"&amp;OFFSET(掉落_design!$E84,0,掉落_design!R$2+2,1,1)&amp;";"&amp;OFFSET(掉落_design!$E84,0,掉落_design!R$2+3,1,1))</f>
        <v/>
      </c>
      <c r="T84" s="16" t="str">
        <f ca="1">IF(OFFSET(掉落_design!$E84,0,掉落_design!S$2,1,1)="","",OFFSET(掉落_design!$E84,0,掉落_design!S$2,1,1)&amp;";"&amp;OFFSET(掉落_design!$E84,0,掉落_design!S$2+1,1,1)&amp;";"&amp;OFFSET(掉落_design!$E84,0,掉落_design!S$2+2,1,1)&amp;";"&amp;OFFSET(掉落_design!$E84,0,掉落_design!S$2+3,1,1))</f>
        <v/>
      </c>
      <c r="U84" s="16" t="str">
        <f ca="1">IF(OFFSET(掉落_design!$E84,0,掉落_design!T$2,1,1)="","",OFFSET(掉落_design!$E84,0,掉落_design!T$2,1,1)&amp;";"&amp;OFFSET(掉落_design!$E84,0,掉落_design!T$2+1,1,1)&amp;";"&amp;OFFSET(掉落_design!$E84,0,掉落_design!T$2+2,1,1)&amp;";"&amp;OFFSET(掉落_design!$E84,0,掉落_design!T$2+3,1,1))</f>
        <v/>
      </c>
      <c r="V84" s="16" t="str">
        <f ca="1">IF(OFFSET(掉落_design!$E84,0,掉落_design!U$2,1,1)="","",OFFSET(掉落_design!$E84,0,掉落_design!U$2,1,1)&amp;";"&amp;OFFSET(掉落_design!$E84,0,掉落_design!U$2+1,1,1)&amp;";"&amp;OFFSET(掉落_design!$E84,0,掉落_design!U$2+2,1,1)&amp;";"&amp;OFFSET(掉落_design!$E84,0,掉落_design!U$2+3,1,1))</f>
        <v/>
      </c>
      <c r="W84" s="16" t="str">
        <f ca="1">IF(OFFSET(掉落_design!$E84,0,掉落_design!V$2,1,1)="","",OFFSET(掉落_design!$E84,0,掉落_design!V$2,1,1)&amp;";"&amp;OFFSET(掉落_design!$E84,0,掉落_design!V$2+1,1,1)&amp;";"&amp;OFFSET(掉落_design!$E84,0,掉落_design!V$2+2,1,1)&amp;";"&amp;OFFSET(掉落_design!$E84,0,掉落_design!V$2+3,1,1))</f>
        <v/>
      </c>
      <c r="X84" s="16" t="str">
        <f ca="1">IF(OFFSET(掉落_design!$E84,0,掉落_design!W$2,1,1)="","",OFFSET(掉落_design!$E84,0,掉落_design!W$2,1,1)&amp;";"&amp;OFFSET(掉落_design!$E84,0,掉落_design!W$2+1,1,1)&amp;";"&amp;OFFSET(掉落_design!$E84,0,掉落_design!W$2+2,1,1)&amp;";"&amp;OFFSET(掉落_design!$E84,0,掉落_design!W$2+3,1,1))</f>
        <v/>
      </c>
      <c r="Y84" s="16" t="str">
        <f ca="1">IF(OFFSET(掉落_design!$E84,0,掉落_design!X$2,1,1)="","",OFFSET(掉落_design!$E84,0,掉落_design!X$2,1,1)&amp;";"&amp;OFFSET(掉落_design!$E84,0,掉落_design!X$2+1,1,1)&amp;";"&amp;OFFSET(掉落_design!$E84,0,掉落_design!X$2+2,1,1)&amp;";"&amp;OFFSET(掉落_design!$E84,0,掉落_design!X$2+3,1,1))</f>
        <v/>
      </c>
    </row>
    <row r="85" spans="1:25" x14ac:dyDescent="0.15">
      <c r="A85" s="11" t="str">
        <f t="shared" si="29"/>
        <v/>
      </c>
      <c r="B85" s="25"/>
      <c r="C85" s="25"/>
      <c r="D85" s="15" t="str">
        <f>IF(掉落_design!C85="","",掉落_design!C85)</f>
        <v/>
      </c>
      <c r="E85" s="15" t="str">
        <f>IF(A85="","",掉落_design!D85)</f>
        <v/>
      </c>
      <c r="F85" s="16" t="str">
        <f ca="1">IF(OFFSET(掉落_design!$E85,0,掉落_design!E$2,1,1)="","",OFFSET(掉落_design!$E85,0,掉落_design!E$2,1,1)&amp;";"&amp;OFFSET(掉落_design!$E85,0,掉落_design!E$2+1,1,1)&amp;";"&amp;OFFSET(掉落_design!$E85,0,掉落_design!E$2+2,1,1)&amp;";"&amp;OFFSET(掉落_design!$E85,0,掉落_design!E$2+3,1,1))</f>
        <v/>
      </c>
      <c r="G85" s="16" t="str">
        <f ca="1">IF(OFFSET(掉落_design!$E85,0,掉落_design!F$2,1,1)="","",OFFSET(掉落_design!$E85,0,掉落_design!F$2,1,1)&amp;";"&amp;OFFSET(掉落_design!$E85,0,掉落_design!F$2+1,1,1)&amp;";"&amp;OFFSET(掉落_design!$E85,0,掉落_design!F$2+2,1,1)&amp;";"&amp;OFFSET(掉落_design!$E85,0,掉落_design!F$2+3,1,1))</f>
        <v/>
      </c>
      <c r="H85" s="16" t="str">
        <f ca="1">IF(OFFSET(掉落_design!$E85,0,掉落_design!G$2,1,1)="","",OFFSET(掉落_design!$E85,0,掉落_design!G$2,1,1)&amp;";"&amp;OFFSET(掉落_design!$E85,0,掉落_design!G$2+1,1,1)&amp;";"&amp;OFFSET(掉落_design!$E85,0,掉落_design!G$2+2,1,1)&amp;";"&amp;OFFSET(掉落_design!$E85,0,掉落_design!G$2+3,1,1))</f>
        <v/>
      </c>
      <c r="I85" s="16" t="str">
        <f ca="1">IF(OFFSET(掉落_design!$E85,0,掉落_design!H$2,1,1)="","",OFFSET(掉落_design!$E85,0,掉落_design!H$2,1,1)&amp;";"&amp;OFFSET(掉落_design!$E85,0,掉落_design!H$2+1,1,1)&amp;";"&amp;OFFSET(掉落_design!$E85,0,掉落_design!H$2+2,1,1)&amp;";"&amp;OFFSET(掉落_design!$E85,0,掉落_design!H$2+3,1,1))</f>
        <v/>
      </c>
      <c r="J85" s="16" t="str">
        <f ca="1">IF(OFFSET(掉落_design!$E85,0,掉落_design!I$2,1,1)="","",OFFSET(掉落_design!$E85,0,掉落_design!I$2,1,1)&amp;";"&amp;OFFSET(掉落_design!$E85,0,掉落_design!I$2+1,1,1)&amp;";"&amp;OFFSET(掉落_design!$E85,0,掉落_design!I$2+2,1,1)&amp;";"&amp;OFFSET(掉落_design!$E85,0,掉落_design!I$2+3,1,1))</f>
        <v/>
      </c>
      <c r="K85" s="16" t="str">
        <f ca="1">IF(OFFSET(掉落_design!$E85,0,掉落_design!J$2,1,1)="","",OFFSET(掉落_design!$E85,0,掉落_design!J$2,1,1)&amp;";"&amp;OFFSET(掉落_design!$E85,0,掉落_design!J$2+1,1,1)&amp;";"&amp;OFFSET(掉落_design!$E85,0,掉落_design!J$2+2,1,1)&amp;";"&amp;OFFSET(掉落_design!$E85,0,掉落_design!J$2+3,1,1))</f>
        <v/>
      </c>
      <c r="L85" s="16" t="str">
        <f ca="1">IF(OFFSET(掉落_design!$E85,0,掉落_design!K$2,1,1)="","",OFFSET(掉落_design!$E85,0,掉落_design!K$2,1,1)&amp;";"&amp;OFFSET(掉落_design!$E85,0,掉落_design!K$2+1,1,1)&amp;";"&amp;OFFSET(掉落_design!$E85,0,掉落_design!K$2+2,1,1)&amp;";"&amp;OFFSET(掉落_design!$E85,0,掉落_design!K$2+3,1,1))</f>
        <v/>
      </c>
      <c r="M85" s="16" t="str">
        <f ca="1">IF(OFFSET(掉落_design!$E85,0,掉落_design!L$2,1,1)="","",OFFSET(掉落_design!$E85,0,掉落_design!L$2,1,1)&amp;";"&amp;OFFSET(掉落_design!$E85,0,掉落_design!L$2+1,1,1)&amp;";"&amp;OFFSET(掉落_design!$E85,0,掉落_design!L$2+2,1,1)&amp;";"&amp;OFFSET(掉落_design!$E85,0,掉落_design!L$2+3,1,1))</f>
        <v/>
      </c>
      <c r="N85" s="16" t="str">
        <f ca="1">IF(OFFSET(掉落_design!$E85,0,掉落_design!M$2,1,1)="","",OFFSET(掉落_design!$E85,0,掉落_design!M$2,1,1)&amp;";"&amp;OFFSET(掉落_design!$E85,0,掉落_design!M$2+1,1,1)&amp;";"&amp;OFFSET(掉落_design!$E85,0,掉落_design!M$2+2,1,1)&amp;";"&amp;OFFSET(掉落_design!$E85,0,掉落_design!M$2+3,1,1))</f>
        <v/>
      </c>
      <c r="O85" s="16" t="str">
        <f ca="1">IF(OFFSET(掉落_design!$E85,0,掉落_design!N$2,1,1)="","",OFFSET(掉落_design!$E85,0,掉落_design!N$2,1,1)&amp;";"&amp;OFFSET(掉落_design!$E85,0,掉落_design!N$2+1,1,1)&amp;";"&amp;OFFSET(掉落_design!$E85,0,掉落_design!N$2+2,1,1)&amp;";"&amp;OFFSET(掉落_design!$E85,0,掉落_design!N$2+3,1,1))</f>
        <v/>
      </c>
      <c r="P85" s="16" t="str">
        <f ca="1">IF(OFFSET(掉落_design!$E85,0,掉落_design!O$2,1,1)="","",OFFSET(掉落_design!$E85,0,掉落_design!O$2,1,1)&amp;";"&amp;OFFSET(掉落_design!$E85,0,掉落_design!O$2+1,1,1)&amp;";"&amp;OFFSET(掉落_design!$E85,0,掉落_design!O$2+2,1,1)&amp;";"&amp;OFFSET(掉落_design!$E85,0,掉落_design!O$2+3,1,1))</f>
        <v/>
      </c>
      <c r="Q85" s="16" t="str">
        <f ca="1">IF(OFFSET(掉落_design!$E85,0,掉落_design!P$2,1,1)="","",OFFSET(掉落_design!$E85,0,掉落_design!P$2,1,1)&amp;";"&amp;OFFSET(掉落_design!$E85,0,掉落_design!P$2+1,1,1)&amp;";"&amp;OFFSET(掉落_design!$E85,0,掉落_design!P$2+2,1,1)&amp;";"&amp;OFFSET(掉落_design!$E85,0,掉落_design!P$2+3,1,1))</f>
        <v/>
      </c>
      <c r="R85" s="16" t="str">
        <f ca="1">IF(OFFSET(掉落_design!$E85,0,掉落_design!Q$2,1,1)="","",OFFSET(掉落_design!$E85,0,掉落_design!Q$2,1,1)&amp;";"&amp;OFFSET(掉落_design!$E85,0,掉落_design!Q$2+1,1,1)&amp;";"&amp;OFFSET(掉落_design!$E85,0,掉落_design!Q$2+2,1,1)&amp;";"&amp;OFFSET(掉落_design!$E85,0,掉落_design!Q$2+3,1,1))</f>
        <v/>
      </c>
      <c r="S85" s="16" t="str">
        <f ca="1">IF(OFFSET(掉落_design!$E85,0,掉落_design!R$2,1,1)="","",OFFSET(掉落_design!$E85,0,掉落_design!R$2,1,1)&amp;";"&amp;OFFSET(掉落_design!$E85,0,掉落_design!R$2+1,1,1)&amp;";"&amp;OFFSET(掉落_design!$E85,0,掉落_design!R$2+2,1,1)&amp;";"&amp;OFFSET(掉落_design!$E85,0,掉落_design!R$2+3,1,1))</f>
        <v/>
      </c>
      <c r="T85" s="16" t="str">
        <f ca="1">IF(OFFSET(掉落_design!$E85,0,掉落_design!S$2,1,1)="","",OFFSET(掉落_design!$E85,0,掉落_design!S$2,1,1)&amp;";"&amp;OFFSET(掉落_design!$E85,0,掉落_design!S$2+1,1,1)&amp;";"&amp;OFFSET(掉落_design!$E85,0,掉落_design!S$2+2,1,1)&amp;";"&amp;OFFSET(掉落_design!$E85,0,掉落_design!S$2+3,1,1))</f>
        <v/>
      </c>
      <c r="U85" s="16" t="str">
        <f ca="1">IF(OFFSET(掉落_design!$E85,0,掉落_design!T$2,1,1)="","",OFFSET(掉落_design!$E85,0,掉落_design!T$2,1,1)&amp;";"&amp;OFFSET(掉落_design!$E85,0,掉落_design!T$2+1,1,1)&amp;";"&amp;OFFSET(掉落_design!$E85,0,掉落_design!T$2+2,1,1)&amp;";"&amp;OFFSET(掉落_design!$E85,0,掉落_design!T$2+3,1,1))</f>
        <v/>
      </c>
      <c r="V85" s="16" t="str">
        <f ca="1">IF(OFFSET(掉落_design!$E85,0,掉落_design!U$2,1,1)="","",OFFSET(掉落_design!$E85,0,掉落_design!U$2,1,1)&amp;";"&amp;OFFSET(掉落_design!$E85,0,掉落_design!U$2+1,1,1)&amp;";"&amp;OFFSET(掉落_design!$E85,0,掉落_design!U$2+2,1,1)&amp;";"&amp;OFFSET(掉落_design!$E85,0,掉落_design!U$2+3,1,1))</f>
        <v/>
      </c>
      <c r="W85" s="16" t="str">
        <f ca="1">IF(OFFSET(掉落_design!$E85,0,掉落_design!V$2,1,1)="","",OFFSET(掉落_design!$E85,0,掉落_design!V$2,1,1)&amp;";"&amp;OFFSET(掉落_design!$E85,0,掉落_design!V$2+1,1,1)&amp;";"&amp;OFFSET(掉落_design!$E85,0,掉落_design!V$2+2,1,1)&amp;";"&amp;OFFSET(掉落_design!$E85,0,掉落_design!V$2+3,1,1))</f>
        <v/>
      </c>
      <c r="X85" s="16" t="str">
        <f ca="1">IF(OFFSET(掉落_design!$E85,0,掉落_design!W$2,1,1)="","",OFFSET(掉落_design!$E85,0,掉落_design!W$2,1,1)&amp;";"&amp;OFFSET(掉落_design!$E85,0,掉落_design!W$2+1,1,1)&amp;";"&amp;OFFSET(掉落_design!$E85,0,掉落_design!W$2+2,1,1)&amp;";"&amp;OFFSET(掉落_design!$E85,0,掉落_design!W$2+3,1,1))</f>
        <v/>
      </c>
      <c r="Y85" s="16" t="str">
        <f ca="1">IF(OFFSET(掉落_design!$E85,0,掉落_design!X$2,1,1)="","",OFFSET(掉落_design!$E85,0,掉落_design!X$2,1,1)&amp;";"&amp;OFFSET(掉落_design!$E85,0,掉落_design!X$2+1,1,1)&amp;";"&amp;OFFSET(掉落_design!$E85,0,掉落_design!X$2+2,1,1)&amp;";"&amp;OFFSET(掉落_design!$E85,0,掉落_design!X$2+3,1,1))</f>
        <v/>
      </c>
    </row>
    <row r="86" spans="1:25" x14ac:dyDescent="0.15">
      <c r="A86" s="11" t="str">
        <f t="shared" si="29"/>
        <v>DATA</v>
      </c>
      <c r="B86" s="25"/>
      <c r="C86" s="25"/>
      <c r="D86" s="15">
        <f>IF(掉落_design!C86="","",掉落_design!C86)</f>
        <v>30200</v>
      </c>
      <c r="E86" s="15">
        <f>IF(A86="","",掉落_design!D86)</f>
        <v>1</v>
      </c>
      <c r="F86" s="16" t="str">
        <f ca="1">IF(OFFSET(掉落_design!$E86,0,掉落_design!E$2,1,1)="","",OFFSET(掉落_design!$E86,0,掉落_design!E$2,1,1)&amp;";"&amp;OFFSET(掉落_design!$E86,0,掉落_design!E$2+1,1,1)&amp;";"&amp;OFFSET(掉落_design!$E86,0,掉落_design!E$2+2,1,1)&amp;";"&amp;OFFSET(掉落_design!$E86,0,掉落_design!E$2+3,1,1))</f>
        <v>2001;1;1;10000</v>
      </c>
      <c r="G86" s="16" t="str">
        <f ca="1">IF(OFFSET(掉落_design!$E86,0,掉落_design!F$2,1,1)="","",OFFSET(掉落_design!$E86,0,掉落_design!F$2,1,1)&amp;";"&amp;OFFSET(掉落_design!$E86,0,掉落_design!F$2+1,1,1)&amp;";"&amp;OFFSET(掉落_design!$E86,0,掉落_design!F$2+2,1,1)&amp;";"&amp;OFFSET(掉落_design!$E86,0,掉落_design!F$2+3,1,1))</f>
        <v>2101;1;1;10000</v>
      </c>
      <c r="H86" s="16" t="str">
        <f ca="1">IF(OFFSET(掉落_design!$E86,0,掉落_design!G$2,1,1)="","",OFFSET(掉落_design!$E86,0,掉落_design!G$2,1,1)&amp;";"&amp;OFFSET(掉落_design!$E86,0,掉落_design!G$2+1,1,1)&amp;";"&amp;OFFSET(掉落_design!$E86,0,掉落_design!G$2+2,1,1)&amp;";"&amp;OFFSET(掉落_design!$E86,0,掉落_design!G$2+3,1,1))</f>
        <v>2201;1;1;10000</v>
      </c>
      <c r="I86" s="16" t="str">
        <f ca="1">IF(OFFSET(掉落_design!$E86,0,掉落_design!H$2,1,1)="","",OFFSET(掉落_design!$E86,0,掉落_design!H$2,1,1)&amp;";"&amp;OFFSET(掉落_design!$E86,0,掉落_design!H$2+1,1,1)&amp;";"&amp;OFFSET(掉落_design!$E86,0,掉落_design!H$2+2,1,1)&amp;";"&amp;OFFSET(掉落_design!$E86,0,掉落_design!H$2+3,1,1))</f>
        <v/>
      </c>
      <c r="J86" s="16" t="str">
        <f ca="1">IF(OFFSET(掉落_design!$E86,0,掉落_design!I$2,1,1)="","",OFFSET(掉落_design!$E86,0,掉落_design!I$2,1,1)&amp;";"&amp;OFFSET(掉落_design!$E86,0,掉落_design!I$2+1,1,1)&amp;";"&amp;OFFSET(掉落_design!$E86,0,掉落_design!I$2+2,1,1)&amp;";"&amp;OFFSET(掉落_design!$E86,0,掉落_design!I$2+3,1,1))</f>
        <v/>
      </c>
      <c r="K86" s="16" t="str">
        <f ca="1">IF(OFFSET(掉落_design!$E86,0,掉落_design!J$2,1,1)="","",OFFSET(掉落_design!$E86,0,掉落_design!J$2,1,1)&amp;";"&amp;OFFSET(掉落_design!$E86,0,掉落_design!J$2+1,1,1)&amp;";"&amp;OFFSET(掉落_design!$E86,0,掉落_design!J$2+2,1,1)&amp;";"&amp;OFFSET(掉落_design!$E86,0,掉落_design!J$2+3,1,1))</f>
        <v/>
      </c>
      <c r="L86" s="16" t="str">
        <f ca="1">IF(OFFSET(掉落_design!$E86,0,掉落_design!K$2,1,1)="","",OFFSET(掉落_design!$E86,0,掉落_design!K$2,1,1)&amp;";"&amp;OFFSET(掉落_design!$E86,0,掉落_design!K$2+1,1,1)&amp;";"&amp;OFFSET(掉落_design!$E86,0,掉落_design!K$2+2,1,1)&amp;";"&amp;OFFSET(掉落_design!$E86,0,掉落_design!K$2+3,1,1))</f>
        <v/>
      </c>
      <c r="M86" s="16" t="str">
        <f ca="1">IF(OFFSET(掉落_design!$E86,0,掉落_design!L$2,1,1)="","",OFFSET(掉落_design!$E86,0,掉落_design!L$2,1,1)&amp;";"&amp;OFFSET(掉落_design!$E86,0,掉落_design!L$2+1,1,1)&amp;";"&amp;OFFSET(掉落_design!$E86,0,掉落_design!L$2+2,1,1)&amp;";"&amp;OFFSET(掉落_design!$E86,0,掉落_design!L$2+3,1,1))</f>
        <v/>
      </c>
      <c r="N86" s="16" t="str">
        <f ca="1">IF(OFFSET(掉落_design!$E86,0,掉落_design!M$2,1,1)="","",OFFSET(掉落_design!$E86,0,掉落_design!M$2,1,1)&amp;";"&amp;OFFSET(掉落_design!$E86,0,掉落_design!M$2+1,1,1)&amp;";"&amp;OFFSET(掉落_design!$E86,0,掉落_design!M$2+2,1,1)&amp;";"&amp;OFFSET(掉落_design!$E86,0,掉落_design!M$2+3,1,1))</f>
        <v/>
      </c>
      <c r="O86" s="16" t="str">
        <f ca="1">IF(OFFSET(掉落_design!$E86,0,掉落_design!N$2,1,1)="","",OFFSET(掉落_design!$E86,0,掉落_design!N$2,1,1)&amp;";"&amp;OFFSET(掉落_design!$E86,0,掉落_design!N$2+1,1,1)&amp;";"&amp;OFFSET(掉落_design!$E86,0,掉落_design!N$2+2,1,1)&amp;";"&amp;OFFSET(掉落_design!$E86,0,掉落_design!N$2+3,1,1))</f>
        <v/>
      </c>
      <c r="P86" s="16" t="str">
        <f ca="1">IF(OFFSET(掉落_design!$E86,0,掉落_design!O$2,1,1)="","",OFFSET(掉落_design!$E86,0,掉落_design!O$2,1,1)&amp;";"&amp;OFFSET(掉落_design!$E86,0,掉落_design!O$2+1,1,1)&amp;";"&amp;OFFSET(掉落_design!$E86,0,掉落_design!O$2+2,1,1)&amp;";"&amp;OFFSET(掉落_design!$E86,0,掉落_design!O$2+3,1,1))</f>
        <v/>
      </c>
      <c r="Q86" s="16" t="str">
        <f ca="1">IF(OFFSET(掉落_design!$E86,0,掉落_design!P$2,1,1)="","",OFFSET(掉落_design!$E86,0,掉落_design!P$2,1,1)&amp;";"&amp;OFFSET(掉落_design!$E86,0,掉落_design!P$2+1,1,1)&amp;";"&amp;OFFSET(掉落_design!$E86,0,掉落_design!P$2+2,1,1)&amp;";"&amp;OFFSET(掉落_design!$E86,0,掉落_design!P$2+3,1,1))</f>
        <v/>
      </c>
      <c r="R86" s="16" t="str">
        <f ca="1">IF(OFFSET(掉落_design!$E86,0,掉落_design!Q$2,1,1)="","",OFFSET(掉落_design!$E86,0,掉落_design!Q$2,1,1)&amp;";"&amp;OFFSET(掉落_design!$E86,0,掉落_design!Q$2+1,1,1)&amp;";"&amp;OFFSET(掉落_design!$E86,0,掉落_design!Q$2+2,1,1)&amp;";"&amp;OFFSET(掉落_design!$E86,0,掉落_design!Q$2+3,1,1))</f>
        <v/>
      </c>
      <c r="S86" s="16" t="str">
        <f ca="1">IF(OFFSET(掉落_design!$E86,0,掉落_design!R$2,1,1)="","",OFFSET(掉落_design!$E86,0,掉落_design!R$2,1,1)&amp;";"&amp;OFFSET(掉落_design!$E86,0,掉落_design!R$2+1,1,1)&amp;";"&amp;OFFSET(掉落_design!$E86,0,掉落_design!R$2+2,1,1)&amp;";"&amp;OFFSET(掉落_design!$E86,0,掉落_design!R$2+3,1,1))</f>
        <v/>
      </c>
      <c r="T86" s="16" t="str">
        <f ca="1">IF(OFFSET(掉落_design!$E86,0,掉落_design!S$2,1,1)="","",OFFSET(掉落_design!$E86,0,掉落_design!S$2,1,1)&amp;";"&amp;OFFSET(掉落_design!$E86,0,掉落_design!S$2+1,1,1)&amp;";"&amp;OFFSET(掉落_design!$E86,0,掉落_design!S$2+2,1,1)&amp;";"&amp;OFFSET(掉落_design!$E86,0,掉落_design!S$2+3,1,1))</f>
        <v/>
      </c>
      <c r="U86" s="16" t="str">
        <f ca="1">IF(OFFSET(掉落_design!$E86,0,掉落_design!T$2,1,1)="","",OFFSET(掉落_design!$E86,0,掉落_design!T$2,1,1)&amp;";"&amp;OFFSET(掉落_design!$E86,0,掉落_design!T$2+1,1,1)&amp;";"&amp;OFFSET(掉落_design!$E86,0,掉落_design!T$2+2,1,1)&amp;";"&amp;OFFSET(掉落_design!$E86,0,掉落_design!T$2+3,1,1))</f>
        <v/>
      </c>
      <c r="V86" s="16" t="str">
        <f ca="1">IF(OFFSET(掉落_design!$E86,0,掉落_design!U$2,1,1)="","",OFFSET(掉落_design!$E86,0,掉落_design!U$2,1,1)&amp;";"&amp;OFFSET(掉落_design!$E86,0,掉落_design!U$2+1,1,1)&amp;";"&amp;OFFSET(掉落_design!$E86,0,掉落_design!U$2+2,1,1)&amp;";"&amp;OFFSET(掉落_design!$E86,0,掉落_design!U$2+3,1,1))</f>
        <v/>
      </c>
      <c r="W86" s="16" t="str">
        <f ca="1">IF(OFFSET(掉落_design!$E86,0,掉落_design!V$2,1,1)="","",OFFSET(掉落_design!$E86,0,掉落_design!V$2,1,1)&amp;";"&amp;OFFSET(掉落_design!$E86,0,掉落_design!V$2+1,1,1)&amp;";"&amp;OFFSET(掉落_design!$E86,0,掉落_design!V$2+2,1,1)&amp;";"&amp;OFFSET(掉落_design!$E86,0,掉落_design!V$2+3,1,1))</f>
        <v/>
      </c>
      <c r="X86" s="16" t="str">
        <f ca="1">IF(OFFSET(掉落_design!$E86,0,掉落_design!W$2,1,1)="","",OFFSET(掉落_design!$E86,0,掉落_design!W$2,1,1)&amp;";"&amp;OFFSET(掉落_design!$E86,0,掉落_design!W$2+1,1,1)&amp;";"&amp;OFFSET(掉落_design!$E86,0,掉落_design!W$2+2,1,1)&amp;";"&amp;OFFSET(掉落_design!$E86,0,掉落_design!W$2+3,1,1))</f>
        <v/>
      </c>
      <c r="Y86" s="16" t="str">
        <f ca="1">IF(OFFSET(掉落_design!$E86,0,掉落_design!X$2,1,1)="","",OFFSET(掉落_design!$E86,0,掉落_design!X$2,1,1)&amp;";"&amp;OFFSET(掉落_design!$E86,0,掉落_design!X$2+1,1,1)&amp;";"&amp;OFFSET(掉落_design!$E86,0,掉落_design!X$2+2,1,1)&amp;";"&amp;OFFSET(掉落_design!$E86,0,掉落_design!X$2+3,1,1))</f>
        <v/>
      </c>
    </row>
    <row r="87" spans="1:25" x14ac:dyDescent="0.15">
      <c r="A87" s="11" t="str">
        <f t="shared" si="29"/>
        <v/>
      </c>
      <c r="B87" s="25"/>
      <c r="C87" s="25"/>
      <c r="D87" s="15" t="str">
        <f>IF(掉落_design!C87="","",掉落_design!C87)</f>
        <v/>
      </c>
      <c r="E87" s="15" t="str">
        <f>IF(A87="","",掉落_design!D87)</f>
        <v/>
      </c>
      <c r="F87" s="16" t="str">
        <f ca="1">IF(OFFSET(掉落_design!$E87,0,掉落_design!E$2,1,1)="","",OFFSET(掉落_design!$E87,0,掉落_design!E$2,1,1)&amp;";"&amp;OFFSET(掉落_design!$E87,0,掉落_design!E$2+1,1,1)&amp;";"&amp;OFFSET(掉落_design!$E87,0,掉落_design!E$2+2,1,1)&amp;";"&amp;OFFSET(掉落_design!$E87,0,掉落_design!E$2+3,1,1))</f>
        <v/>
      </c>
      <c r="G87" s="16" t="str">
        <f ca="1">IF(OFFSET(掉落_design!$E87,0,掉落_design!F$2,1,1)="","",OFFSET(掉落_design!$E87,0,掉落_design!F$2,1,1)&amp;";"&amp;OFFSET(掉落_design!$E87,0,掉落_design!F$2+1,1,1)&amp;";"&amp;OFFSET(掉落_design!$E87,0,掉落_design!F$2+2,1,1)&amp;";"&amp;OFFSET(掉落_design!$E87,0,掉落_design!F$2+3,1,1))</f>
        <v/>
      </c>
      <c r="H87" s="16" t="str">
        <f ca="1">IF(OFFSET(掉落_design!$E87,0,掉落_design!G$2,1,1)="","",OFFSET(掉落_design!$E87,0,掉落_design!G$2,1,1)&amp;";"&amp;OFFSET(掉落_design!$E87,0,掉落_design!G$2+1,1,1)&amp;";"&amp;OFFSET(掉落_design!$E87,0,掉落_design!G$2+2,1,1)&amp;";"&amp;OFFSET(掉落_design!$E87,0,掉落_design!G$2+3,1,1))</f>
        <v/>
      </c>
      <c r="I87" s="16" t="str">
        <f ca="1">IF(OFFSET(掉落_design!$E87,0,掉落_design!H$2,1,1)="","",OFFSET(掉落_design!$E87,0,掉落_design!H$2,1,1)&amp;";"&amp;OFFSET(掉落_design!$E87,0,掉落_design!H$2+1,1,1)&amp;";"&amp;OFFSET(掉落_design!$E87,0,掉落_design!H$2+2,1,1)&amp;";"&amp;OFFSET(掉落_design!$E87,0,掉落_design!H$2+3,1,1))</f>
        <v/>
      </c>
      <c r="J87" s="16" t="str">
        <f ca="1">IF(OFFSET(掉落_design!$E87,0,掉落_design!I$2,1,1)="","",OFFSET(掉落_design!$E87,0,掉落_design!I$2,1,1)&amp;";"&amp;OFFSET(掉落_design!$E87,0,掉落_design!I$2+1,1,1)&amp;";"&amp;OFFSET(掉落_design!$E87,0,掉落_design!I$2+2,1,1)&amp;";"&amp;OFFSET(掉落_design!$E87,0,掉落_design!I$2+3,1,1))</f>
        <v/>
      </c>
      <c r="K87" s="16" t="str">
        <f ca="1">IF(OFFSET(掉落_design!$E87,0,掉落_design!J$2,1,1)="","",OFFSET(掉落_design!$E87,0,掉落_design!J$2,1,1)&amp;";"&amp;OFFSET(掉落_design!$E87,0,掉落_design!J$2+1,1,1)&amp;";"&amp;OFFSET(掉落_design!$E87,0,掉落_design!J$2+2,1,1)&amp;";"&amp;OFFSET(掉落_design!$E87,0,掉落_design!J$2+3,1,1))</f>
        <v/>
      </c>
      <c r="L87" s="16" t="str">
        <f ca="1">IF(OFFSET(掉落_design!$E87,0,掉落_design!K$2,1,1)="","",OFFSET(掉落_design!$E87,0,掉落_design!K$2,1,1)&amp;";"&amp;OFFSET(掉落_design!$E87,0,掉落_design!K$2+1,1,1)&amp;";"&amp;OFFSET(掉落_design!$E87,0,掉落_design!K$2+2,1,1)&amp;";"&amp;OFFSET(掉落_design!$E87,0,掉落_design!K$2+3,1,1))</f>
        <v/>
      </c>
      <c r="M87" s="16" t="str">
        <f ca="1">IF(OFFSET(掉落_design!$E87,0,掉落_design!L$2,1,1)="","",OFFSET(掉落_design!$E87,0,掉落_design!L$2,1,1)&amp;";"&amp;OFFSET(掉落_design!$E87,0,掉落_design!L$2+1,1,1)&amp;";"&amp;OFFSET(掉落_design!$E87,0,掉落_design!L$2+2,1,1)&amp;";"&amp;OFFSET(掉落_design!$E87,0,掉落_design!L$2+3,1,1))</f>
        <v/>
      </c>
      <c r="N87" s="16" t="str">
        <f ca="1">IF(OFFSET(掉落_design!$E87,0,掉落_design!M$2,1,1)="","",OFFSET(掉落_design!$E87,0,掉落_design!M$2,1,1)&amp;";"&amp;OFFSET(掉落_design!$E87,0,掉落_design!M$2+1,1,1)&amp;";"&amp;OFFSET(掉落_design!$E87,0,掉落_design!M$2+2,1,1)&amp;";"&amp;OFFSET(掉落_design!$E87,0,掉落_design!M$2+3,1,1))</f>
        <v/>
      </c>
      <c r="O87" s="16" t="str">
        <f ca="1">IF(OFFSET(掉落_design!$E87,0,掉落_design!N$2,1,1)="","",OFFSET(掉落_design!$E87,0,掉落_design!N$2,1,1)&amp;";"&amp;OFFSET(掉落_design!$E87,0,掉落_design!N$2+1,1,1)&amp;";"&amp;OFFSET(掉落_design!$E87,0,掉落_design!N$2+2,1,1)&amp;";"&amp;OFFSET(掉落_design!$E87,0,掉落_design!N$2+3,1,1))</f>
        <v/>
      </c>
      <c r="P87" s="16" t="str">
        <f ca="1">IF(OFFSET(掉落_design!$E87,0,掉落_design!O$2,1,1)="","",OFFSET(掉落_design!$E87,0,掉落_design!O$2,1,1)&amp;";"&amp;OFFSET(掉落_design!$E87,0,掉落_design!O$2+1,1,1)&amp;";"&amp;OFFSET(掉落_design!$E87,0,掉落_design!O$2+2,1,1)&amp;";"&amp;OFFSET(掉落_design!$E87,0,掉落_design!O$2+3,1,1))</f>
        <v/>
      </c>
      <c r="Q87" s="16" t="str">
        <f ca="1">IF(OFFSET(掉落_design!$E87,0,掉落_design!P$2,1,1)="","",OFFSET(掉落_design!$E87,0,掉落_design!P$2,1,1)&amp;";"&amp;OFFSET(掉落_design!$E87,0,掉落_design!P$2+1,1,1)&amp;";"&amp;OFFSET(掉落_design!$E87,0,掉落_design!P$2+2,1,1)&amp;";"&amp;OFFSET(掉落_design!$E87,0,掉落_design!P$2+3,1,1))</f>
        <v/>
      </c>
      <c r="R87" s="16" t="str">
        <f ca="1">IF(OFFSET(掉落_design!$E87,0,掉落_design!Q$2,1,1)="","",OFFSET(掉落_design!$E87,0,掉落_design!Q$2,1,1)&amp;";"&amp;OFFSET(掉落_design!$E87,0,掉落_design!Q$2+1,1,1)&amp;";"&amp;OFFSET(掉落_design!$E87,0,掉落_design!Q$2+2,1,1)&amp;";"&amp;OFFSET(掉落_design!$E87,0,掉落_design!Q$2+3,1,1))</f>
        <v/>
      </c>
      <c r="S87" s="16" t="str">
        <f ca="1">IF(OFFSET(掉落_design!$E87,0,掉落_design!R$2,1,1)="","",OFFSET(掉落_design!$E87,0,掉落_design!R$2,1,1)&amp;";"&amp;OFFSET(掉落_design!$E87,0,掉落_design!R$2+1,1,1)&amp;";"&amp;OFFSET(掉落_design!$E87,0,掉落_design!R$2+2,1,1)&amp;";"&amp;OFFSET(掉落_design!$E87,0,掉落_design!R$2+3,1,1))</f>
        <v/>
      </c>
      <c r="T87" s="16" t="str">
        <f ca="1">IF(OFFSET(掉落_design!$E87,0,掉落_design!S$2,1,1)="","",OFFSET(掉落_design!$E87,0,掉落_design!S$2,1,1)&amp;";"&amp;OFFSET(掉落_design!$E87,0,掉落_design!S$2+1,1,1)&amp;";"&amp;OFFSET(掉落_design!$E87,0,掉落_design!S$2+2,1,1)&amp;";"&amp;OFFSET(掉落_design!$E87,0,掉落_design!S$2+3,1,1))</f>
        <v/>
      </c>
      <c r="U87" s="16" t="str">
        <f ca="1">IF(OFFSET(掉落_design!$E87,0,掉落_design!T$2,1,1)="","",OFFSET(掉落_design!$E87,0,掉落_design!T$2,1,1)&amp;";"&amp;OFFSET(掉落_design!$E87,0,掉落_design!T$2+1,1,1)&amp;";"&amp;OFFSET(掉落_design!$E87,0,掉落_design!T$2+2,1,1)&amp;";"&amp;OFFSET(掉落_design!$E87,0,掉落_design!T$2+3,1,1))</f>
        <v/>
      </c>
      <c r="V87" s="16" t="str">
        <f ca="1">IF(OFFSET(掉落_design!$E87,0,掉落_design!U$2,1,1)="","",OFFSET(掉落_design!$E87,0,掉落_design!U$2,1,1)&amp;";"&amp;OFFSET(掉落_design!$E87,0,掉落_design!U$2+1,1,1)&amp;";"&amp;OFFSET(掉落_design!$E87,0,掉落_design!U$2+2,1,1)&amp;";"&amp;OFFSET(掉落_design!$E87,0,掉落_design!U$2+3,1,1))</f>
        <v/>
      </c>
      <c r="W87" s="16" t="str">
        <f ca="1">IF(OFFSET(掉落_design!$E87,0,掉落_design!V$2,1,1)="","",OFFSET(掉落_design!$E87,0,掉落_design!V$2,1,1)&amp;";"&amp;OFFSET(掉落_design!$E87,0,掉落_design!V$2+1,1,1)&amp;";"&amp;OFFSET(掉落_design!$E87,0,掉落_design!V$2+2,1,1)&amp;";"&amp;OFFSET(掉落_design!$E87,0,掉落_design!V$2+3,1,1))</f>
        <v/>
      </c>
      <c r="X87" s="16" t="str">
        <f ca="1">IF(OFFSET(掉落_design!$E87,0,掉落_design!W$2,1,1)="","",OFFSET(掉落_design!$E87,0,掉落_design!W$2,1,1)&amp;";"&amp;OFFSET(掉落_design!$E87,0,掉落_design!W$2+1,1,1)&amp;";"&amp;OFFSET(掉落_design!$E87,0,掉落_design!W$2+2,1,1)&amp;";"&amp;OFFSET(掉落_design!$E87,0,掉落_design!W$2+3,1,1))</f>
        <v/>
      </c>
      <c r="Y87" s="16" t="str">
        <f ca="1">IF(OFFSET(掉落_design!$E87,0,掉落_design!X$2,1,1)="","",OFFSET(掉落_design!$E87,0,掉落_design!X$2,1,1)&amp;";"&amp;OFFSET(掉落_design!$E87,0,掉落_design!X$2+1,1,1)&amp;";"&amp;OFFSET(掉落_design!$E87,0,掉落_design!X$2+2,1,1)&amp;";"&amp;OFFSET(掉落_design!$E87,0,掉落_design!X$2+3,1,1))</f>
        <v/>
      </c>
    </row>
    <row r="88" spans="1:25" x14ac:dyDescent="0.15">
      <c r="A88" s="11" t="str">
        <f t="shared" si="29"/>
        <v/>
      </c>
      <c r="B88" s="25"/>
      <c r="C88" s="25"/>
      <c r="D88" s="15" t="str">
        <f>IF(掉落_design!C88="","",掉落_design!C88)</f>
        <v/>
      </c>
      <c r="E88" s="15" t="str">
        <f>IF(A88="","",掉落_design!D88)</f>
        <v/>
      </c>
      <c r="F88" s="16" t="str">
        <f ca="1">IF(OFFSET(掉落_design!$E88,0,掉落_design!E$2,1,1)="","",OFFSET(掉落_design!$E88,0,掉落_design!E$2,1,1)&amp;";"&amp;OFFSET(掉落_design!$E88,0,掉落_design!E$2+1,1,1)&amp;";"&amp;OFFSET(掉落_design!$E88,0,掉落_design!E$2+2,1,1)&amp;";"&amp;OFFSET(掉落_design!$E88,0,掉落_design!E$2+3,1,1))</f>
        <v/>
      </c>
      <c r="G88" s="16" t="str">
        <f ca="1">IF(OFFSET(掉落_design!$E88,0,掉落_design!F$2,1,1)="","",OFFSET(掉落_design!$E88,0,掉落_design!F$2,1,1)&amp;";"&amp;OFFSET(掉落_design!$E88,0,掉落_design!F$2+1,1,1)&amp;";"&amp;OFFSET(掉落_design!$E88,0,掉落_design!F$2+2,1,1)&amp;";"&amp;OFFSET(掉落_design!$E88,0,掉落_design!F$2+3,1,1))</f>
        <v/>
      </c>
      <c r="H88" s="16" t="str">
        <f ca="1">IF(OFFSET(掉落_design!$E88,0,掉落_design!G$2,1,1)="","",OFFSET(掉落_design!$E88,0,掉落_design!G$2,1,1)&amp;";"&amp;OFFSET(掉落_design!$E88,0,掉落_design!G$2+1,1,1)&amp;";"&amp;OFFSET(掉落_design!$E88,0,掉落_design!G$2+2,1,1)&amp;";"&amp;OFFSET(掉落_design!$E88,0,掉落_design!G$2+3,1,1))</f>
        <v/>
      </c>
      <c r="I88" s="16" t="str">
        <f ca="1">IF(OFFSET(掉落_design!$E88,0,掉落_design!H$2,1,1)="","",OFFSET(掉落_design!$E88,0,掉落_design!H$2,1,1)&amp;";"&amp;OFFSET(掉落_design!$E88,0,掉落_design!H$2+1,1,1)&amp;";"&amp;OFFSET(掉落_design!$E88,0,掉落_design!H$2+2,1,1)&amp;";"&amp;OFFSET(掉落_design!$E88,0,掉落_design!H$2+3,1,1))</f>
        <v/>
      </c>
      <c r="J88" s="16" t="str">
        <f ca="1">IF(OFFSET(掉落_design!$E88,0,掉落_design!I$2,1,1)="","",OFFSET(掉落_design!$E88,0,掉落_design!I$2,1,1)&amp;";"&amp;OFFSET(掉落_design!$E88,0,掉落_design!I$2+1,1,1)&amp;";"&amp;OFFSET(掉落_design!$E88,0,掉落_design!I$2+2,1,1)&amp;";"&amp;OFFSET(掉落_design!$E88,0,掉落_design!I$2+3,1,1))</f>
        <v/>
      </c>
      <c r="K88" s="16" t="str">
        <f ca="1">IF(OFFSET(掉落_design!$E88,0,掉落_design!J$2,1,1)="","",OFFSET(掉落_design!$E88,0,掉落_design!J$2,1,1)&amp;";"&amp;OFFSET(掉落_design!$E88,0,掉落_design!J$2+1,1,1)&amp;";"&amp;OFFSET(掉落_design!$E88,0,掉落_design!J$2+2,1,1)&amp;";"&amp;OFFSET(掉落_design!$E88,0,掉落_design!J$2+3,1,1))</f>
        <v/>
      </c>
      <c r="L88" s="16" t="str">
        <f ca="1">IF(OFFSET(掉落_design!$E88,0,掉落_design!K$2,1,1)="","",OFFSET(掉落_design!$E88,0,掉落_design!K$2,1,1)&amp;";"&amp;OFFSET(掉落_design!$E88,0,掉落_design!K$2+1,1,1)&amp;";"&amp;OFFSET(掉落_design!$E88,0,掉落_design!K$2+2,1,1)&amp;";"&amp;OFFSET(掉落_design!$E88,0,掉落_design!K$2+3,1,1))</f>
        <v/>
      </c>
      <c r="M88" s="16" t="str">
        <f ca="1">IF(OFFSET(掉落_design!$E88,0,掉落_design!L$2,1,1)="","",OFFSET(掉落_design!$E88,0,掉落_design!L$2,1,1)&amp;";"&amp;OFFSET(掉落_design!$E88,0,掉落_design!L$2+1,1,1)&amp;";"&amp;OFFSET(掉落_design!$E88,0,掉落_design!L$2+2,1,1)&amp;";"&amp;OFFSET(掉落_design!$E88,0,掉落_design!L$2+3,1,1))</f>
        <v/>
      </c>
      <c r="N88" s="16" t="str">
        <f ca="1">IF(OFFSET(掉落_design!$E88,0,掉落_design!M$2,1,1)="","",OFFSET(掉落_design!$E88,0,掉落_design!M$2,1,1)&amp;";"&amp;OFFSET(掉落_design!$E88,0,掉落_design!M$2+1,1,1)&amp;";"&amp;OFFSET(掉落_design!$E88,0,掉落_design!M$2+2,1,1)&amp;";"&amp;OFFSET(掉落_design!$E88,0,掉落_design!M$2+3,1,1))</f>
        <v/>
      </c>
      <c r="O88" s="16" t="str">
        <f ca="1">IF(OFFSET(掉落_design!$E88,0,掉落_design!N$2,1,1)="","",OFFSET(掉落_design!$E88,0,掉落_design!N$2,1,1)&amp;";"&amp;OFFSET(掉落_design!$E88,0,掉落_design!N$2+1,1,1)&amp;";"&amp;OFFSET(掉落_design!$E88,0,掉落_design!N$2+2,1,1)&amp;";"&amp;OFFSET(掉落_design!$E88,0,掉落_design!N$2+3,1,1))</f>
        <v/>
      </c>
      <c r="P88" s="16" t="str">
        <f ca="1">IF(OFFSET(掉落_design!$E88,0,掉落_design!O$2,1,1)="","",OFFSET(掉落_design!$E88,0,掉落_design!O$2,1,1)&amp;";"&amp;OFFSET(掉落_design!$E88,0,掉落_design!O$2+1,1,1)&amp;";"&amp;OFFSET(掉落_design!$E88,0,掉落_design!O$2+2,1,1)&amp;";"&amp;OFFSET(掉落_design!$E88,0,掉落_design!O$2+3,1,1))</f>
        <v/>
      </c>
      <c r="Q88" s="16" t="str">
        <f ca="1">IF(OFFSET(掉落_design!$E88,0,掉落_design!P$2,1,1)="","",OFFSET(掉落_design!$E88,0,掉落_design!P$2,1,1)&amp;";"&amp;OFFSET(掉落_design!$E88,0,掉落_design!P$2+1,1,1)&amp;";"&amp;OFFSET(掉落_design!$E88,0,掉落_design!P$2+2,1,1)&amp;";"&amp;OFFSET(掉落_design!$E88,0,掉落_design!P$2+3,1,1))</f>
        <v/>
      </c>
      <c r="R88" s="16" t="str">
        <f ca="1">IF(OFFSET(掉落_design!$E88,0,掉落_design!Q$2,1,1)="","",OFFSET(掉落_design!$E88,0,掉落_design!Q$2,1,1)&amp;";"&amp;OFFSET(掉落_design!$E88,0,掉落_design!Q$2+1,1,1)&amp;";"&amp;OFFSET(掉落_design!$E88,0,掉落_design!Q$2+2,1,1)&amp;";"&amp;OFFSET(掉落_design!$E88,0,掉落_design!Q$2+3,1,1))</f>
        <v/>
      </c>
      <c r="S88" s="16" t="str">
        <f ca="1">IF(OFFSET(掉落_design!$E88,0,掉落_design!R$2,1,1)="","",OFFSET(掉落_design!$E88,0,掉落_design!R$2,1,1)&amp;";"&amp;OFFSET(掉落_design!$E88,0,掉落_design!R$2+1,1,1)&amp;";"&amp;OFFSET(掉落_design!$E88,0,掉落_design!R$2+2,1,1)&amp;";"&amp;OFFSET(掉落_design!$E88,0,掉落_design!R$2+3,1,1))</f>
        <v/>
      </c>
      <c r="T88" s="16" t="str">
        <f ca="1">IF(OFFSET(掉落_design!$E88,0,掉落_design!S$2,1,1)="","",OFFSET(掉落_design!$E88,0,掉落_design!S$2,1,1)&amp;";"&amp;OFFSET(掉落_design!$E88,0,掉落_design!S$2+1,1,1)&amp;";"&amp;OFFSET(掉落_design!$E88,0,掉落_design!S$2+2,1,1)&amp;";"&amp;OFFSET(掉落_design!$E88,0,掉落_design!S$2+3,1,1))</f>
        <v/>
      </c>
      <c r="U88" s="16" t="str">
        <f ca="1">IF(OFFSET(掉落_design!$E88,0,掉落_design!T$2,1,1)="","",OFFSET(掉落_design!$E88,0,掉落_design!T$2,1,1)&amp;";"&amp;OFFSET(掉落_design!$E88,0,掉落_design!T$2+1,1,1)&amp;";"&amp;OFFSET(掉落_design!$E88,0,掉落_design!T$2+2,1,1)&amp;";"&amp;OFFSET(掉落_design!$E88,0,掉落_design!T$2+3,1,1))</f>
        <v/>
      </c>
      <c r="V88" s="16" t="str">
        <f ca="1">IF(OFFSET(掉落_design!$E88,0,掉落_design!U$2,1,1)="","",OFFSET(掉落_design!$E88,0,掉落_design!U$2,1,1)&amp;";"&amp;OFFSET(掉落_design!$E88,0,掉落_design!U$2+1,1,1)&amp;";"&amp;OFFSET(掉落_design!$E88,0,掉落_design!U$2+2,1,1)&amp;";"&amp;OFFSET(掉落_design!$E88,0,掉落_design!U$2+3,1,1))</f>
        <v/>
      </c>
      <c r="W88" s="16" t="str">
        <f ca="1">IF(OFFSET(掉落_design!$E88,0,掉落_design!V$2,1,1)="","",OFFSET(掉落_design!$E88,0,掉落_design!V$2,1,1)&amp;";"&amp;OFFSET(掉落_design!$E88,0,掉落_design!V$2+1,1,1)&amp;";"&amp;OFFSET(掉落_design!$E88,0,掉落_design!V$2+2,1,1)&amp;";"&amp;OFFSET(掉落_design!$E88,0,掉落_design!V$2+3,1,1))</f>
        <v/>
      </c>
      <c r="X88" s="16" t="str">
        <f ca="1">IF(OFFSET(掉落_design!$E88,0,掉落_design!W$2,1,1)="","",OFFSET(掉落_design!$E88,0,掉落_design!W$2,1,1)&amp;";"&amp;OFFSET(掉落_design!$E88,0,掉落_design!W$2+1,1,1)&amp;";"&amp;OFFSET(掉落_design!$E88,0,掉落_design!W$2+2,1,1)&amp;";"&amp;OFFSET(掉落_design!$E88,0,掉落_design!W$2+3,1,1))</f>
        <v/>
      </c>
      <c r="Y88" s="16" t="str">
        <f ca="1">IF(OFFSET(掉落_design!$E88,0,掉落_design!X$2,1,1)="","",OFFSET(掉落_design!$E88,0,掉落_design!X$2,1,1)&amp;";"&amp;OFFSET(掉落_design!$E88,0,掉落_design!X$2+1,1,1)&amp;";"&amp;OFFSET(掉落_design!$E88,0,掉落_design!X$2+2,1,1)&amp;";"&amp;OFFSET(掉落_design!$E88,0,掉落_design!X$2+3,1,1))</f>
        <v/>
      </c>
    </row>
    <row r="89" spans="1:25" x14ac:dyDescent="0.15">
      <c r="A89" s="11" t="str">
        <f t="shared" si="29"/>
        <v>DATA</v>
      </c>
      <c r="B89" s="25"/>
      <c r="C89" s="25"/>
      <c r="D89" s="15">
        <f>IF(掉落_design!C89="","",掉落_design!C89)</f>
        <v>30300</v>
      </c>
      <c r="E89" s="15">
        <f>IF(A89="","",掉落_design!D89)</f>
        <v>1</v>
      </c>
      <c r="F89" s="16" t="str">
        <f ca="1">IF(OFFSET(掉落_design!$E89,0,掉落_design!E$2,1,1)="","",OFFSET(掉落_design!$E89,0,掉落_design!E$2,1,1)&amp;";"&amp;OFFSET(掉落_design!$E89,0,掉落_design!E$2+1,1,1)&amp;";"&amp;OFFSET(掉落_design!$E89,0,掉落_design!E$2+2,1,1)&amp;";"&amp;OFFSET(掉落_design!$E89,0,掉落_design!E$2+3,1,1))</f>
        <v>3009;1;1;10000</v>
      </c>
      <c r="G89" s="16" t="str">
        <f ca="1">IF(OFFSET(掉落_design!$E89,0,掉落_design!F$2,1,1)="","",OFFSET(掉落_design!$E89,0,掉落_design!F$2,1,1)&amp;";"&amp;OFFSET(掉落_design!$E89,0,掉落_design!F$2+1,1,1)&amp;";"&amp;OFFSET(掉落_design!$E89,0,掉落_design!F$2+2,1,1)&amp;";"&amp;OFFSET(掉落_design!$E89,0,掉落_design!F$2+3,1,1))</f>
        <v>1001;2000;2000;10000</v>
      </c>
      <c r="H89" s="16" t="str">
        <f ca="1">IF(OFFSET(掉落_design!$E89,0,掉落_design!G$2,1,1)="","",OFFSET(掉落_design!$E89,0,掉落_design!G$2,1,1)&amp;";"&amp;OFFSET(掉落_design!$E89,0,掉落_design!G$2+1,1,1)&amp;";"&amp;OFFSET(掉落_design!$E89,0,掉落_design!G$2+2,1,1)&amp;";"&amp;OFFSET(掉落_design!$E89,0,掉落_design!G$2+3,1,1))</f>
        <v>1100;2;2;10000</v>
      </c>
      <c r="I89" s="16" t="str">
        <f ca="1">IF(OFFSET(掉落_design!$E89,0,掉落_design!H$2,1,1)="","",OFFSET(掉落_design!$E89,0,掉落_design!H$2,1,1)&amp;";"&amp;OFFSET(掉落_design!$E89,0,掉落_design!H$2+1,1,1)&amp;";"&amp;OFFSET(掉落_design!$E89,0,掉落_design!H$2+2,1,1)&amp;";"&amp;OFFSET(掉落_design!$E89,0,掉落_design!H$2+3,1,1))</f>
        <v/>
      </c>
      <c r="J89" s="16" t="str">
        <f ca="1">IF(OFFSET(掉落_design!$E89,0,掉落_design!I$2,1,1)="","",OFFSET(掉落_design!$E89,0,掉落_design!I$2,1,1)&amp;";"&amp;OFFSET(掉落_design!$E89,0,掉落_design!I$2+1,1,1)&amp;";"&amp;OFFSET(掉落_design!$E89,0,掉落_design!I$2+2,1,1)&amp;";"&amp;OFFSET(掉落_design!$E89,0,掉落_design!I$2+3,1,1))</f>
        <v/>
      </c>
      <c r="K89" s="16" t="str">
        <f ca="1">IF(OFFSET(掉落_design!$E89,0,掉落_design!J$2,1,1)="","",OFFSET(掉落_design!$E89,0,掉落_design!J$2,1,1)&amp;";"&amp;OFFSET(掉落_design!$E89,0,掉落_design!J$2+1,1,1)&amp;";"&amp;OFFSET(掉落_design!$E89,0,掉落_design!J$2+2,1,1)&amp;";"&amp;OFFSET(掉落_design!$E89,0,掉落_design!J$2+3,1,1))</f>
        <v/>
      </c>
      <c r="L89" s="16" t="str">
        <f ca="1">IF(OFFSET(掉落_design!$E89,0,掉落_design!K$2,1,1)="","",OFFSET(掉落_design!$E89,0,掉落_design!K$2,1,1)&amp;";"&amp;OFFSET(掉落_design!$E89,0,掉落_design!K$2+1,1,1)&amp;";"&amp;OFFSET(掉落_design!$E89,0,掉落_design!K$2+2,1,1)&amp;";"&amp;OFFSET(掉落_design!$E89,0,掉落_design!K$2+3,1,1))</f>
        <v/>
      </c>
      <c r="M89" s="16" t="str">
        <f ca="1">IF(OFFSET(掉落_design!$E89,0,掉落_design!L$2,1,1)="","",OFFSET(掉落_design!$E89,0,掉落_design!L$2,1,1)&amp;";"&amp;OFFSET(掉落_design!$E89,0,掉落_design!L$2+1,1,1)&amp;";"&amp;OFFSET(掉落_design!$E89,0,掉落_design!L$2+2,1,1)&amp;";"&amp;OFFSET(掉落_design!$E89,0,掉落_design!L$2+3,1,1))</f>
        <v/>
      </c>
      <c r="N89" s="16" t="str">
        <f ca="1">IF(OFFSET(掉落_design!$E89,0,掉落_design!M$2,1,1)="","",OFFSET(掉落_design!$E89,0,掉落_design!M$2,1,1)&amp;";"&amp;OFFSET(掉落_design!$E89,0,掉落_design!M$2+1,1,1)&amp;";"&amp;OFFSET(掉落_design!$E89,0,掉落_design!M$2+2,1,1)&amp;";"&amp;OFFSET(掉落_design!$E89,0,掉落_design!M$2+3,1,1))</f>
        <v/>
      </c>
      <c r="O89" s="16" t="str">
        <f ca="1">IF(OFFSET(掉落_design!$E89,0,掉落_design!N$2,1,1)="","",OFFSET(掉落_design!$E89,0,掉落_design!N$2,1,1)&amp;";"&amp;OFFSET(掉落_design!$E89,0,掉落_design!N$2+1,1,1)&amp;";"&amp;OFFSET(掉落_design!$E89,0,掉落_design!N$2+2,1,1)&amp;";"&amp;OFFSET(掉落_design!$E89,0,掉落_design!N$2+3,1,1))</f>
        <v/>
      </c>
      <c r="P89" s="16" t="str">
        <f ca="1">IF(OFFSET(掉落_design!$E89,0,掉落_design!O$2,1,1)="","",OFFSET(掉落_design!$E89,0,掉落_design!O$2,1,1)&amp;";"&amp;OFFSET(掉落_design!$E89,0,掉落_design!O$2+1,1,1)&amp;";"&amp;OFFSET(掉落_design!$E89,0,掉落_design!O$2+2,1,1)&amp;";"&amp;OFFSET(掉落_design!$E89,0,掉落_design!O$2+3,1,1))</f>
        <v/>
      </c>
      <c r="Q89" s="16" t="str">
        <f ca="1">IF(OFFSET(掉落_design!$E89,0,掉落_design!P$2,1,1)="","",OFFSET(掉落_design!$E89,0,掉落_design!P$2,1,1)&amp;";"&amp;OFFSET(掉落_design!$E89,0,掉落_design!P$2+1,1,1)&amp;";"&amp;OFFSET(掉落_design!$E89,0,掉落_design!P$2+2,1,1)&amp;";"&amp;OFFSET(掉落_design!$E89,0,掉落_design!P$2+3,1,1))</f>
        <v/>
      </c>
      <c r="R89" s="16" t="str">
        <f ca="1">IF(OFFSET(掉落_design!$E89,0,掉落_design!Q$2,1,1)="","",OFFSET(掉落_design!$E89,0,掉落_design!Q$2,1,1)&amp;";"&amp;OFFSET(掉落_design!$E89,0,掉落_design!Q$2+1,1,1)&amp;";"&amp;OFFSET(掉落_design!$E89,0,掉落_design!Q$2+2,1,1)&amp;";"&amp;OFFSET(掉落_design!$E89,0,掉落_design!Q$2+3,1,1))</f>
        <v/>
      </c>
      <c r="S89" s="16" t="str">
        <f ca="1">IF(OFFSET(掉落_design!$E89,0,掉落_design!R$2,1,1)="","",OFFSET(掉落_design!$E89,0,掉落_design!R$2,1,1)&amp;";"&amp;OFFSET(掉落_design!$E89,0,掉落_design!R$2+1,1,1)&amp;";"&amp;OFFSET(掉落_design!$E89,0,掉落_design!R$2+2,1,1)&amp;";"&amp;OFFSET(掉落_design!$E89,0,掉落_design!R$2+3,1,1))</f>
        <v/>
      </c>
      <c r="T89" s="16" t="str">
        <f ca="1">IF(OFFSET(掉落_design!$E89,0,掉落_design!S$2,1,1)="","",OFFSET(掉落_design!$E89,0,掉落_design!S$2,1,1)&amp;";"&amp;OFFSET(掉落_design!$E89,0,掉落_design!S$2+1,1,1)&amp;";"&amp;OFFSET(掉落_design!$E89,0,掉落_design!S$2+2,1,1)&amp;";"&amp;OFFSET(掉落_design!$E89,0,掉落_design!S$2+3,1,1))</f>
        <v/>
      </c>
      <c r="U89" s="16" t="str">
        <f ca="1">IF(OFFSET(掉落_design!$E89,0,掉落_design!T$2,1,1)="","",OFFSET(掉落_design!$E89,0,掉落_design!T$2,1,1)&amp;";"&amp;OFFSET(掉落_design!$E89,0,掉落_design!T$2+1,1,1)&amp;";"&amp;OFFSET(掉落_design!$E89,0,掉落_design!T$2+2,1,1)&amp;";"&amp;OFFSET(掉落_design!$E89,0,掉落_design!T$2+3,1,1))</f>
        <v/>
      </c>
      <c r="V89" s="16" t="str">
        <f ca="1">IF(OFFSET(掉落_design!$E89,0,掉落_design!U$2,1,1)="","",OFFSET(掉落_design!$E89,0,掉落_design!U$2,1,1)&amp;";"&amp;OFFSET(掉落_design!$E89,0,掉落_design!U$2+1,1,1)&amp;";"&amp;OFFSET(掉落_design!$E89,0,掉落_design!U$2+2,1,1)&amp;";"&amp;OFFSET(掉落_design!$E89,0,掉落_design!U$2+3,1,1))</f>
        <v/>
      </c>
      <c r="W89" s="16" t="str">
        <f ca="1">IF(OFFSET(掉落_design!$E89,0,掉落_design!V$2,1,1)="","",OFFSET(掉落_design!$E89,0,掉落_design!V$2,1,1)&amp;";"&amp;OFFSET(掉落_design!$E89,0,掉落_design!V$2+1,1,1)&amp;";"&amp;OFFSET(掉落_design!$E89,0,掉落_design!V$2+2,1,1)&amp;";"&amp;OFFSET(掉落_design!$E89,0,掉落_design!V$2+3,1,1))</f>
        <v/>
      </c>
      <c r="X89" s="16" t="str">
        <f ca="1">IF(OFFSET(掉落_design!$E89,0,掉落_design!W$2,1,1)="","",OFFSET(掉落_design!$E89,0,掉落_design!W$2,1,1)&amp;";"&amp;OFFSET(掉落_design!$E89,0,掉落_design!W$2+1,1,1)&amp;";"&amp;OFFSET(掉落_design!$E89,0,掉落_design!W$2+2,1,1)&amp;";"&amp;OFFSET(掉落_design!$E89,0,掉落_design!W$2+3,1,1))</f>
        <v/>
      </c>
      <c r="Y89" s="16" t="str">
        <f ca="1">IF(OFFSET(掉落_design!$E89,0,掉落_design!X$2,1,1)="","",OFFSET(掉落_design!$E89,0,掉落_design!X$2,1,1)&amp;";"&amp;OFFSET(掉落_design!$E89,0,掉落_design!X$2+1,1,1)&amp;";"&amp;OFFSET(掉落_design!$E89,0,掉落_design!X$2+2,1,1)&amp;";"&amp;OFFSET(掉落_design!$E89,0,掉落_design!X$2+3,1,1))</f>
        <v/>
      </c>
    </row>
    <row r="90" spans="1:25" x14ac:dyDescent="0.15">
      <c r="A90" s="11" t="str">
        <f t="shared" si="29"/>
        <v>DATA</v>
      </c>
      <c r="B90" s="25"/>
      <c r="C90" s="25"/>
      <c r="D90" s="15">
        <f>IF(掉落_design!C90="","",掉落_design!C90)</f>
        <v>30301</v>
      </c>
      <c r="E90" s="15">
        <f>IF(A90="","",掉落_design!D90)</f>
        <v>1</v>
      </c>
      <c r="F90" s="16" t="str">
        <f ca="1">IF(OFFSET(掉落_design!$E90,0,掉落_design!E$2,1,1)="","",OFFSET(掉落_design!$E90,0,掉落_design!E$2,1,1)&amp;";"&amp;OFFSET(掉落_design!$E90,0,掉落_design!E$2+1,1,1)&amp;";"&amp;OFFSET(掉落_design!$E90,0,掉落_design!E$2+2,1,1)&amp;";"&amp;OFFSET(掉落_design!$E90,0,掉落_design!E$2+3,1,1))</f>
        <v>3002;1;1;10000</v>
      </c>
      <c r="G90" s="16" t="str">
        <f ca="1">IF(OFFSET(掉落_design!$E90,0,掉落_design!F$2,1,1)="","",OFFSET(掉落_design!$E90,0,掉落_design!F$2,1,1)&amp;";"&amp;OFFSET(掉落_design!$E90,0,掉落_design!F$2+1,1,1)&amp;";"&amp;OFFSET(掉落_design!$E90,0,掉落_design!F$2+2,1,1)&amp;";"&amp;OFFSET(掉落_design!$E90,0,掉落_design!F$2+3,1,1))</f>
        <v>1001;3000;3000;10000</v>
      </c>
      <c r="H90" s="16" t="str">
        <f ca="1">IF(OFFSET(掉落_design!$E90,0,掉落_design!G$2,1,1)="","",OFFSET(掉落_design!$E90,0,掉落_design!G$2,1,1)&amp;";"&amp;OFFSET(掉落_design!$E90,0,掉落_design!G$2+1,1,1)&amp;";"&amp;OFFSET(掉落_design!$E90,0,掉落_design!G$2+2,1,1)&amp;";"&amp;OFFSET(掉落_design!$E90,0,掉落_design!G$2+3,1,1))</f>
        <v>1100;3;3;10000</v>
      </c>
      <c r="I90" s="16" t="str">
        <f ca="1">IF(OFFSET(掉落_design!$E90,0,掉落_design!H$2,1,1)="","",OFFSET(掉落_design!$E90,0,掉落_design!H$2,1,1)&amp;";"&amp;OFFSET(掉落_design!$E90,0,掉落_design!H$2+1,1,1)&amp;";"&amp;OFFSET(掉落_design!$E90,0,掉落_design!H$2+2,1,1)&amp;";"&amp;OFFSET(掉落_design!$E90,0,掉落_design!H$2+3,1,1))</f>
        <v/>
      </c>
      <c r="J90" s="16" t="str">
        <f ca="1">IF(OFFSET(掉落_design!$E90,0,掉落_design!I$2,1,1)="","",OFFSET(掉落_design!$E90,0,掉落_design!I$2,1,1)&amp;";"&amp;OFFSET(掉落_design!$E90,0,掉落_design!I$2+1,1,1)&amp;";"&amp;OFFSET(掉落_design!$E90,0,掉落_design!I$2+2,1,1)&amp;";"&amp;OFFSET(掉落_design!$E90,0,掉落_design!I$2+3,1,1))</f>
        <v/>
      </c>
      <c r="K90" s="16" t="str">
        <f ca="1">IF(OFFSET(掉落_design!$E90,0,掉落_design!J$2,1,1)="","",OFFSET(掉落_design!$E90,0,掉落_design!J$2,1,1)&amp;";"&amp;OFFSET(掉落_design!$E90,0,掉落_design!J$2+1,1,1)&amp;";"&amp;OFFSET(掉落_design!$E90,0,掉落_design!J$2+2,1,1)&amp;";"&amp;OFFSET(掉落_design!$E90,0,掉落_design!J$2+3,1,1))</f>
        <v/>
      </c>
      <c r="L90" s="16" t="str">
        <f ca="1">IF(OFFSET(掉落_design!$E90,0,掉落_design!K$2,1,1)="","",OFFSET(掉落_design!$E90,0,掉落_design!K$2,1,1)&amp;";"&amp;OFFSET(掉落_design!$E90,0,掉落_design!K$2+1,1,1)&amp;";"&amp;OFFSET(掉落_design!$E90,0,掉落_design!K$2+2,1,1)&amp;";"&amp;OFFSET(掉落_design!$E90,0,掉落_design!K$2+3,1,1))</f>
        <v/>
      </c>
      <c r="M90" s="16" t="str">
        <f ca="1">IF(OFFSET(掉落_design!$E90,0,掉落_design!L$2,1,1)="","",OFFSET(掉落_design!$E90,0,掉落_design!L$2,1,1)&amp;";"&amp;OFFSET(掉落_design!$E90,0,掉落_design!L$2+1,1,1)&amp;";"&amp;OFFSET(掉落_design!$E90,0,掉落_design!L$2+2,1,1)&amp;";"&amp;OFFSET(掉落_design!$E90,0,掉落_design!L$2+3,1,1))</f>
        <v/>
      </c>
      <c r="N90" s="16" t="str">
        <f ca="1">IF(OFFSET(掉落_design!$E90,0,掉落_design!M$2,1,1)="","",OFFSET(掉落_design!$E90,0,掉落_design!M$2,1,1)&amp;";"&amp;OFFSET(掉落_design!$E90,0,掉落_design!M$2+1,1,1)&amp;";"&amp;OFFSET(掉落_design!$E90,0,掉落_design!M$2+2,1,1)&amp;";"&amp;OFFSET(掉落_design!$E90,0,掉落_design!M$2+3,1,1))</f>
        <v/>
      </c>
      <c r="O90" s="16" t="str">
        <f ca="1">IF(OFFSET(掉落_design!$E90,0,掉落_design!N$2,1,1)="","",OFFSET(掉落_design!$E90,0,掉落_design!N$2,1,1)&amp;";"&amp;OFFSET(掉落_design!$E90,0,掉落_design!N$2+1,1,1)&amp;";"&amp;OFFSET(掉落_design!$E90,0,掉落_design!N$2+2,1,1)&amp;";"&amp;OFFSET(掉落_design!$E90,0,掉落_design!N$2+3,1,1))</f>
        <v/>
      </c>
      <c r="P90" s="16" t="str">
        <f ca="1">IF(OFFSET(掉落_design!$E90,0,掉落_design!O$2,1,1)="","",OFFSET(掉落_design!$E90,0,掉落_design!O$2,1,1)&amp;";"&amp;OFFSET(掉落_design!$E90,0,掉落_design!O$2+1,1,1)&amp;";"&amp;OFFSET(掉落_design!$E90,0,掉落_design!O$2+2,1,1)&amp;";"&amp;OFFSET(掉落_design!$E90,0,掉落_design!O$2+3,1,1))</f>
        <v/>
      </c>
      <c r="Q90" s="16" t="str">
        <f ca="1">IF(OFFSET(掉落_design!$E90,0,掉落_design!P$2,1,1)="","",OFFSET(掉落_design!$E90,0,掉落_design!P$2,1,1)&amp;";"&amp;OFFSET(掉落_design!$E90,0,掉落_design!P$2+1,1,1)&amp;";"&amp;OFFSET(掉落_design!$E90,0,掉落_design!P$2+2,1,1)&amp;";"&amp;OFFSET(掉落_design!$E90,0,掉落_design!P$2+3,1,1))</f>
        <v/>
      </c>
      <c r="R90" s="16" t="str">
        <f ca="1">IF(OFFSET(掉落_design!$E90,0,掉落_design!Q$2,1,1)="","",OFFSET(掉落_design!$E90,0,掉落_design!Q$2,1,1)&amp;";"&amp;OFFSET(掉落_design!$E90,0,掉落_design!Q$2+1,1,1)&amp;";"&amp;OFFSET(掉落_design!$E90,0,掉落_design!Q$2+2,1,1)&amp;";"&amp;OFFSET(掉落_design!$E90,0,掉落_design!Q$2+3,1,1))</f>
        <v/>
      </c>
      <c r="S90" s="16" t="str">
        <f ca="1">IF(OFFSET(掉落_design!$E90,0,掉落_design!R$2,1,1)="","",OFFSET(掉落_design!$E90,0,掉落_design!R$2,1,1)&amp;";"&amp;OFFSET(掉落_design!$E90,0,掉落_design!R$2+1,1,1)&amp;";"&amp;OFFSET(掉落_design!$E90,0,掉落_design!R$2+2,1,1)&amp;";"&amp;OFFSET(掉落_design!$E90,0,掉落_design!R$2+3,1,1))</f>
        <v/>
      </c>
      <c r="T90" s="16" t="str">
        <f ca="1">IF(OFFSET(掉落_design!$E90,0,掉落_design!S$2,1,1)="","",OFFSET(掉落_design!$E90,0,掉落_design!S$2,1,1)&amp;";"&amp;OFFSET(掉落_design!$E90,0,掉落_design!S$2+1,1,1)&amp;";"&amp;OFFSET(掉落_design!$E90,0,掉落_design!S$2+2,1,1)&amp;";"&amp;OFFSET(掉落_design!$E90,0,掉落_design!S$2+3,1,1))</f>
        <v/>
      </c>
      <c r="U90" s="16" t="str">
        <f ca="1">IF(OFFSET(掉落_design!$E90,0,掉落_design!T$2,1,1)="","",OFFSET(掉落_design!$E90,0,掉落_design!T$2,1,1)&amp;";"&amp;OFFSET(掉落_design!$E90,0,掉落_design!T$2+1,1,1)&amp;";"&amp;OFFSET(掉落_design!$E90,0,掉落_design!T$2+2,1,1)&amp;";"&amp;OFFSET(掉落_design!$E90,0,掉落_design!T$2+3,1,1))</f>
        <v/>
      </c>
      <c r="V90" s="16" t="str">
        <f ca="1">IF(OFFSET(掉落_design!$E90,0,掉落_design!U$2,1,1)="","",OFFSET(掉落_design!$E90,0,掉落_design!U$2,1,1)&amp;";"&amp;OFFSET(掉落_design!$E90,0,掉落_design!U$2+1,1,1)&amp;";"&amp;OFFSET(掉落_design!$E90,0,掉落_design!U$2+2,1,1)&amp;";"&amp;OFFSET(掉落_design!$E90,0,掉落_design!U$2+3,1,1))</f>
        <v/>
      </c>
      <c r="W90" s="16" t="str">
        <f ca="1">IF(OFFSET(掉落_design!$E90,0,掉落_design!V$2,1,1)="","",OFFSET(掉落_design!$E90,0,掉落_design!V$2,1,1)&amp;";"&amp;OFFSET(掉落_design!$E90,0,掉落_design!V$2+1,1,1)&amp;";"&amp;OFFSET(掉落_design!$E90,0,掉落_design!V$2+2,1,1)&amp;";"&amp;OFFSET(掉落_design!$E90,0,掉落_design!V$2+3,1,1))</f>
        <v/>
      </c>
      <c r="X90" s="16" t="str">
        <f ca="1">IF(OFFSET(掉落_design!$E90,0,掉落_design!W$2,1,1)="","",OFFSET(掉落_design!$E90,0,掉落_design!W$2,1,1)&amp;";"&amp;OFFSET(掉落_design!$E90,0,掉落_design!W$2+1,1,1)&amp;";"&amp;OFFSET(掉落_design!$E90,0,掉落_design!W$2+2,1,1)&amp;";"&amp;OFFSET(掉落_design!$E90,0,掉落_design!W$2+3,1,1))</f>
        <v/>
      </c>
      <c r="Y90" s="16" t="str">
        <f ca="1">IF(OFFSET(掉落_design!$E90,0,掉落_design!X$2,1,1)="","",OFFSET(掉落_design!$E90,0,掉落_design!X$2,1,1)&amp;";"&amp;OFFSET(掉落_design!$E90,0,掉落_design!X$2+1,1,1)&amp;";"&amp;OFFSET(掉落_design!$E90,0,掉落_design!X$2+2,1,1)&amp;";"&amp;OFFSET(掉落_design!$E90,0,掉落_design!X$2+3,1,1))</f>
        <v/>
      </c>
    </row>
    <row r="91" spans="1:25" x14ac:dyDescent="0.15">
      <c r="A91" s="11" t="str">
        <f t="shared" si="29"/>
        <v>DATA</v>
      </c>
      <c r="B91" s="25"/>
      <c r="C91" s="25"/>
      <c r="D91" s="15">
        <f>IF(掉落_design!C91="","",掉落_design!C91)</f>
        <v>30302</v>
      </c>
      <c r="E91" s="15">
        <f>IF(A91="","",掉落_design!D91)</f>
        <v>1</v>
      </c>
      <c r="F91" s="16" t="str">
        <f ca="1">IF(OFFSET(掉落_design!$E91,0,掉落_design!E$2,1,1)="","",OFFSET(掉落_design!$E91,0,掉落_design!E$2,1,1)&amp;";"&amp;OFFSET(掉落_design!$E91,0,掉落_design!E$2+1,1,1)&amp;";"&amp;OFFSET(掉落_design!$E91,0,掉落_design!E$2+2,1,1)&amp;";"&amp;OFFSET(掉落_design!$E91,0,掉落_design!E$2+3,1,1))</f>
        <v>3004;1;1;10000</v>
      </c>
      <c r="G91" s="16" t="str">
        <f ca="1">IF(OFFSET(掉落_design!$E91,0,掉落_design!F$2,1,1)="","",OFFSET(掉落_design!$E91,0,掉落_design!F$2,1,1)&amp;";"&amp;OFFSET(掉落_design!$E91,0,掉落_design!F$2+1,1,1)&amp;";"&amp;OFFSET(掉落_design!$E91,0,掉落_design!F$2+2,1,1)&amp;";"&amp;OFFSET(掉落_design!$E91,0,掉落_design!F$2+3,1,1))</f>
        <v>1001;5000;5000;10000</v>
      </c>
      <c r="H91" s="16" t="str">
        <f ca="1">IF(OFFSET(掉落_design!$E91,0,掉落_design!G$2,1,1)="","",OFFSET(掉落_design!$E91,0,掉落_design!G$2,1,1)&amp;";"&amp;OFFSET(掉落_design!$E91,0,掉落_design!G$2+1,1,1)&amp;";"&amp;OFFSET(掉落_design!$E91,0,掉落_design!G$2+2,1,1)&amp;";"&amp;OFFSET(掉落_design!$E91,0,掉落_design!G$2+3,1,1))</f>
        <v>1100;5;5;10000</v>
      </c>
      <c r="I91" s="16" t="str">
        <f ca="1">IF(OFFSET(掉落_design!$E91,0,掉落_design!H$2,1,1)="","",OFFSET(掉落_design!$E91,0,掉落_design!H$2,1,1)&amp;";"&amp;OFFSET(掉落_design!$E91,0,掉落_design!H$2+1,1,1)&amp;";"&amp;OFFSET(掉落_design!$E91,0,掉落_design!H$2+2,1,1)&amp;";"&amp;OFFSET(掉落_design!$E91,0,掉落_design!H$2+3,1,1))</f>
        <v/>
      </c>
      <c r="J91" s="16" t="str">
        <f ca="1">IF(OFFSET(掉落_design!$E91,0,掉落_design!I$2,1,1)="","",OFFSET(掉落_design!$E91,0,掉落_design!I$2,1,1)&amp;";"&amp;OFFSET(掉落_design!$E91,0,掉落_design!I$2+1,1,1)&amp;";"&amp;OFFSET(掉落_design!$E91,0,掉落_design!I$2+2,1,1)&amp;";"&amp;OFFSET(掉落_design!$E91,0,掉落_design!I$2+3,1,1))</f>
        <v/>
      </c>
      <c r="K91" s="16" t="str">
        <f ca="1">IF(OFFSET(掉落_design!$E91,0,掉落_design!J$2,1,1)="","",OFFSET(掉落_design!$E91,0,掉落_design!J$2,1,1)&amp;";"&amp;OFFSET(掉落_design!$E91,0,掉落_design!J$2+1,1,1)&amp;";"&amp;OFFSET(掉落_design!$E91,0,掉落_design!J$2+2,1,1)&amp;";"&amp;OFFSET(掉落_design!$E91,0,掉落_design!J$2+3,1,1))</f>
        <v/>
      </c>
      <c r="L91" s="16" t="str">
        <f ca="1">IF(OFFSET(掉落_design!$E91,0,掉落_design!K$2,1,1)="","",OFFSET(掉落_design!$E91,0,掉落_design!K$2,1,1)&amp;";"&amp;OFFSET(掉落_design!$E91,0,掉落_design!K$2+1,1,1)&amp;";"&amp;OFFSET(掉落_design!$E91,0,掉落_design!K$2+2,1,1)&amp;";"&amp;OFFSET(掉落_design!$E91,0,掉落_design!K$2+3,1,1))</f>
        <v/>
      </c>
      <c r="M91" s="16" t="str">
        <f ca="1">IF(OFFSET(掉落_design!$E91,0,掉落_design!L$2,1,1)="","",OFFSET(掉落_design!$E91,0,掉落_design!L$2,1,1)&amp;";"&amp;OFFSET(掉落_design!$E91,0,掉落_design!L$2+1,1,1)&amp;";"&amp;OFFSET(掉落_design!$E91,0,掉落_design!L$2+2,1,1)&amp;";"&amp;OFFSET(掉落_design!$E91,0,掉落_design!L$2+3,1,1))</f>
        <v/>
      </c>
      <c r="N91" s="16" t="str">
        <f ca="1">IF(OFFSET(掉落_design!$E91,0,掉落_design!M$2,1,1)="","",OFFSET(掉落_design!$E91,0,掉落_design!M$2,1,1)&amp;";"&amp;OFFSET(掉落_design!$E91,0,掉落_design!M$2+1,1,1)&amp;";"&amp;OFFSET(掉落_design!$E91,0,掉落_design!M$2+2,1,1)&amp;";"&amp;OFFSET(掉落_design!$E91,0,掉落_design!M$2+3,1,1))</f>
        <v/>
      </c>
      <c r="O91" s="16" t="str">
        <f ca="1">IF(OFFSET(掉落_design!$E91,0,掉落_design!N$2,1,1)="","",OFFSET(掉落_design!$E91,0,掉落_design!N$2,1,1)&amp;";"&amp;OFFSET(掉落_design!$E91,0,掉落_design!N$2+1,1,1)&amp;";"&amp;OFFSET(掉落_design!$E91,0,掉落_design!N$2+2,1,1)&amp;";"&amp;OFFSET(掉落_design!$E91,0,掉落_design!N$2+3,1,1))</f>
        <v/>
      </c>
      <c r="P91" s="16" t="str">
        <f ca="1">IF(OFFSET(掉落_design!$E91,0,掉落_design!O$2,1,1)="","",OFFSET(掉落_design!$E91,0,掉落_design!O$2,1,1)&amp;";"&amp;OFFSET(掉落_design!$E91,0,掉落_design!O$2+1,1,1)&amp;";"&amp;OFFSET(掉落_design!$E91,0,掉落_design!O$2+2,1,1)&amp;";"&amp;OFFSET(掉落_design!$E91,0,掉落_design!O$2+3,1,1))</f>
        <v/>
      </c>
      <c r="Q91" s="16" t="str">
        <f ca="1">IF(OFFSET(掉落_design!$E91,0,掉落_design!P$2,1,1)="","",OFFSET(掉落_design!$E91,0,掉落_design!P$2,1,1)&amp;";"&amp;OFFSET(掉落_design!$E91,0,掉落_design!P$2+1,1,1)&amp;";"&amp;OFFSET(掉落_design!$E91,0,掉落_design!P$2+2,1,1)&amp;";"&amp;OFFSET(掉落_design!$E91,0,掉落_design!P$2+3,1,1))</f>
        <v/>
      </c>
      <c r="R91" s="16" t="str">
        <f ca="1">IF(OFFSET(掉落_design!$E91,0,掉落_design!Q$2,1,1)="","",OFFSET(掉落_design!$E91,0,掉落_design!Q$2,1,1)&amp;";"&amp;OFFSET(掉落_design!$E91,0,掉落_design!Q$2+1,1,1)&amp;";"&amp;OFFSET(掉落_design!$E91,0,掉落_design!Q$2+2,1,1)&amp;";"&amp;OFFSET(掉落_design!$E91,0,掉落_design!Q$2+3,1,1))</f>
        <v/>
      </c>
      <c r="S91" s="16" t="str">
        <f ca="1">IF(OFFSET(掉落_design!$E91,0,掉落_design!R$2,1,1)="","",OFFSET(掉落_design!$E91,0,掉落_design!R$2,1,1)&amp;";"&amp;OFFSET(掉落_design!$E91,0,掉落_design!R$2+1,1,1)&amp;";"&amp;OFFSET(掉落_design!$E91,0,掉落_design!R$2+2,1,1)&amp;";"&amp;OFFSET(掉落_design!$E91,0,掉落_design!R$2+3,1,1))</f>
        <v/>
      </c>
      <c r="T91" s="16" t="str">
        <f ca="1">IF(OFFSET(掉落_design!$E91,0,掉落_design!S$2,1,1)="","",OFFSET(掉落_design!$E91,0,掉落_design!S$2,1,1)&amp;";"&amp;OFFSET(掉落_design!$E91,0,掉落_design!S$2+1,1,1)&amp;";"&amp;OFFSET(掉落_design!$E91,0,掉落_design!S$2+2,1,1)&amp;";"&amp;OFFSET(掉落_design!$E91,0,掉落_design!S$2+3,1,1))</f>
        <v/>
      </c>
      <c r="U91" s="16" t="str">
        <f ca="1">IF(OFFSET(掉落_design!$E91,0,掉落_design!T$2,1,1)="","",OFFSET(掉落_design!$E91,0,掉落_design!T$2,1,1)&amp;";"&amp;OFFSET(掉落_design!$E91,0,掉落_design!T$2+1,1,1)&amp;";"&amp;OFFSET(掉落_design!$E91,0,掉落_design!T$2+2,1,1)&amp;";"&amp;OFFSET(掉落_design!$E91,0,掉落_design!T$2+3,1,1))</f>
        <v/>
      </c>
      <c r="V91" s="16" t="str">
        <f ca="1">IF(OFFSET(掉落_design!$E91,0,掉落_design!U$2,1,1)="","",OFFSET(掉落_design!$E91,0,掉落_design!U$2,1,1)&amp;";"&amp;OFFSET(掉落_design!$E91,0,掉落_design!U$2+1,1,1)&amp;";"&amp;OFFSET(掉落_design!$E91,0,掉落_design!U$2+2,1,1)&amp;";"&amp;OFFSET(掉落_design!$E91,0,掉落_design!U$2+3,1,1))</f>
        <v/>
      </c>
      <c r="W91" s="16" t="str">
        <f ca="1">IF(OFFSET(掉落_design!$E91,0,掉落_design!V$2,1,1)="","",OFFSET(掉落_design!$E91,0,掉落_design!V$2,1,1)&amp;";"&amp;OFFSET(掉落_design!$E91,0,掉落_design!V$2+1,1,1)&amp;";"&amp;OFFSET(掉落_design!$E91,0,掉落_design!V$2+2,1,1)&amp;";"&amp;OFFSET(掉落_design!$E91,0,掉落_design!V$2+3,1,1))</f>
        <v/>
      </c>
      <c r="X91" s="16" t="str">
        <f ca="1">IF(OFFSET(掉落_design!$E91,0,掉落_design!W$2,1,1)="","",OFFSET(掉落_design!$E91,0,掉落_design!W$2,1,1)&amp;";"&amp;OFFSET(掉落_design!$E91,0,掉落_design!W$2+1,1,1)&amp;";"&amp;OFFSET(掉落_design!$E91,0,掉落_design!W$2+2,1,1)&amp;";"&amp;OFFSET(掉落_design!$E91,0,掉落_design!W$2+3,1,1))</f>
        <v/>
      </c>
      <c r="Y91" s="16" t="str">
        <f ca="1">IF(OFFSET(掉落_design!$E91,0,掉落_design!X$2,1,1)="","",OFFSET(掉落_design!$E91,0,掉落_design!X$2,1,1)&amp;";"&amp;OFFSET(掉落_design!$E91,0,掉落_design!X$2+1,1,1)&amp;";"&amp;OFFSET(掉落_design!$E91,0,掉落_design!X$2+2,1,1)&amp;";"&amp;OFFSET(掉落_design!$E91,0,掉落_design!X$2+3,1,1))</f>
        <v/>
      </c>
    </row>
    <row r="92" spans="1:25" x14ac:dyDescent="0.15">
      <c r="A92" s="11" t="str">
        <f t="shared" ref="A92:A100" si="30">IF(D92="","","DATA")</f>
        <v/>
      </c>
      <c r="B92" s="25"/>
      <c r="C92" s="25"/>
      <c r="D92" s="15" t="str">
        <f>IF(掉落_design!C92="","",掉落_design!C92)</f>
        <v/>
      </c>
      <c r="E92" s="15" t="str">
        <f>IF(A92="","",掉落_design!D92)</f>
        <v/>
      </c>
      <c r="F92" s="16" t="str">
        <f ca="1">IF(OFFSET(掉落_design!$E92,0,掉落_design!E$2,1,1)="","",OFFSET(掉落_design!$E92,0,掉落_design!E$2,1,1)&amp;";"&amp;OFFSET(掉落_design!$E92,0,掉落_design!E$2+1,1,1)&amp;";"&amp;OFFSET(掉落_design!$E92,0,掉落_design!E$2+2,1,1)&amp;";"&amp;OFFSET(掉落_design!$E92,0,掉落_design!E$2+3,1,1))</f>
        <v/>
      </c>
      <c r="G92" s="16" t="str">
        <f ca="1">IF(OFFSET(掉落_design!$E92,0,掉落_design!F$2,1,1)="","",OFFSET(掉落_design!$E92,0,掉落_design!F$2,1,1)&amp;";"&amp;OFFSET(掉落_design!$E92,0,掉落_design!F$2+1,1,1)&amp;";"&amp;OFFSET(掉落_design!$E92,0,掉落_design!F$2+2,1,1)&amp;";"&amp;OFFSET(掉落_design!$E92,0,掉落_design!F$2+3,1,1))</f>
        <v/>
      </c>
      <c r="H92" s="16" t="str">
        <f ca="1">IF(OFFSET(掉落_design!$E92,0,掉落_design!G$2,1,1)="","",OFFSET(掉落_design!$E92,0,掉落_design!G$2,1,1)&amp;";"&amp;OFFSET(掉落_design!$E92,0,掉落_design!G$2+1,1,1)&amp;";"&amp;OFFSET(掉落_design!$E92,0,掉落_design!G$2+2,1,1)&amp;";"&amp;OFFSET(掉落_design!$E92,0,掉落_design!G$2+3,1,1))</f>
        <v/>
      </c>
      <c r="I92" s="16" t="str">
        <f ca="1">IF(OFFSET(掉落_design!$E92,0,掉落_design!H$2,1,1)="","",OFFSET(掉落_design!$E92,0,掉落_design!H$2,1,1)&amp;";"&amp;OFFSET(掉落_design!$E92,0,掉落_design!H$2+1,1,1)&amp;";"&amp;OFFSET(掉落_design!$E92,0,掉落_design!H$2+2,1,1)&amp;";"&amp;OFFSET(掉落_design!$E92,0,掉落_design!H$2+3,1,1))</f>
        <v/>
      </c>
      <c r="J92" s="16" t="str">
        <f ca="1">IF(OFFSET(掉落_design!$E92,0,掉落_design!I$2,1,1)="","",OFFSET(掉落_design!$E92,0,掉落_design!I$2,1,1)&amp;";"&amp;OFFSET(掉落_design!$E92,0,掉落_design!I$2+1,1,1)&amp;";"&amp;OFFSET(掉落_design!$E92,0,掉落_design!I$2+2,1,1)&amp;";"&amp;OFFSET(掉落_design!$E92,0,掉落_design!I$2+3,1,1))</f>
        <v/>
      </c>
      <c r="K92" s="16" t="str">
        <f ca="1">IF(OFFSET(掉落_design!$E92,0,掉落_design!J$2,1,1)="","",OFFSET(掉落_design!$E92,0,掉落_design!J$2,1,1)&amp;";"&amp;OFFSET(掉落_design!$E92,0,掉落_design!J$2+1,1,1)&amp;";"&amp;OFFSET(掉落_design!$E92,0,掉落_design!J$2+2,1,1)&amp;";"&amp;OFFSET(掉落_design!$E92,0,掉落_design!J$2+3,1,1))</f>
        <v/>
      </c>
      <c r="L92" s="16" t="str">
        <f ca="1">IF(OFFSET(掉落_design!$E92,0,掉落_design!K$2,1,1)="","",OFFSET(掉落_design!$E92,0,掉落_design!K$2,1,1)&amp;";"&amp;OFFSET(掉落_design!$E92,0,掉落_design!K$2+1,1,1)&amp;";"&amp;OFFSET(掉落_design!$E92,0,掉落_design!K$2+2,1,1)&amp;";"&amp;OFFSET(掉落_design!$E92,0,掉落_design!K$2+3,1,1))</f>
        <v/>
      </c>
      <c r="M92" s="16" t="str">
        <f ca="1">IF(OFFSET(掉落_design!$E92,0,掉落_design!L$2,1,1)="","",OFFSET(掉落_design!$E92,0,掉落_design!L$2,1,1)&amp;";"&amp;OFFSET(掉落_design!$E92,0,掉落_design!L$2+1,1,1)&amp;";"&amp;OFFSET(掉落_design!$E92,0,掉落_design!L$2+2,1,1)&amp;";"&amp;OFFSET(掉落_design!$E92,0,掉落_design!L$2+3,1,1))</f>
        <v/>
      </c>
      <c r="N92" s="16" t="str">
        <f ca="1">IF(OFFSET(掉落_design!$E92,0,掉落_design!M$2,1,1)="","",OFFSET(掉落_design!$E92,0,掉落_design!M$2,1,1)&amp;";"&amp;OFFSET(掉落_design!$E92,0,掉落_design!M$2+1,1,1)&amp;";"&amp;OFFSET(掉落_design!$E92,0,掉落_design!M$2+2,1,1)&amp;";"&amp;OFFSET(掉落_design!$E92,0,掉落_design!M$2+3,1,1))</f>
        <v/>
      </c>
      <c r="O92" s="16" t="str">
        <f ca="1">IF(OFFSET(掉落_design!$E92,0,掉落_design!N$2,1,1)="","",OFFSET(掉落_design!$E92,0,掉落_design!N$2,1,1)&amp;";"&amp;OFFSET(掉落_design!$E92,0,掉落_design!N$2+1,1,1)&amp;";"&amp;OFFSET(掉落_design!$E92,0,掉落_design!N$2+2,1,1)&amp;";"&amp;OFFSET(掉落_design!$E92,0,掉落_design!N$2+3,1,1))</f>
        <v/>
      </c>
      <c r="P92" s="16" t="str">
        <f ca="1">IF(OFFSET(掉落_design!$E92,0,掉落_design!O$2,1,1)="","",OFFSET(掉落_design!$E92,0,掉落_design!O$2,1,1)&amp;";"&amp;OFFSET(掉落_design!$E92,0,掉落_design!O$2+1,1,1)&amp;";"&amp;OFFSET(掉落_design!$E92,0,掉落_design!O$2+2,1,1)&amp;";"&amp;OFFSET(掉落_design!$E92,0,掉落_design!O$2+3,1,1))</f>
        <v/>
      </c>
      <c r="Q92" s="16" t="str">
        <f ca="1">IF(OFFSET(掉落_design!$E92,0,掉落_design!P$2,1,1)="","",OFFSET(掉落_design!$E92,0,掉落_design!P$2,1,1)&amp;";"&amp;OFFSET(掉落_design!$E92,0,掉落_design!P$2+1,1,1)&amp;";"&amp;OFFSET(掉落_design!$E92,0,掉落_design!P$2+2,1,1)&amp;";"&amp;OFFSET(掉落_design!$E92,0,掉落_design!P$2+3,1,1))</f>
        <v/>
      </c>
      <c r="R92" s="16" t="str">
        <f ca="1">IF(OFFSET(掉落_design!$E92,0,掉落_design!Q$2,1,1)="","",OFFSET(掉落_design!$E92,0,掉落_design!Q$2,1,1)&amp;";"&amp;OFFSET(掉落_design!$E92,0,掉落_design!Q$2+1,1,1)&amp;";"&amp;OFFSET(掉落_design!$E92,0,掉落_design!Q$2+2,1,1)&amp;";"&amp;OFFSET(掉落_design!$E92,0,掉落_design!Q$2+3,1,1))</f>
        <v/>
      </c>
      <c r="S92" s="16" t="str">
        <f ca="1">IF(OFFSET(掉落_design!$E92,0,掉落_design!R$2,1,1)="","",OFFSET(掉落_design!$E92,0,掉落_design!R$2,1,1)&amp;";"&amp;OFFSET(掉落_design!$E92,0,掉落_design!R$2+1,1,1)&amp;";"&amp;OFFSET(掉落_design!$E92,0,掉落_design!R$2+2,1,1)&amp;";"&amp;OFFSET(掉落_design!$E92,0,掉落_design!R$2+3,1,1))</f>
        <v/>
      </c>
      <c r="T92" s="16" t="str">
        <f ca="1">IF(OFFSET(掉落_design!$E92,0,掉落_design!S$2,1,1)="","",OFFSET(掉落_design!$E92,0,掉落_design!S$2,1,1)&amp;";"&amp;OFFSET(掉落_design!$E92,0,掉落_design!S$2+1,1,1)&amp;";"&amp;OFFSET(掉落_design!$E92,0,掉落_design!S$2+2,1,1)&amp;";"&amp;OFFSET(掉落_design!$E92,0,掉落_design!S$2+3,1,1))</f>
        <v/>
      </c>
      <c r="U92" s="16" t="str">
        <f ca="1">IF(OFFSET(掉落_design!$E92,0,掉落_design!T$2,1,1)="","",OFFSET(掉落_design!$E92,0,掉落_design!T$2,1,1)&amp;";"&amp;OFFSET(掉落_design!$E92,0,掉落_design!T$2+1,1,1)&amp;";"&amp;OFFSET(掉落_design!$E92,0,掉落_design!T$2+2,1,1)&amp;";"&amp;OFFSET(掉落_design!$E92,0,掉落_design!T$2+3,1,1))</f>
        <v/>
      </c>
      <c r="V92" s="16" t="str">
        <f ca="1">IF(OFFSET(掉落_design!$E92,0,掉落_design!U$2,1,1)="","",OFFSET(掉落_design!$E92,0,掉落_design!U$2,1,1)&amp;";"&amp;OFFSET(掉落_design!$E92,0,掉落_design!U$2+1,1,1)&amp;";"&amp;OFFSET(掉落_design!$E92,0,掉落_design!U$2+2,1,1)&amp;";"&amp;OFFSET(掉落_design!$E92,0,掉落_design!U$2+3,1,1))</f>
        <v/>
      </c>
      <c r="W92" s="16" t="str">
        <f ca="1">IF(OFFSET(掉落_design!$E92,0,掉落_design!V$2,1,1)="","",OFFSET(掉落_design!$E92,0,掉落_design!V$2,1,1)&amp;";"&amp;OFFSET(掉落_design!$E92,0,掉落_design!V$2+1,1,1)&amp;";"&amp;OFFSET(掉落_design!$E92,0,掉落_design!V$2+2,1,1)&amp;";"&amp;OFFSET(掉落_design!$E92,0,掉落_design!V$2+3,1,1))</f>
        <v/>
      </c>
      <c r="X92" s="16" t="str">
        <f ca="1">IF(OFFSET(掉落_design!$E92,0,掉落_design!W$2,1,1)="","",OFFSET(掉落_design!$E92,0,掉落_design!W$2,1,1)&amp;";"&amp;OFFSET(掉落_design!$E92,0,掉落_design!W$2+1,1,1)&amp;";"&amp;OFFSET(掉落_design!$E92,0,掉落_design!W$2+2,1,1)&amp;";"&amp;OFFSET(掉落_design!$E92,0,掉落_design!W$2+3,1,1))</f>
        <v/>
      </c>
      <c r="Y92" s="16" t="str">
        <f ca="1">IF(OFFSET(掉落_design!$E92,0,掉落_design!X$2,1,1)="","",OFFSET(掉落_design!$E92,0,掉落_design!X$2,1,1)&amp;";"&amp;OFFSET(掉落_design!$E92,0,掉落_design!X$2+1,1,1)&amp;";"&amp;OFFSET(掉落_design!$E92,0,掉落_design!X$2+2,1,1)&amp;";"&amp;OFFSET(掉落_design!$E92,0,掉落_design!X$2+3,1,1))</f>
        <v/>
      </c>
    </row>
    <row r="93" spans="1:25" x14ac:dyDescent="0.15">
      <c r="A93" s="11" t="str">
        <f t="shared" si="30"/>
        <v/>
      </c>
      <c r="B93" s="25"/>
      <c r="C93" s="25"/>
      <c r="D93" s="15" t="str">
        <f>IF(掉落_design!C93="","",掉落_design!C93)</f>
        <v/>
      </c>
      <c r="E93" s="15" t="str">
        <f>IF(A93="","",掉落_design!D93)</f>
        <v/>
      </c>
      <c r="F93" s="16" t="str">
        <f ca="1">IF(OFFSET(掉落_design!$E93,0,掉落_design!E$2,1,1)="","",OFFSET(掉落_design!$E93,0,掉落_design!E$2,1,1)&amp;";"&amp;OFFSET(掉落_design!$E93,0,掉落_design!E$2+1,1,1)&amp;";"&amp;OFFSET(掉落_design!$E93,0,掉落_design!E$2+2,1,1)&amp;";"&amp;OFFSET(掉落_design!$E93,0,掉落_design!E$2+3,1,1))</f>
        <v/>
      </c>
      <c r="G93" s="16" t="str">
        <f ca="1">IF(OFFSET(掉落_design!$E93,0,掉落_design!F$2,1,1)="","",OFFSET(掉落_design!$E93,0,掉落_design!F$2,1,1)&amp;";"&amp;OFFSET(掉落_design!$E93,0,掉落_design!F$2+1,1,1)&amp;";"&amp;OFFSET(掉落_design!$E93,0,掉落_design!F$2+2,1,1)&amp;";"&amp;OFFSET(掉落_design!$E93,0,掉落_design!F$2+3,1,1))</f>
        <v/>
      </c>
      <c r="H93" s="16" t="str">
        <f ca="1">IF(OFFSET(掉落_design!$E93,0,掉落_design!G$2,1,1)="","",OFFSET(掉落_design!$E93,0,掉落_design!G$2,1,1)&amp;";"&amp;OFFSET(掉落_design!$E93,0,掉落_design!G$2+1,1,1)&amp;";"&amp;OFFSET(掉落_design!$E93,0,掉落_design!G$2+2,1,1)&amp;";"&amp;OFFSET(掉落_design!$E93,0,掉落_design!G$2+3,1,1))</f>
        <v/>
      </c>
      <c r="I93" s="16" t="str">
        <f ca="1">IF(OFFSET(掉落_design!$E93,0,掉落_design!H$2,1,1)="","",OFFSET(掉落_design!$E93,0,掉落_design!H$2,1,1)&amp;";"&amp;OFFSET(掉落_design!$E93,0,掉落_design!H$2+1,1,1)&amp;";"&amp;OFFSET(掉落_design!$E93,0,掉落_design!H$2+2,1,1)&amp;";"&amp;OFFSET(掉落_design!$E93,0,掉落_design!H$2+3,1,1))</f>
        <v/>
      </c>
      <c r="J93" s="16" t="str">
        <f ca="1">IF(OFFSET(掉落_design!$E93,0,掉落_design!I$2,1,1)="","",OFFSET(掉落_design!$E93,0,掉落_design!I$2,1,1)&amp;";"&amp;OFFSET(掉落_design!$E93,0,掉落_design!I$2+1,1,1)&amp;";"&amp;OFFSET(掉落_design!$E93,0,掉落_design!I$2+2,1,1)&amp;";"&amp;OFFSET(掉落_design!$E93,0,掉落_design!I$2+3,1,1))</f>
        <v/>
      </c>
      <c r="K93" s="16" t="str">
        <f ca="1">IF(OFFSET(掉落_design!$E93,0,掉落_design!J$2,1,1)="","",OFFSET(掉落_design!$E93,0,掉落_design!J$2,1,1)&amp;";"&amp;OFFSET(掉落_design!$E93,0,掉落_design!J$2+1,1,1)&amp;";"&amp;OFFSET(掉落_design!$E93,0,掉落_design!J$2+2,1,1)&amp;";"&amp;OFFSET(掉落_design!$E93,0,掉落_design!J$2+3,1,1))</f>
        <v/>
      </c>
      <c r="L93" s="16" t="str">
        <f ca="1">IF(OFFSET(掉落_design!$E93,0,掉落_design!K$2,1,1)="","",OFFSET(掉落_design!$E93,0,掉落_design!K$2,1,1)&amp;";"&amp;OFFSET(掉落_design!$E93,0,掉落_design!K$2+1,1,1)&amp;";"&amp;OFFSET(掉落_design!$E93,0,掉落_design!K$2+2,1,1)&amp;";"&amp;OFFSET(掉落_design!$E93,0,掉落_design!K$2+3,1,1))</f>
        <v/>
      </c>
      <c r="M93" s="16" t="str">
        <f ca="1">IF(OFFSET(掉落_design!$E93,0,掉落_design!L$2,1,1)="","",OFFSET(掉落_design!$E93,0,掉落_design!L$2,1,1)&amp;";"&amp;OFFSET(掉落_design!$E93,0,掉落_design!L$2+1,1,1)&amp;";"&amp;OFFSET(掉落_design!$E93,0,掉落_design!L$2+2,1,1)&amp;";"&amp;OFFSET(掉落_design!$E93,0,掉落_design!L$2+3,1,1))</f>
        <v/>
      </c>
      <c r="N93" s="16" t="str">
        <f ca="1">IF(OFFSET(掉落_design!$E93,0,掉落_design!M$2,1,1)="","",OFFSET(掉落_design!$E93,0,掉落_design!M$2,1,1)&amp;";"&amp;OFFSET(掉落_design!$E93,0,掉落_design!M$2+1,1,1)&amp;";"&amp;OFFSET(掉落_design!$E93,0,掉落_design!M$2+2,1,1)&amp;";"&amp;OFFSET(掉落_design!$E93,0,掉落_design!M$2+3,1,1))</f>
        <v/>
      </c>
      <c r="O93" s="16" t="str">
        <f ca="1">IF(OFFSET(掉落_design!$E93,0,掉落_design!N$2,1,1)="","",OFFSET(掉落_design!$E93,0,掉落_design!N$2,1,1)&amp;";"&amp;OFFSET(掉落_design!$E93,0,掉落_design!N$2+1,1,1)&amp;";"&amp;OFFSET(掉落_design!$E93,0,掉落_design!N$2+2,1,1)&amp;";"&amp;OFFSET(掉落_design!$E93,0,掉落_design!N$2+3,1,1))</f>
        <v/>
      </c>
      <c r="P93" s="16" t="str">
        <f ca="1">IF(OFFSET(掉落_design!$E93,0,掉落_design!O$2,1,1)="","",OFFSET(掉落_design!$E93,0,掉落_design!O$2,1,1)&amp;";"&amp;OFFSET(掉落_design!$E93,0,掉落_design!O$2+1,1,1)&amp;";"&amp;OFFSET(掉落_design!$E93,0,掉落_design!O$2+2,1,1)&amp;";"&amp;OFFSET(掉落_design!$E93,0,掉落_design!O$2+3,1,1))</f>
        <v/>
      </c>
      <c r="Q93" s="16" t="str">
        <f ca="1">IF(OFFSET(掉落_design!$E93,0,掉落_design!P$2,1,1)="","",OFFSET(掉落_design!$E93,0,掉落_design!P$2,1,1)&amp;";"&amp;OFFSET(掉落_design!$E93,0,掉落_design!P$2+1,1,1)&amp;";"&amp;OFFSET(掉落_design!$E93,0,掉落_design!P$2+2,1,1)&amp;";"&amp;OFFSET(掉落_design!$E93,0,掉落_design!P$2+3,1,1))</f>
        <v/>
      </c>
      <c r="R93" s="16" t="str">
        <f ca="1">IF(OFFSET(掉落_design!$E93,0,掉落_design!Q$2,1,1)="","",OFFSET(掉落_design!$E93,0,掉落_design!Q$2,1,1)&amp;";"&amp;OFFSET(掉落_design!$E93,0,掉落_design!Q$2+1,1,1)&amp;";"&amp;OFFSET(掉落_design!$E93,0,掉落_design!Q$2+2,1,1)&amp;";"&amp;OFFSET(掉落_design!$E93,0,掉落_design!Q$2+3,1,1))</f>
        <v/>
      </c>
      <c r="S93" s="16" t="str">
        <f ca="1">IF(OFFSET(掉落_design!$E93,0,掉落_design!R$2,1,1)="","",OFFSET(掉落_design!$E93,0,掉落_design!R$2,1,1)&amp;";"&amp;OFFSET(掉落_design!$E93,0,掉落_design!R$2+1,1,1)&amp;";"&amp;OFFSET(掉落_design!$E93,0,掉落_design!R$2+2,1,1)&amp;";"&amp;OFFSET(掉落_design!$E93,0,掉落_design!R$2+3,1,1))</f>
        <v/>
      </c>
      <c r="T93" s="16" t="str">
        <f ca="1">IF(OFFSET(掉落_design!$E93,0,掉落_design!S$2,1,1)="","",OFFSET(掉落_design!$E93,0,掉落_design!S$2,1,1)&amp;";"&amp;OFFSET(掉落_design!$E93,0,掉落_design!S$2+1,1,1)&amp;";"&amp;OFFSET(掉落_design!$E93,0,掉落_design!S$2+2,1,1)&amp;";"&amp;OFFSET(掉落_design!$E93,0,掉落_design!S$2+3,1,1))</f>
        <v/>
      </c>
      <c r="U93" s="16" t="str">
        <f ca="1">IF(OFFSET(掉落_design!$E93,0,掉落_design!T$2,1,1)="","",OFFSET(掉落_design!$E93,0,掉落_design!T$2,1,1)&amp;";"&amp;OFFSET(掉落_design!$E93,0,掉落_design!T$2+1,1,1)&amp;";"&amp;OFFSET(掉落_design!$E93,0,掉落_design!T$2+2,1,1)&amp;";"&amp;OFFSET(掉落_design!$E93,0,掉落_design!T$2+3,1,1))</f>
        <v/>
      </c>
      <c r="V93" s="16" t="str">
        <f ca="1">IF(OFFSET(掉落_design!$E93,0,掉落_design!U$2,1,1)="","",OFFSET(掉落_design!$E93,0,掉落_design!U$2,1,1)&amp;";"&amp;OFFSET(掉落_design!$E93,0,掉落_design!U$2+1,1,1)&amp;";"&amp;OFFSET(掉落_design!$E93,0,掉落_design!U$2+2,1,1)&amp;";"&amp;OFFSET(掉落_design!$E93,0,掉落_design!U$2+3,1,1))</f>
        <v/>
      </c>
      <c r="W93" s="16" t="str">
        <f ca="1">IF(OFFSET(掉落_design!$E93,0,掉落_design!V$2,1,1)="","",OFFSET(掉落_design!$E93,0,掉落_design!V$2,1,1)&amp;";"&amp;OFFSET(掉落_design!$E93,0,掉落_design!V$2+1,1,1)&amp;";"&amp;OFFSET(掉落_design!$E93,0,掉落_design!V$2+2,1,1)&amp;";"&amp;OFFSET(掉落_design!$E93,0,掉落_design!V$2+3,1,1))</f>
        <v/>
      </c>
      <c r="X93" s="16" t="str">
        <f ca="1">IF(OFFSET(掉落_design!$E93,0,掉落_design!W$2,1,1)="","",OFFSET(掉落_design!$E93,0,掉落_design!W$2,1,1)&amp;";"&amp;OFFSET(掉落_design!$E93,0,掉落_design!W$2+1,1,1)&amp;";"&amp;OFFSET(掉落_design!$E93,0,掉落_design!W$2+2,1,1)&amp;";"&amp;OFFSET(掉落_design!$E93,0,掉落_design!W$2+3,1,1))</f>
        <v/>
      </c>
      <c r="Y93" s="16" t="str">
        <f ca="1">IF(OFFSET(掉落_design!$E93,0,掉落_design!X$2,1,1)="","",OFFSET(掉落_design!$E93,0,掉落_design!X$2,1,1)&amp;";"&amp;OFFSET(掉落_design!$E93,0,掉落_design!X$2+1,1,1)&amp;";"&amp;OFFSET(掉落_design!$E93,0,掉落_design!X$2+2,1,1)&amp;";"&amp;OFFSET(掉落_design!$E93,0,掉落_design!X$2+3,1,1))</f>
        <v/>
      </c>
    </row>
    <row r="94" spans="1:25" x14ac:dyDescent="0.15">
      <c r="A94" s="11" t="str">
        <f t="shared" si="30"/>
        <v>DATA</v>
      </c>
      <c r="B94" s="25"/>
      <c r="C94" s="25"/>
      <c r="D94" s="15">
        <f>IF(掉落_design!C94="","",掉落_design!C94)</f>
        <v>30400</v>
      </c>
      <c r="E94" s="15">
        <f>IF(A94="","",掉落_design!D94)</f>
        <v>1</v>
      </c>
      <c r="F94" s="16" t="str">
        <f ca="1">IF(OFFSET(掉落_design!$E94,0,掉落_design!E$2,1,1)="","",OFFSET(掉落_design!$E94,0,掉落_design!E$2,1,1)&amp;";"&amp;OFFSET(掉落_design!$E94,0,掉落_design!E$2+1,1,1)&amp;";"&amp;OFFSET(掉落_design!$E94,0,掉落_design!E$2+2,1,1)&amp;";"&amp;OFFSET(掉落_design!$E94,0,掉落_design!E$2+3,1,1))</f>
        <v>2100;1;1;10000</v>
      </c>
      <c r="G94" s="16" t="str">
        <f ca="1">IF(OFFSET(掉落_design!$E94,0,掉落_design!F$2,1,1)="","",OFFSET(掉落_design!$E94,0,掉落_design!F$2,1,1)&amp;";"&amp;OFFSET(掉落_design!$E94,0,掉落_design!F$2+1,1,1)&amp;";"&amp;OFFSET(掉落_design!$E94,0,掉落_design!F$2+2,1,1)&amp;";"&amp;OFFSET(掉落_design!$E94,0,掉落_design!F$2+3,1,1))</f>
        <v>1001;2000;2000;10000</v>
      </c>
      <c r="H94" s="16" t="str">
        <f ca="1">IF(OFFSET(掉落_design!$E94,0,掉落_design!G$2,1,1)="","",OFFSET(掉落_design!$E94,0,掉落_design!G$2,1,1)&amp;";"&amp;OFFSET(掉落_design!$E94,0,掉落_design!G$2+1,1,1)&amp;";"&amp;OFFSET(掉落_design!$E94,0,掉落_design!G$2+2,1,1)&amp;";"&amp;OFFSET(掉落_design!$E94,0,掉落_design!G$2+3,1,1))</f>
        <v>1200;5;5;10000</v>
      </c>
      <c r="I94" s="16" t="str">
        <f ca="1">IF(OFFSET(掉落_design!$E94,0,掉落_design!H$2,1,1)="","",OFFSET(掉落_design!$E94,0,掉落_design!H$2,1,1)&amp;";"&amp;OFFSET(掉落_design!$E94,0,掉落_design!H$2+1,1,1)&amp;";"&amp;OFFSET(掉落_design!$E94,0,掉落_design!H$2+2,1,1)&amp;";"&amp;OFFSET(掉落_design!$E94,0,掉落_design!H$2+3,1,1))</f>
        <v>1202;3;3;10000</v>
      </c>
      <c r="J94" s="16" t="str">
        <f ca="1">IF(OFFSET(掉落_design!$E94,0,掉落_design!I$2,1,1)="","",OFFSET(掉落_design!$E94,0,掉落_design!I$2,1,1)&amp;";"&amp;OFFSET(掉落_design!$E94,0,掉落_design!I$2+1,1,1)&amp;";"&amp;OFFSET(掉落_design!$E94,0,掉落_design!I$2+2,1,1)&amp;";"&amp;OFFSET(掉落_design!$E94,0,掉落_design!I$2+3,1,1))</f>
        <v/>
      </c>
      <c r="K94" s="16" t="str">
        <f ca="1">IF(OFFSET(掉落_design!$E94,0,掉落_design!J$2,1,1)="","",OFFSET(掉落_design!$E94,0,掉落_design!J$2,1,1)&amp;";"&amp;OFFSET(掉落_design!$E94,0,掉落_design!J$2+1,1,1)&amp;";"&amp;OFFSET(掉落_design!$E94,0,掉落_design!J$2+2,1,1)&amp;";"&amp;OFFSET(掉落_design!$E94,0,掉落_design!J$2+3,1,1))</f>
        <v/>
      </c>
      <c r="L94" s="16" t="str">
        <f ca="1">IF(OFFSET(掉落_design!$E94,0,掉落_design!K$2,1,1)="","",OFFSET(掉落_design!$E94,0,掉落_design!K$2,1,1)&amp;";"&amp;OFFSET(掉落_design!$E94,0,掉落_design!K$2+1,1,1)&amp;";"&amp;OFFSET(掉落_design!$E94,0,掉落_design!K$2+2,1,1)&amp;";"&amp;OFFSET(掉落_design!$E94,0,掉落_design!K$2+3,1,1))</f>
        <v/>
      </c>
      <c r="M94" s="16" t="str">
        <f ca="1">IF(OFFSET(掉落_design!$E94,0,掉落_design!L$2,1,1)="","",OFFSET(掉落_design!$E94,0,掉落_design!L$2,1,1)&amp;";"&amp;OFFSET(掉落_design!$E94,0,掉落_design!L$2+1,1,1)&amp;";"&amp;OFFSET(掉落_design!$E94,0,掉落_design!L$2+2,1,1)&amp;";"&amp;OFFSET(掉落_design!$E94,0,掉落_design!L$2+3,1,1))</f>
        <v/>
      </c>
      <c r="N94" s="16" t="str">
        <f ca="1">IF(OFFSET(掉落_design!$E94,0,掉落_design!M$2,1,1)="","",OFFSET(掉落_design!$E94,0,掉落_design!M$2,1,1)&amp;";"&amp;OFFSET(掉落_design!$E94,0,掉落_design!M$2+1,1,1)&amp;";"&amp;OFFSET(掉落_design!$E94,0,掉落_design!M$2+2,1,1)&amp;";"&amp;OFFSET(掉落_design!$E94,0,掉落_design!M$2+3,1,1))</f>
        <v/>
      </c>
      <c r="O94" s="16" t="str">
        <f ca="1">IF(OFFSET(掉落_design!$E94,0,掉落_design!N$2,1,1)="","",OFFSET(掉落_design!$E94,0,掉落_design!N$2,1,1)&amp;";"&amp;OFFSET(掉落_design!$E94,0,掉落_design!N$2+1,1,1)&amp;";"&amp;OFFSET(掉落_design!$E94,0,掉落_design!N$2+2,1,1)&amp;";"&amp;OFFSET(掉落_design!$E94,0,掉落_design!N$2+3,1,1))</f>
        <v/>
      </c>
      <c r="P94" s="16" t="str">
        <f ca="1">IF(OFFSET(掉落_design!$E94,0,掉落_design!O$2,1,1)="","",OFFSET(掉落_design!$E94,0,掉落_design!O$2,1,1)&amp;";"&amp;OFFSET(掉落_design!$E94,0,掉落_design!O$2+1,1,1)&amp;";"&amp;OFFSET(掉落_design!$E94,0,掉落_design!O$2+2,1,1)&amp;";"&amp;OFFSET(掉落_design!$E94,0,掉落_design!O$2+3,1,1))</f>
        <v/>
      </c>
      <c r="Q94" s="16" t="str">
        <f ca="1">IF(OFFSET(掉落_design!$E94,0,掉落_design!P$2,1,1)="","",OFFSET(掉落_design!$E94,0,掉落_design!P$2,1,1)&amp;";"&amp;OFFSET(掉落_design!$E94,0,掉落_design!P$2+1,1,1)&amp;";"&amp;OFFSET(掉落_design!$E94,0,掉落_design!P$2+2,1,1)&amp;";"&amp;OFFSET(掉落_design!$E94,0,掉落_design!P$2+3,1,1))</f>
        <v/>
      </c>
      <c r="R94" s="16" t="str">
        <f ca="1">IF(OFFSET(掉落_design!$E94,0,掉落_design!Q$2,1,1)="","",OFFSET(掉落_design!$E94,0,掉落_design!Q$2,1,1)&amp;";"&amp;OFFSET(掉落_design!$E94,0,掉落_design!Q$2+1,1,1)&amp;";"&amp;OFFSET(掉落_design!$E94,0,掉落_design!Q$2+2,1,1)&amp;";"&amp;OFFSET(掉落_design!$E94,0,掉落_design!Q$2+3,1,1))</f>
        <v/>
      </c>
      <c r="S94" s="16" t="str">
        <f ca="1">IF(OFFSET(掉落_design!$E94,0,掉落_design!R$2,1,1)="","",OFFSET(掉落_design!$E94,0,掉落_design!R$2,1,1)&amp;";"&amp;OFFSET(掉落_design!$E94,0,掉落_design!R$2+1,1,1)&amp;";"&amp;OFFSET(掉落_design!$E94,0,掉落_design!R$2+2,1,1)&amp;";"&amp;OFFSET(掉落_design!$E94,0,掉落_design!R$2+3,1,1))</f>
        <v/>
      </c>
      <c r="T94" s="16" t="str">
        <f ca="1">IF(OFFSET(掉落_design!$E94,0,掉落_design!S$2,1,1)="","",OFFSET(掉落_design!$E94,0,掉落_design!S$2,1,1)&amp;";"&amp;OFFSET(掉落_design!$E94,0,掉落_design!S$2+1,1,1)&amp;";"&amp;OFFSET(掉落_design!$E94,0,掉落_design!S$2+2,1,1)&amp;";"&amp;OFFSET(掉落_design!$E94,0,掉落_design!S$2+3,1,1))</f>
        <v/>
      </c>
      <c r="U94" s="16" t="str">
        <f ca="1">IF(OFFSET(掉落_design!$E94,0,掉落_design!T$2,1,1)="","",OFFSET(掉落_design!$E94,0,掉落_design!T$2,1,1)&amp;";"&amp;OFFSET(掉落_design!$E94,0,掉落_design!T$2+1,1,1)&amp;";"&amp;OFFSET(掉落_design!$E94,0,掉落_design!T$2+2,1,1)&amp;";"&amp;OFFSET(掉落_design!$E94,0,掉落_design!T$2+3,1,1))</f>
        <v/>
      </c>
      <c r="V94" s="16" t="str">
        <f ca="1">IF(OFFSET(掉落_design!$E94,0,掉落_design!U$2,1,1)="","",OFFSET(掉落_design!$E94,0,掉落_design!U$2,1,1)&amp;";"&amp;OFFSET(掉落_design!$E94,0,掉落_design!U$2+1,1,1)&amp;";"&amp;OFFSET(掉落_design!$E94,0,掉落_design!U$2+2,1,1)&amp;";"&amp;OFFSET(掉落_design!$E94,0,掉落_design!U$2+3,1,1))</f>
        <v/>
      </c>
      <c r="W94" s="16" t="str">
        <f ca="1">IF(OFFSET(掉落_design!$E94,0,掉落_design!V$2,1,1)="","",OFFSET(掉落_design!$E94,0,掉落_design!V$2,1,1)&amp;";"&amp;OFFSET(掉落_design!$E94,0,掉落_design!V$2+1,1,1)&amp;";"&amp;OFFSET(掉落_design!$E94,0,掉落_design!V$2+2,1,1)&amp;";"&amp;OFFSET(掉落_design!$E94,0,掉落_design!V$2+3,1,1))</f>
        <v/>
      </c>
      <c r="X94" s="16" t="str">
        <f ca="1">IF(OFFSET(掉落_design!$E94,0,掉落_design!W$2,1,1)="","",OFFSET(掉落_design!$E94,0,掉落_design!W$2,1,1)&amp;";"&amp;OFFSET(掉落_design!$E94,0,掉落_design!W$2+1,1,1)&amp;";"&amp;OFFSET(掉落_design!$E94,0,掉落_design!W$2+2,1,1)&amp;";"&amp;OFFSET(掉落_design!$E94,0,掉落_design!W$2+3,1,1))</f>
        <v/>
      </c>
      <c r="Y94" s="16" t="str">
        <f ca="1">IF(OFFSET(掉落_design!$E94,0,掉落_design!X$2,1,1)="","",OFFSET(掉落_design!$E94,0,掉落_design!X$2,1,1)&amp;";"&amp;OFFSET(掉落_design!$E94,0,掉落_design!X$2+1,1,1)&amp;";"&amp;OFFSET(掉落_design!$E94,0,掉落_design!X$2+2,1,1)&amp;";"&amp;OFFSET(掉落_design!$E94,0,掉落_design!X$2+3,1,1))</f>
        <v/>
      </c>
    </row>
    <row r="95" spans="1:25" x14ac:dyDescent="0.15">
      <c r="A95" s="11" t="str">
        <f t="shared" si="30"/>
        <v>DATA</v>
      </c>
      <c r="B95" s="25"/>
      <c r="C95" s="25"/>
      <c r="D95" s="15">
        <f>IF(掉落_design!C95="","",掉落_design!C95)</f>
        <v>30401</v>
      </c>
      <c r="E95" s="15">
        <f>IF(A95="","",掉落_design!D95)</f>
        <v>1</v>
      </c>
      <c r="F95" s="16" t="str">
        <f ca="1">IF(OFFSET(掉落_design!$E95,0,掉落_design!E$2,1,1)="","",OFFSET(掉落_design!$E95,0,掉落_design!E$2,1,1)&amp;";"&amp;OFFSET(掉落_design!$E95,0,掉落_design!E$2+1,1,1)&amp;";"&amp;OFFSET(掉落_design!$E95,0,掉落_design!E$2+2,1,1)&amp;";"&amp;OFFSET(掉落_design!$E95,0,掉落_design!E$2+3,1,1))</f>
        <v>2200;1;1;10000</v>
      </c>
      <c r="G95" s="16" t="str">
        <f ca="1">IF(OFFSET(掉落_design!$E95,0,掉落_design!F$2,1,1)="","",OFFSET(掉落_design!$E95,0,掉落_design!F$2,1,1)&amp;";"&amp;OFFSET(掉落_design!$E95,0,掉落_design!F$2+1,1,1)&amp;";"&amp;OFFSET(掉落_design!$E95,0,掉落_design!F$2+2,1,1)&amp;";"&amp;OFFSET(掉落_design!$E95,0,掉落_design!F$2+3,1,1))</f>
        <v/>
      </c>
      <c r="H95" s="16" t="str">
        <f ca="1">IF(OFFSET(掉落_design!$E95,0,掉落_design!G$2,1,1)="","",OFFSET(掉落_design!$E95,0,掉落_design!G$2,1,1)&amp;";"&amp;OFFSET(掉落_design!$E95,0,掉落_design!G$2+1,1,1)&amp;";"&amp;OFFSET(掉落_design!$E95,0,掉落_design!G$2+2,1,1)&amp;";"&amp;OFFSET(掉落_design!$E95,0,掉落_design!G$2+3,1,1))</f>
        <v/>
      </c>
      <c r="I95" s="16" t="str">
        <f ca="1">IF(OFFSET(掉落_design!$E95,0,掉落_design!H$2,1,1)="","",OFFSET(掉落_design!$E95,0,掉落_design!H$2,1,1)&amp;";"&amp;OFFSET(掉落_design!$E95,0,掉落_design!H$2+1,1,1)&amp;";"&amp;OFFSET(掉落_design!$E95,0,掉落_design!H$2+2,1,1)&amp;";"&amp;OFFSET(掉落_design!$E95,0,掉落_design!H$2+3,1,1))</f>
        <v/>
      </c>
      <c r="J95" s="16" t="str">
        <f ca="1">IF(OFFSET(掉落_design!$E95,0,掉落_design!I$2,1,1)="","",OFFSET(掉落_design!$E95,0,掉落_design!I$2,1,1)&amp;";"&amp;OFFSET(掉落_design!$E95,0,掉落_design!I$2+1,1,1)&amp;";"&amp;OFFSET(掉落_design!$E95,0,掉落_design!I$2+2,1,1)&amp;";"&amp;OFFSET(掉落_design!$E95,0,掉落_design!I$2+3,1,1))</f>
        <v/>
      </c>
      <c r="K95" s="16" t="str">
        <f ca="1">IF(OFFSET(掉落_design!$E95,0,掉落_design!J$2,1,1)="","",OFFSET(掉落_design!$E95,0,掉落_design!J$2,1,1)&amp;";"&amp;OFFSET(掉落_design!$E95,0,掉落_design!J$2+1,1,1)&amp;";"&amp;OFFSET(掉落_design!$E95,0,掉落_design!J$2+2,1,1)&amp;";"&amp;OFFSET(掉落_design!$E95,0,掉落_design!J$2+3,1,1))</f>
        <v/>
      </c>
      <c r="L95" s="16" t="str">
        <f ca="1">IF(OFFSET(掉落_design!$E95,0,掉落_design!K$2,1,1)="","",OFFSET(掉落_design!$E95,0,掉落_design!K$2,1,1)&amp;";"&amp;OFFSET(掉落_design!$E95,0,掉落_design!K$2+1,1,1)&amp;";"&amp;OFFSET(掉落_design!$E95,0,掉落_design!K$2+2,1,1)&amp;";"&amp;OFFSET(掉落_design!$E95,0,掉落_design!K$2+3,1,1))</f>
        <v/>
      </c>
      <c r="M95" s="16" t="str">
        <f ca="1">IF(OFFSET(掉落_design!$E95,0,掉落_design!L$2,1,1)="","",OFFSET(掉落_design!$E95,0,掉落_design!L$2,1,1)&amp;";"&amp;OFFSET(掉落_design!$E95,0,掉落_design!L$2+1,1,1)&amp;";"&amp;OFFSET(掉落_design!$E95,0,掉落_design!L$2+2,1,1)&amp;";"&amp;OFFSET(掉落_design!$E95,0,掉落_design!L$2+3,1,1))</f>
        <v/>
      </c>
      <c r="N95" s="16" t="str">
        <f ca="1">IF(OFFSET(掉落_design!$E95,0,掉落_design!M$2,1,1)="","",OFFSET(掉落_design!$E95,0,掉落_design!M$2,1,1)&amp;";"&amp;OFFSET(掉落_design!$E95,0,掉落_design!M$2+1,1,1)&amp;";"&amp;OFFSET(掉落_design!$E95,0,掉落_design!M$2+2,1,1)&amp;";"&amp;OFFSET(掉落_design!$E95,0,掉落_design!M$2+3,1,1))</f>
        <v/>
      </c>
      <c r="O95" s="16" t="str">
        <f ca="1">IF(OFFSET(掉落_design!$E95,0,掉落_design!N$2,1,1)="","",OFFSET(掉落_design!$E95,0,掉落_design!N$2,1,1)&amp;";"&amp;OFFSET(掉落_design!$E95,0,掉落_design!N$2+1,1,1)&amp;";"&amp;OFFSET(掉落_design!$E95,0,掉落_design!N$2+2,1,1)&amp;";"&amp;OFFSET(掉落_design!$E95,0,掉落_design!N$2+3,1,1))</f>
        <v/>
      </c>
      <c r="P95" s="16" t="str">
        <f ca="1">IF(OFFSET(掉落_design!$E95,0,掉落_design!O$2,1,1)="","",OFFSET(掉落_design!$E95,0,掉落_design!O$2,1,1)&amp;";"&amp;OFFSET(掉落_design!$E95,0,掉落_design!O$2+1,1,1)&amp;";"&amp;OFFSET(掉落_design!$E95,0,掉落_design!O$2+2,1,1)&amp;";"&amp;OFFSET(掉落_design!$E95,0,掉落_design!O$2+3,1,1))</f>
        <v/>
      </c>
      <c r="Q95" s="16" t="str">
        <f ca="1">IF(OFFSET(掉落_design!$E95,0,掉落_design!P$2,1,1)="","",OFFSET(掉落_design!$E95,0,掉落_design!P$2,1,1)&amp;";"&amp;OFFSET(掉落_design!$E95,0,掉落_design!P$2+1,1,1)&amp;";"&amp;OFFSET(掉落_design!$E95,0,掉落_design!P$2+2,1,1)&amp;";"&amp;OFFSET(掉落_design!$E95,0,掉落_design!P$2+3,1,1))</f>
        <v/>
      </c>
      <c r="R95" s="16" t="str">
        <f ca="1">IF(OFFSET(掉落_design!$E95,0,掉落_design!Q$2,1,1)="","",OFFSET(掉落_design!$E95,0,掉落_design!Q$2,1,1)&amp;";"&amp;OFFSET(掉落_design!$E95,0,掉落_design!Q$2+1,1,1)&amp;";"&amp;OFFSET(掉落_design!$E95,0,掉落_design!Q$2+2,1,1)&amp;";"&amp;OFFSET(掉落_design!$E95,0,掉落_design!Q$2+3,1,1))</f>
        <v/>
      </c>
      <c r="S95" s="16" t="str">
        <f ca="1">IF(OFFSET(掉落_design!$E95,0,掉落_design!R$2,1,1)="","",OFFSET(掉落_design!$E95,0,掉落_design!R$2,1,1)&amp;";"&amp;OFFSET(掉落_design!$E95,0,掉落_design!R$2+1,1,1)&amp;";"&amp;OFFSET(掉落_design!$E95,0,掉落_design!R$2+2,1,1)&amp;";"&amp;OFFSET(掉落_design!$E95,0,掉落_design!R$2+3,1,1))</f>
        <v/>
      </c>
      <c r="T95" s="16" t="str">
        <f ca="1">IF(OFFSET(掉落_design!$E95,0,掉落_design!S$2,1,1)="","",OFFSET(掉落_design!$E95,0,掉落_design!S$2,1,1)&amp;";"&amp;OFFSET(掉落_design!$E95,0,掉落_design!S$2+1,1,1)&amp;";"&amp;OFFSET(掉落_design!$E95,0,掉落_design!S$2+2,1,1)&amp;";"&amp;OFFSET(掉落_design!$E95,0,掉落_design!S$2+3,1,1))</f>
        <v/>
      </c>
      <c r="U95" s="16" t="str">
        <f ca="1">IF(OFFSET(掉落_design!$E95,0,掉落_design!T$2,1,1)="","",OFFSET(掉落_design!$E95,0,掉落_design!T$2,1,1)&amp;";"&amp;OFFSET(掉落_design!$E95,0,掉落_design!T$2+1,1,1)&amp;";"&amp;OFFSET(掉落_design!$E95,0,掉落_design!T$2+2,1,1)&amp;";"&amp;OFFSET(掉落_design!$E95,0,掉落_design!T$2+3,1,1))</f>
        <v/>
      </c>
      <c r="V95" s="16" t="str">
        <f ca="1">IF(OFFSET(掉落_design!$E95,0,掉落_design!U$2,1,1)="","",OFFSET(掉落_design!$E95,0,掉落_design!U$2,1,1)&amp;";"&amp;OFFSET(掉落_design!$E95,0,掉落_design!U$2+1,1,1)&amp;";"&amp;OFFSET(掉落_design!$E95,0,掉落_design!U$2+2,1,1)&amp;";"&amp;OFFSET(掉落_design!$E95,0,掉落_design!U$2+3,1,1))</f>
        <v/>
      </c>
      <c r="W95" s="16" t="str">
        <f ca="1">IF(OFFSET(掉落_design!$E95,0,掉落_design!V$2,1,1)="","",OFFSET(掉落_design!$E95,0,掉落_design!V$2,1,1)&amp;";"&amp;OFFSET(掉落_design!$E95,0,掉落_design!V$2+1,1,1)&amp;";"&amp;OFFSET(掉落_design!$E95,0,掉落_design!V$2+2,1,1)&amp;";"&amp;OFFSET(掉落_design!$E95,0,掉落_design!V$2+3,1,1))</f>
        <v/>
      </c>
      <c r="X95" s="16" t="str">
        <f ca="1">IF(OFFSET(掉落_design!$E95,0,掉落_design!W$2,1,1)="","",OFFSET(掉落_design!$E95,0,掉落_design!W$2,1,1)&amp;";"&amp;OFFSET(掉落_design!$E95,0,掉落_design!W$2+1,1,1)&amp;";"&amp;OFFSET(掉落_design!$E95,0,掉落_design!W$2+2,1,1)&amp;";"&amp;OFFSET(掉落_design!$E95,0,掉落_design!W$2+3,1,1))</f>
        <v/>
      </c>
      <c r="Y95" s="16" t="str">
        <f ca="1">IF(OFFSET(掉落_design!$E95,0,掉落_design!X$2,1,1)="","",OFFSET(掉落_design!$E95,0,掉落_design!X$2,1,1)&amp;";"&amp;OFFSET(掉落_design!$E95,0,掉落_design!X$2+1,1,1)&amp;";"&amp;OFFSET(掉落_design!$E95,0,掉落_design!X$2+2,1,1)&amp;";"&amp;OFFSET(掉落_design!$E95,0,掉落_design!X$2+3,1,1))</f>
        <v/>
      </c>
    </row>
    <row r="96" spans="1:25" x14ac:dyDescent="0.15">
      <c r="A96" s="11" t="str">
        <f t="shared" si="30"/>
        <v>DATA</v>
      </c>
      <c r="B96" s="25"/>
      <c r="C96" s="25"/>
      <c r="D96" s="15">
        <f>IF(掉落_design!C96="","",掉落_design!C96)</f>
        <v>30402</v>
      </c>
      <c r="E96" s="15">
        <f>IF(A96="","",掉落_design!D96)</f>
        <v>1</v>
      </c>
      <c r="F96" s="16" t="str">
        <f ca="1">IF(OFFSET(掉落_design!$E96,0,掉落_design!E$2,1,1)="","",OFFSET(掉落_design!$E96,0,掉落_design!E$2,1,1)&amp;";"&amp;OFFSET(掉落_design!$E96,0,掉落_design!E$2+1,1,1)&amp;";"&amp;OFFSET(掉落_design!$E96,0,掉落_design!E$2+2,1,1)&amp;";"&amp;OFFSET(掉落_design!$E96,0,掉落_design!E$2+3,1,1))</f>
        <v>2300;1;1;10000</v>
      </c>
      <c r="G96" s="16" t="str">
        <f ca="1">IF(OFFSET(掉落_design!$E96,0,掉落_design!F$2,1,1)="","",OFFSET(掉落_design!$E96,0,掉落_design!F$2,1,1)&amp;";"&amp;OFFSET(掉落_design!$E96,0,掉落_design!F$2+1,1,1)&amp;";"&amp;OFFSET(掉落_design!$E96,0,掉落_design!F$2+2,1,1)&amp;";"&amp;OFFSET(掉落_design!$E96,0,掉落_design!F$2+3,1,1))</f>
        <v>1001;3000;3000;10000</v>
      </c>
      <c r="H96" s="16" t="str">
        <f ca="1">IF(OFFSET(掉落_design!$E96,0,掉落_design!G$2,1,1)="","",OFFSET(掉落_design!$E96,0,掉落_design!G$2,1,1)&amp;";"&amp;OFFSET(掉落_design!$E96,0,掉落_design!G$2+1,1,1)&amp;";"&amp;OFFSET(掉落_design!$E96,0,掉落_design!G$2+2,1,1)&amp;";"&amp;OFFSET(掉落_design!$E96,0,掉落_design!G$2+3,1,1))</f>
        <v>1200;6;6;10000</v>
      </c>
      <c r="I96" s="16" t="str">
        <f ca="1">IF(OFFSET(掉落_design!$E96,0,掉落_design!H$2,1,1)="","",OFFSET(掉落_design!$E96,0,掉落_design!H$2,1,1)&amp;";"&amp;OFFSET(掉落_design!$E96,0,掉落_design!H$2+1,1,1)&amp;";"&amp;OFFSET(掉落_design!$E96,0,掉落_design!H$2+2,1,1)&amp;";"&amp;OFFSET(掉落_design!$E96,0,掉落_design!H$2+3,1,1))</f>
        <v>1202;5;5;10000</v>
      </c>
      <c r="J96" s="16" t="str">
        <f ca="1">IF(OFFSET(掉落_design!$E96,0,掉落_design!I$2,1,1)="","",OFFSET(掉落_design!$E96,0,掉落_design!I$2,1,1)&amp;";"&amp;OFFSET(掉落_design!$E96,0,掉落_design!I$2+1,1,1)&amp;";"&amp;OFFSET(掉落_design!$E96,0,掉落_design!I$2+2,1,1)&amp;";"&amp;OFFSET(掉落_design!$E96,0,掉落_design!I$2+3,1,1))</f>
        <v/>
      </c>
      <c r="K96" s="16" t="str">
        <f ca="1">IF(OFFSET(掉落_design!$E96,0,掉落_design!J$2,1,1)="","",OFFSET(掉落_design!$E96,0,掉落_design!J$2,1,1)&amp;";"&amp;OFFSET(掉落_design!$E96,0,掉落_design!J$2+1,1,1)&amp;";"&amp;OFFSET(掉落_design!$E96,0,掉落_design!J$2+2,1,1)&amp;";"&amp;OFFSET(掉落_design!$E96,0,掉落_design!J$2+3,1,1))</f>
        <v/>
      </c>
      <c r="L96" s="16" t="str">
        <f ca="1">IF(OFFSET(掉落_design!$E96,0,掉落_design!K$2,1,1)="","",OFFSET(掉落_design!$E96,0,掉落_design!K$2,1,1)&amp;";"&amp;OFFSET(掉落_design!$E96,0,掉落_design!K$2+1,1,1)&amp;";"&amp;OFFSET(掉落_design!$E96,0,掉落_design!K$2+2,1,1)&amp;";"&amp;OFFSET(掉落_design!$E96,0,掉落_design!K$2+3,1,1))</f>
        <v/>
      </c>
      <c r="M96" s="16" t="str">
        <f ca="1">IF(OFFSET(掉落_design!$E96,0,掉落_design!L$2,1,1)="","",OFFSET(掉落_design!$E96,0,掉落_design!L$2,1,1)&amp;";"&amp;OFFSET(掉落_design!$E96,0,掉落_design!L$2+1,1,1)&amp;";"&amp;OFFSET(掉落_design!$E96,0,掉落_design!L$2+2,1,1)&amp;";"&amp;OFFSET(掉落_design!$E96,0,掉落_design!L$2+3,1,1))</f>
        <v/>
      </c>
      <c r="N96" s="16" t="str">
        <f ca="1">IF(OFFSET(掉落_design!$E96,0,掉落_design!M$2,1,1)="","",OFFSET(掉落_design!$E96,0,掉落_design!M$2,1,1)&amp;";"&amp;OFFSET(掉落_design!$E96,0,掉落_design!M$2+1,1,1)&amp;";"&amp;OFFSET(掉落_design!$E96,0,掉落_design!M$2+2,1,1)&amp;";"&amp;OFFSET(掉落_design!$E96,0,掉落_design!M$2+3,1,1))</f>
        <v/>
      </c>
      <c r="O96" s="16" t="str">
        <f ca="1">IF(OFFSET(掉落_design!$E96,0,掉落_design!N$2,1,1)="","",OFFSET(掉落_design!$E96,0,掉落_design!N$2,1,1)&amp;";"&amp;OFFSET(掉落_design!$E96,0,掉落_design!N$2+1,1,1)&amp;";"&amp;OFFSET(掉落_design!$E96,0,掉落_design!N$2+2,1,1)&amp;";"&amp;OFFSET(掉落_design!$E96,0,掉落_design!N$2+3,1,1))</f>
        <v/>
      </c>
      <c r="P96" s="16" t="str">
        <f ca="1">IF(OFFSET(掉落_design!$E96,0,掉落_design!O$2,1,1)="","",OFFSET(掉落_design!$E96,0,掉落_design!O$2,1,1)&amp;";"&amp;OFFSET(掉落_design!$E96,0,掉落_design!O$2+1,1,1)&amp;";"&amp;OFFSET(掉落_design!$E96,0,掉落_design!O$2+2,1,1)&amp;";"&amp;OFFSET(掉落_design!$E96,0,掉落_design!O$2+3,1,1))</f>
        <v/>
      </c>
      <c r="Q96" s="16" t="str">
        <f ca="1">IF(OFFSET(掉落_design!$E96,0,掉落_design!P$2,1,1)="","",OFFSET(掉落_design!$E96,0,掉落_design!P$2,1,1)&amp;";"&amp;OFFSET(掉落_design!$E96,0,掉落_design!P$2+1,1,1)&amp;";"&amp;OFFSET(掉落_design!$E96,0,掉落_design!P$2+2,1,1)&amp;";"&amp;OFFSET(掉落_design!$E96,0,掉落_design!P$2+3,1,1))</f>
        <v/>
      </c>
      <c r="R96" s="16" t="str">
        <f ca="1">IF(OFFSET(掉落_design!$E96,0,掉落_design!Q$2,1,1)="","",OFFSET(掉落_design!$E96,0,掉落_design!Q$2,1,1)&amp;";"&amp;OFFSET(掉落_design!$E96,0,掉落_design!Q$2+1,1,1)&amp;";"&amp;OFFSET(掉落_design!$E96,0,掉落_design!Q$2+2,1,1)&amp;";"&amp;OFFSET(掉落_design!$E96,0,掉落_design!Q$2+3,1,1))</f>
        <v/>
      </c>
      <c r="S96" s="16" t="str">
        <f ca="1">IF(OFFSET(掉落_design!$E96,0,掉落_design!R$2,1,1)="","",OFFSET(掉落_design!$E96,0,掉落_design!R$2,1,1)&amp;";"&amp;OFFSET(掉落_design!$E96,0,掉落_design!R$2+1,1,1)&amp;";"&amp;OFFSET(掉落_design!$E96,0,掉落_design!R$2+2,1,1)&amp;";"&amp;OFFSET(掉落_design!$E96,0,掉落_design!R$2+3,1,1))</f>
        <v/>
      </c>
      <c r="T96" s="16" t="str">
        <f ca="1">IF(OFFSET(掉落_design!$E96,0,掉落_design!S$2,1,1)="","",OFFSET(掉落_design!$E96,0,掉落_design!S$2,1,1)&amp;";"&amp;OFFSET(掉落_design!$E96,0,掉落_design!S$2+1,1,1)&amp;";"&amp;OFFSET(掉落_design!$E96,0,掉落_design!S$2+2,1,1)&amp;";"&amp;OFFSET(掉落_design!$E96,0,掉落_design!S$2+3,1,1))</f>
        <v/>
      </c>
      <c r="U96" s="16" t="str">
        <f ca="1">IF(OFFSET(掉落_design!$E96,0,掉落_design!T$2,1,1)="","",OFFSET(掉落_design!$E96,0,掉落_design!T$2,1,1)&amp;";"&amp;OFFSET(掉落_design!$E96,0,掉落_design!T$2+1,1,1)&amp;";"&amp;OFFSET(掉落_design!$E96,0,掉落_design!T$2+2,1,1)&amp;";"&amp;OFFSET(掉落_design!$E96,0,掉落_design!T$2+3,1,1))</f>
        <v/>
      </c>
      <c r="V96" s="16" t="str">
        <f ca="1">IF(OFFSET(掉落_design!$E96,0,掉落_design!U$2,1,1)="","",OFFSET(掉落_design!$E96,0,掉落_design!U$2,1,1)&amp;";"&amp;OFFSET(掉落_design!$E96,0,掉落_design!U$2+1,1,1)&amp;";"&amp;OFFSET(掉落_design!$E96,0,掉落_design!U$2+2,1,1)&amp;";"&amp;OFFSET(掉落_design!$E96,0,掉落_design!U$2+3,1,1))</f>
        <v/>
      </c>
      <c r="W96" s="16" t="str">
        <f ca="1">IF(OFFSET(掉落_design!$E96,0,掉落_design!V$2,1,1)="","",OFFSET(掉落_design!$E96,0,掉落_design!V$2,1,1)&amp;";"&amp;OFFSET(掉落_design!$E96,0,掉落_design!V$2+1,1,1)&amp;";"&amp;OFFSET(掉落_design!$E96,0,掉落_design!V$2+2,1,1)&amp;";"&amp;OFFSET(掉落_design!$E96,0,掉落_design!V$2+3,1,1))</f>
        <v/>
      </c>
      <c r="X96" s="16" t="str">
        <f ca="1">IF(OFFSET(掉落_design!$E96,0,掉落_design!W$2,1,1)="","",OFFSET(掉落_design!$E96,0,掉落_design!W$2,1,1)&amp;";"&amp;OFFSET(掉落_design!$E96,0,掉落_design!W$2+1,1,1)&amp;";"&amp;OFFSET(掉落_design!$E96,0,掉落_design!W$2+2,1,1)&amp;";"&amp;OFFSET(掉落_design!$E96,0,掉落_design!W$2+3,1,1))</f>
        <v/>
      </c>
      <c r="Y96" s="16" t="str">
        <f ca="1">IF(OFFSET(掉落_design!$E96,0,掉落_design!X$2,1,1)="","",OFFSET(掉落_design!$E96,0,掉落_design!X$2,1,1)&amp;";"&amp;OFFSET(掉落_design!$E96,0,掉落_design!X$2+1,1,1)&amp;";"&amp;OFFSET(掉落_design!$E96,0,掉落_design!X$2+2,1,1)&amp;";"&amp;OFFSET(掉落_design!$E96,0,掉落_design!X$2+3,1,1))</f>
        <v/>
      </c>
    </row>
    <row r="97" spans="1:25" x14ac:dyDescent="0.15">
      <c r="A97" s="11" t="str">
        <f t="shared" si="30"/>
        <v>DATA</v>
      </c>
      <c r="B97" s="25"/>
      <c r="C97" s="25"/>
      <c r="D97" s="15">
        <f>IF(掉落_design!C97="","",掉落_design!C97)</f>
        <v>30403</v>
      </c>
      <c r="E97" s="15">
        <f>IF(A97="","",掉落_design!D97)</f>
        <v>1</v>
      </c>
      <c r="F97" s="16" t="str">
        <f ca="1">IF(OFFSET(掉落_design!$E97,0,掉落_design!E$2,1,1)="","",OFFSET(掉落_design!$E97,0,掉落_design!E$2,1,1)&amp;";"&amp;OFFSET(掉落_design!$E97,0,掉落_design!E$2+1,1,1)&amp;";"&amp;OFFSET(掉落_design!$E97,0,掉落_design!E$2+2,1,1)&amp;";"&amp;OFFSET(掉落_design!$E97,0,掉落_design!E$2+3,1,1))</f>
        <v>2400;1;1;10000</v>
      </c>
      <c r="G97" s="16" t="str">
        <f ca="1">IF(OFFSET(掉落_design!$E97,0,掉落_design!F$2,1,1)="","",OFFSET(掉落_design!$E97,0,掉落_design!F$2,1,1)&amp;";"&amp;OFFSET(掉落_design!$E97,0,掉落_design!F$2+1,1,1)&amp;";"&amp;OFFSET(掉落_design!$E97,0,掉落_design!F$2+2,1,1)&amp;";"&amp;OFFSET(掉落_design!$E97,0,掉落_design!F$2+3,1,1))</f>
        <v>1001;5000;5000;10000</v>
      </c>
      <c r="H97" s="16" t="str">
        <f ca="1">IF(OFFSET(掉落_design!$E97,0,掉落_design!G$2,1,1)="","",OFFSET(掉落_design!$E97,0,掉落_design!G$2,1,1)&amp;";"&amp;OFFSET(掉落_design!$E97,0,掉落_design!G$2+1,1,1)&amp;";"&amp;OFFSET(掉落_design!$E97,0,掉落_design!G$2+2,1,1)&amp;";"&amp;OFFSET(掉落_design!$E97,0,掉落_design!G$2+3,1,1))</f>
        <v>1200;7;7;10000</v>
      </c>
      <c r="I97" s="16" t="str">
        <f ca="1">IF(OFFSET(掉落_design!$E97,0,掉落_design!H$2,1,1)="","",OFFSET(掉落_design!$E97,0,掉落_design!H$2,1,1)&amp;";"&amp;OFFSET(掉落_design!$E97,0,掉落_design!H$2+1,1,1)&amp;";"&amp;OFFSET(掉落_design!$E97,0,掉落_design!H$2+2,1,1)&amp;";"&amp;OFFSET(掉落_design!$E97,0,掉落_design!H$2+3,1,1))</f>
        <v>1202;6;6;10000</v>
      </c>
      <c r="J97" s="16" t="str">
        <f ca="1">IF(OFFSET(掉落_design!$E97,0,掉落_design!I$2,1,1)="","",OFFSET(掉落_design!$E97,0,掉落_design!I$2,1,1)&amp;";"&amp;OFFSET(掉落_design!$E97,0,掉落_design!I$2+1,1,1)&amp;";"&amp;OFFSET(掉落_design!$E97,0,掉落_design!I$2+2,1,1)&amp;";"&amp;OFFSET(掉落_design!$E97,0,掉落_design!I$2+3,1,1))</f>
        <v/>
      </c>
      <c r="K97" s="16" t="str">
        <f ca="1">IF(OFFSET(掉落_design!$E97,0,掉落_design!J$2,1,1)="","",OFFSET(掉落_design!$E97,0,掉落_design!J$2,1,1)&amp;";"&amp;OFFSET(掉落_design!$E97,0,掉落_design!J$2+1,1,1)&amp;";"&amp;OFFSET(掉落_design!$E97,0,掉落_design!J$2+2,1,1)&amp;";"&amp;OFFSET(掉落_design!$E97,0,掉落_design!J$2+3,1,1))</f>
        <v/>
      </c>
      <c r="L97" s="16" t="str">
        <f ca="1">IF(OFFSET(掉落_design!$E97,0,掉落_design!K$2,1,1)="","",OFFSET(掉落_design!$E97,0,掉落_design!K$2,1,1)&amp;";"&amp;OFFSET(掉落_design!$E97,0,掉落_design!K$2+1,1,1)&amp;";"&amp;OFFSET(掉落_design!$E97,0,掉落_design!K$2+2,1,1)&amp;";"&amp;OFFSET(掉落_design!$E97,0,掉落_design!K$2+3,1,1))</f>
        <v/>
      </c>
      <c r="M97" s="16" t="str">
        <f ca="1">IF(OFFSET(掉落_design!$E97,0,掉落_design!L$2,1,1)="","",OFFSET(掉落_design!$E97,0,掉落_design!L$2,1,1)&amp;";"&amp;OFFSET(掉落_design!$E97,0,掉落_design!L$2+1,1,1)&amp;";"&amp;OFFSET(掉落_design!$E97,0,掉落_design!L$2+2,1,1)&amp;";"&amp;OFFSET(掉落_design!$E97,0,掉落_design!L$2+3,1,1))</f>
        <v/>
      </c>
      <c r="N97" s="16" t="str">
        <f ca="1">IF(OFFSET(掉落_design!$E97,0,掉落_design!M$2,1,1)="","",OFFSET(掉落_design!$E97,0,掉落_design!M$2,1,1)&amp;";"&amp;OFFSET(掉落_design!$E97,0,掉落_design!M$2+1,1,1)&amp;";"&amp;OFFSET(掉落_design!$E97,0,掉落_design!M$2+2,1,1)&amp;";"&amp;OFFSET(掉落_design!$E97,0,掉落_design!M$2+3,1,1))</f>
        <v/>
      </c>
      <c r="O97" s="16" t="str">
        <f ca="1">IF(OFFSET(掉落_design!$E97,0,掉落_design!N$2,1,1)="","",OFFSET(掉落_design!$E97,0,掉落_design!N$2,1,1)&amp;";"&amp;OFFSET(掉落_design!$E97,0,掉落_design!N$2+1,1,1)&amp;";"&amp;OFFSET(掉落_design!$E97,0,掉落_design!N$2+2,1,1)&amp;";"&amp;OFFSET(掉落_design!$E97,0,掉落_design!N$2+3,1,1))</f>
        <v/>
      </c>
      <c r="P97" s="16" t="str">
        <f ca="1">IF(OFFSET(掉落_design!$E97,0,掉落_design!O$2,1,1)="","",OFFSET(掉落_design!$E97,0,掉落_design!O$2,1,1)&amp;";"&amp;OFFSET(掉落_design!$E97,0,掉落_design!O$2+1,1,1)&amp;";"&amp;OFFSET(掉落_design!$E97,0,掉落_design!O$2+2,1,1)&amp;";"&amp;OFFSET(掉落_design!$E97,0,掉落_design!O$2+3,1,1))</f>
        <v/>
      </c>
      <c r="Q97" s="16" t="str">
        <f ca="1">IF(OFFSET(掉落_design!$E97,0,掉落_design!P$2,1,1)="","",OFFSET(掉落_design!$E97,0,掉落_design!P$2,1,1)&amp;";"&amp;OFFSET(掉落_design!$E97,0,掉落_design!P$2+1,1,1)&amp;";"&amp;OFFSET(掉落_design!$E97,0,掉落_design!P$2+2,1,1)&amp;";"&amp;OFFSET(掉落_design!$E97,0,掉落_design!P$2+3,1,1))</f>
        <v/>
      </c>
      <c r="R97" s="16" t="str">
        <f ca="1">IF(OFFSET(掉落_design!$E97,0,掉落_design!Q$2,1,1)="","",OFFSET(掉落_design!$E97,0,掉落_design!Q$2,1,1)&amp;";"&amp;OFFSET(掉落_design!$E97,0,掉落_design!Q$2+1,1,1)&amp;";"&amp;OFFSET(掉落_design!$E97,0,掉落_design!Q$2+2,1,1)&amp;";"&amp;OFFSET(掉落_design!$E97,0,掉落_design!Q$2+3,1,1))</f>
        <v/>
      </c>
      <c r="S97" s="16" t="str">
        <f ca="1">IF(OFFSET(掉落_design!$E97,0,掉落_design!R$2,1,1)="","",OFFSET(掉落_design!$E97,0,掉落_design!R$2,1,1)&amp;";"&amp;OFFSET(掉落_design!$E97,0,掉落_design!R$2+1,1,1)&amp;";"&amp;OFFSET(掉落_design!$E97,0,掉落_design!R$2+2,1,1)&amp;";"&amp;OFFSET(掉落_design!$E97,0,掉落_design!R$2+3,1,1))</f>
        <v/>
      </c>
      <c r="T97" s="16" t="str">
        <f ca="1">IF(OFFSET(掉落_design!$E97,0,掉落_design!S$2,1,1)="","",OFFSET(掉落_design!$E97,0,掉落_design!S$2,1,1)&amp;";"&amp;OFFSET(掉落_design!$E97,0,掉落_design!S$2+1,1,1)&amp;";"&amp;OFFSET(掉落_design!$E97,0,掉落_design!S$2+2,1,1)&amp;";"&amp;OFFSET(掉落_design!$E97,0,掉落_design!S$2+3,1,1))</f>
        <v/>
      </c>
      <c r="U97" s="16" t="str">
        <f ca="1">IF(OFFSET(掉落_design!$E97,0,掉落_design!T$2,1,1)="","",OFFSET(掉落_design!$E97,0,掉落_design!T$2,1,1)&amp;";"&amp;OFFSET(掉落_design!$E97,0,掉落_design!T$2+1,1,1)&amp;";"&amp;OFFSET(掉落_design!$E97,0,掉落_design!T$2+2,1,1)&amp;";"&amp;OFFSET(掉落_design!$E97,0,掉落_design!T$2+3,1,1))</f>
        <v/>
      </c>
      <c r="V97" s="16" t="str">
        <f ca="1">IF(OFFSET(掉落_design!$E97,0,掉落_design!U$2,1,1)="","",OFFSET(掉落_design!$E97,0,掉落_design!U$2,1,1)&amp;";"&amp;OFFSET(掉落_design!$E97,0,掉落_design!U$2+1,1,1)&amp;";"&amp;OFFSET(掉落_design!$E97,0,掉落_design!U$2+2,1,1)&amp;";"&amp;OFFSET(掉落_design!$E97,0,掉落_design!U$2+3,1,1))</f>
        <v/>
      </c>
      <c r="W97" s="16" t="str">
        <f ca="1">IF(OFFSET(掉落_design!$E97,0,掉落_design!V$2,1,1)="","",OFFSET(掉落_design!$E97,0,掉落_design!V$2,1,1)&amp;";"&amp;OFFSET(掉落_design!$E97,0,掉落_design!V$2+1,1,1)&amp;";"&amp;OFFSET(掉落_design!$E97,0,掉落_design!V$2+2,1,1)&amp;";"&amp;OFFSET(掉落_design!$E97,0,掉落_design!V$2+3,1,1))</f>
        <v/>
      </c>
      <c r="X97" s="16" t="str">
        <f ca="1">IF(OFFSET(掉落_design!$E97,0,掉落_design!W$2,1,1)="","",OFFSET(掉落_design!$E97,0,掉落_design!W$2,1,1)&amp;";"&amp;OFFSET(掉落_design!$E97,0,掉落_design!W$2+1,1,1)&amp;";"&amp;OFFSET(掉落_design!$E97,0,掉落_design!W$2+2,1,1)&amp;";"&amp;OFFSET(掉落_design!$E97,0,掉落_design!W$2+3,1,1))</f>
        <v/>
      </c>
      <c r="Y97" s="16" t="str">
        <f ca="1">IF(OFFSET(掉落_design!$E97,0,掉落_design!X$2,1,1)="","",OFFSET(掉落_design!$E97,0,掉落_design!X$2,1,1)&amp;";"&amp;OFFSET(掉落_design!$E97,0,掉落_design!X$2+1,1,1)&amp;";"&amp;OFFSET(掉落_design!$E97,0,掉落_design!X$2+2,1,1)&amp;";"&amp;OFFSET(掉落_design!$E97,0,掉落_design!X$2+3,1,1))</f>
        <v/>
      </c>
    </row>
    <row r="98" spans="1:25" x14ac:dyDescent="0.15">
      <c r="A98" s="11" t="str">
        <f t="shared" si="30"/>
        <v>DATA</v>
      </c>
      <c r="B98" s="25"/>
      <c r="C98" s="25"/>
      <c r="D98" s="15">
        <f>IF(掉落_design!C98="","",掉落_design!C98)</f>
        <v>30404</v>
      </c>
      <c r="E98" s="15">
        <f>IF(A98="","",掉落_design!D98)</f>
        <v>1</v>
      </c>
      <c r="F98" s="16" t="str">
        <f ca="1">IF(OFFSET(掉落_design!$E98,0,掉落_design!E$2,1,1)="","",OFFSET(掉落_design!$E98,0,掉落_design!E$2,1,1)&amp;";"&amp;OFFSET(掉落_design!$E98,0,掉落_design!E$2+1,1,1)&amp;";"&amp;OFFSET(掉落_design!$E98,0,掉落_design!E$2+2,1,1)&amp;";"&amp;OFFSET(掉落_design!$E98,0,掉落_design!E$2+3,1,1))</f>
        <v>2500;1;1;10000</v>
      </c>
      <c r="G98" s="16" t="str">
        <f ca="1">IF(OFFSET(掉落_design!$E98,0,掉落_design!F$2,1,1)="","",OFFSET(掉落_design!$E98,0,掉落_design!F$2,1,1)&amp;";"&amp;OFFSET(掉落_design!$E98,0,掉落_design!F$2+1,1,1)&amp;";"&amp;OFFSET(掉落_design!$E98,0,掉落_design!F$2+2,1,1)&amp;";"&amp;OFFSET(掉落_design!$E98,0,掉落_design!F$2+3,1,1))</f>
        <v>1001;6000;6000;10000</v>
      </c>
      <c r="H98" s="16" t="str">
        <f ca="1">IF(OFFSET(掉落_design!$E98,0,掉落_design!G$2,1,1)="","",OFFSET(掉落_design!$E98,0,掉落_design!G$2,1,1)&amp;";"&amp;OFFSET(掉落_design!$E98,0,掉落_design!G$2+1,1,1)&amp;";"&amp;OFFSET(掉落_design!$E98,0,掉落_design!G$2+2,1,1)&amp;";"&amp;OFFSET(掉落_design!$E98,0,掉落_design!G$2+3,1,1))</f>
        <v>1200;8;8;10000</v>
      </c>
      <c r="I98" s="16" t="str">
        <f ca="1">IF(OFFSET(掉落_design!$E98,0,掉落_design!H$2,1,1)="","",OFFSET(掉落_design!$E98,0,掉落_design!H$2,1,1)&amp;";"&amp;OFFSET(掉落_design!$E98,0,掉落_design!H$2+1,1,1)&amp;";"&amp;OFFSET(掉落_design!$E98,0,掉落_design!H$2+2,1,1)&amp;";"&amp;OFFSET(掉落_design!$E98,0,掉落_design!H$2+3,1,1))</f>
        <v>1202;7;7;10000</v>
      </c>
      <c r="J98" s="16" t="str">
        <f ca="1">IF(OFFSET(掉落_design!$E98,0,掉落_design!I$2,1,1)="","",OFFSET(掉落_design!$E98,0,掉落_design!I$2,1,1)&amp;";"&amp;OFFSET(掉落_design!$E98,0,掉落_design!I$2+1,1,1)&amp;";"&amp;OFFSET(掉落_design!$E98,0,掉落_design!I$2+2,1,1)&amp;";"&amp;OFFSET(掉落_design!$E98,0,掉落_design!I$2+3,1,1))</f>
        <v/>
      </c>
      <c r="K98" s="16" t="str">
        <f ca="1">IF(OFFSET(掉落_design!$E98,0,掉落_design!J$2,1,1)="","",OFFSET(掉落_design!$E98,0,掉落_design!J$2,1,1)&amp;";"&amp;OFFSET(掉落_design!$E98,0,掉落_design!J$2+1,1,1)&amp;";"&amp;OFFSET(掉落_design!$E98,0,掉落_design!J$2+2,1,1)&amp;";"&amp;OFFSET(掉落_design!$E98,0,掉落_design!J$2+3,1,1))</f>
        <v/>
      </c>
      <c r="L98" s="16" t="str">
        <f ca="1">IF(OFFSET(掉落_design!$E98,0,掉落_design!K$2,1,1)="","",OFFSET(掉落_design!$E98,0,掉落_design!K$2,1,1)&amp;";"&amp;OFFSET(掉落_design!$E98,0,掉落_design!K$2+1,1,1)&amp;";"&amp;OFFSET(掉落_design!$E98,0,掉落_design!K$2+2,1,1)&amp;";"&amp;OFFSET(掉落_design!$E98,0,掉落_design!K$2+3,1,1))</f>
        <v/>
      </c>
      <c r="M98" s="16" t="str">
        <f ca="1">IF(OFFSET(掉落_design!$E98,0,掉落_design!L$2,1,1)="","",OFFSET(掉落_design!$E98,0,掉落_design!L$2,1,1)&amp;";"&amp;OFFSET(掉落_design!$E98,0,掉落_design!L$2+1,1,1)&amp;";"&amp;OFFSET(掉落_design!$E98,0,掉落_design!L$2+2,1,1)&amp;";"&amp;OFFSET(掉落_design!$E98,0,掉落_design!L$2+3,1,1))</f>
        <v/>
      </c>
      <c r="N98" s="16" t="str">
        <f ca="1">IF(OFFSET(掉落_design!$E98,0,掉落_design!M$2,1,1)="","",OFFSET(掉落_design!$E98,0,掉落_design!M$2,1,1)&amp;";"&amp;OFFSET(掉落_design!$E98,0,掉落_design!M$2+1,1,1)&amp;";"&amp;OFFSET(掉落_design!$E98,0,掉落_design!M$2+2,1,1)&amp;";"&amp;OFFSET(掉落_design!$E98,0,掉落_design!M$2+3,1,1))</f>
        <v/>
      </c>
      <c r="O98" s="16" t="str">
        <f ca="1">IF(OFFSET(掉落_design!$E98,0,掉落_design!N$2,1,1)="","",OFFSET(掉落_design!$E98,0,掉落_design!N$2,1,1)&amp;";"&amp;OFFSET(掉落_design!$E98,0,掉落_design!N$2+1,1,1)&amp;";"&amp;OFFSET(掉落_design!$E98,0,掉落_design!N$2+2,1,1)&amp;";"&amp;OFFSET(掉落_design!$E98,0,掉落_design!N$2+3,1,1))</f>
        <v/>
      </c>
      <c r="P98" s="16" t="str">
        <f ca="1">IF(OFFSET(掉落_design!$E98,0,掉落_design!O$2,1,1)="","",OFFSET(掉落_design!$E98,0,掉落_design!O$2,1,1)&amp;";"&amp;OFFSET(掉落_design!$E98,0,掉落_design!O$2+1,1,1)&amp;";"&amp;OFFSET(掉落_design!$E98,0,掉落_design!O$2+2,1,1)&amp;";"&amp;OFFSET(掉落_design!$E98,0,掉落_design!O$2+3,1,1))</f>
        <v/>
      </c>
      <c r="Q98" s="16" t="str">
        <f ca="1">IF(OFFSET(掉落_design!$E98,0,掉落_design!P$2,1,1)="","",OFFSET(掉落_design!$E98,0,掉落_design!P$2,1,1)&amp;";"&amp;OFFSET(掉落_design!$E98,0,掉落_design!P$2+1,1,1)&amp;";"&amp;OFFSET(掉落_design!$E98,0,掉落_design!P$2+2,1,1)&amp;";"&amp;OFFSET(掉落_design!$E98,0,掉落_design!P$2+3,1,1))</f>
        <v/>
      </c>
      <c r="R98" s="16" t="str">
        <f ca="1">IF(OFFSET(掉落_design!$E98,0,掉落_design!Q$2,1,1)="","",OFFSET(掉落_design!$E98,0,掉落_design!Q$2,1,1)&amp;";"&amp;OFFSET(掉落_design!$E98,0,掉落_design!Q$2+1,1,1)&amp;";"&amp;OFFSET(掉落_design!$E98,0,掉落_design!Q$2+2,1,1)&amp;";"&amp;OFFSET(掉落_design!$E98,0,掉落_design!Q$2+3,1,1))</f>
        <v/>
      </c>
      <c r="S98" s="16" t="str">
        <f ca="1">IF(OFFSET(掉落_design!$E98,0,掉落_design!R$2,1,1)="","",OFFSET(掉落_design!$E98,0,掉落_design!R$2,1,1)&amp;";"&amp;OFFSET(掉落_design!$E98,0,掉落_design!R$2+1,1,1)&amp;";"&amp;OFFSET(掉落_design!$E98,0,掉落_design!R$2+2,1,1)&amp;";"&amp;OFFSET(掉落_design!$E98,0,掉落_design!R$2+3,1,1))</f>
        <v/>
      </c>
      <c r="T98" s="16" t="str">
        <f ca="1">IF(OFFSET(掉落_design!$E98,0,掉落_design!S$2,1,1)="","",OFFSET(掉落_design!$E98,0,掉落_design!S$2,1,1)&amp;";"&amp;OFFSET(掉落_design!$E98,0,掉落_design!S$2+1,1,1)&amp;";"&amp;OFFSET(掉落_design!$E98,0,掉落_design!S$2+2,1,1)&amp;";"&amp;OFFSET(掉落_design!$E98,0,掉落_design!S$2+3,1,1))</f>
        <v/>
      </c>
      <c r="U98" s="16" t="str">
        <f ca="1">IF(OFFSET(掉落_design!$E98,0,掉落_design!T$2,1,1)="","",OFFSET(掉落_design!$E98,0,掉落_design!T$2,1,1)&amp;";"&amp;OFFSET(掉落_design!$E98,0,掉落_design!T$2+1,1,1)&amp;";"&amp;OFFSET(掉落_design!$E98,0,掉落_design!T$2+2,1,1)&amp;";"&amp;OFFSET(掉落_design!$E98,0,掉落_design!T$2+3,1,1))</f>
        <v/>
      </c>
      <c r="V98" s="16" t="str">
        <f ca="1">IF(OFFSET(掉落_design!$E98,0,掉落_design!U$2,1,1)="","",OFFSET(掉落_design!$E98,0,掉落_design!U$2,1,1)&amp;";"&amp;OFFSET(掉落_design!$E98,0,掉落_design!U$2+1,1,1)&amp;";"&amp;OFFSET(掉落_design!$E98,0,掉落_design!U$2+2,1,1)&amp;";"&amp;OFFSET(掉落_design!$E98,0,掉落_design!U$2+3,1,1))</f>
        <v/>
      </c>
      <c r="W98" s="16" t="str">
        <f ca="1">IF(OFFSET(掉落_design!$E98,0,掉落_design!V$2,1,1)="","",OFFSET(掉落_design!$E98,0,掉落_design!V$2,1,1)&amp;";"&amp;OFFSET(掉落_design!$E98,0,掉落_design!V$2+1,1,1)&amp;";"&amp;OFFSET(掉落_design!$E98,0,掉落_design!V$2+2,1,1)&amp;";"&amp;OFFSET(掉落_design!$E98,0,掉落_design!V$2+3,1,1))</f>
        <v/>
      </c>
      <c r="X98" s="16" t="str">
        <f ca="1">IF(OFFSET(掉落_design!$E98,0,掉落_design!W$2,1,1)="","",OFFSET(掉落_design!$E98,0,掉落_design!W$2,1,1)&amp;";"&amp;OFFSET(掉落_design!$E98,0,掉落_design!W$2+1,1,1)&amp;";"&amp;OFFSET(掉落_design!$E98,0,掉落_design!W$2+2,1,1)&amp;";"&amp;OFFSET(掉落_design!$E98,0,掉落_design!W$2+3,1,1))</f>
        <v/>
      </c>
      <c r="Y98" s="16" t="str">
        <f ca="1">IF(OFFSET(掉落_design!$E98,0,掉落_design!X$2,1,1)="","",OFFSET(掉落_design!$E98,0,掉落_design!X$2,1,1)&amp;";"&amp;OFFSET(掉落_design!$E98,0,掉落_design!X$2+1,1,1)&amp;";"&amp;OFFSET(掉落_design!$E98,0,掉落_design!X$2+2,1,1)&amp;";"&amp;OFFSET(掉落_design!$E98,0,掉落_design!X$2+3,1,1))</f>
        <v/>
      </c>
    </row>
    <row r="99" spans="1:25" x14ac:dyDescent="0.15">
      <c r="A99" s="11" t="str">
        <f t="shared" si="30"/>
        <v/>
      </c>
      <c r="B99" s="25"/>
      <c r="C99" s="25"/>
      <c r="D99" s="15" t="str">
        <f>IF(掉落_design!C99="","",掉落_design!C99)</f>
        <v/>
      </c>
      <c r="E99" s="15" t="str">
        <f>IF(A99="","",掉落_design!D99)</f>
        <v/>
      </c>
      <c r="F99" s="16" t="str">
        <f ca="1">IF(OFFSET(掉落_design!$E99,0,掉落_design!E$2,1,1)="","",OFFSET(掉落_design!$E99,0,掉落_design!E$2,1,1)&amp;";"&amp;OFFSET(掉落_design!$E99,0,掉落_design!E$2+1,1,1)&amp;";"&amp;OFFSET(掉落_design!$E99,0,掉落_design!E$2+2,1,1)&amp;";"&amp;OFFSET(掉落_design!$E99,0,掉落_design!E$2+3,1,1))</f>
        <v/>
      </c>
      <c r="G99" s="16" t="str">
        <f ca="1">IF(OFFSET(掉落_design!$E99,0,掉落_design!F$2,1,1)="","",OFFSET(掉落_design!$E99,0,掉落_design!F$2,1,1)&amp;";"&amp;OFFSET(掉落_design!$E99,0,掉落_design!F$2+1,1,1)&amp;";"&amp;OFFSET(掉落_design!$E99,0,掉落_design!F$2+2,1,1)&amp;";"&amp;OFFSET(掉落_design!$E99,0,掉落_design!F$2+3,1,1))</f>
        <v/>
      </c>
      <c r="H99" s="16" t="str">
        <f ca="1">IF(OFFSET(掉落_design!$E99,0,掉落_design!G$2,1,1)="","",OFFSET(掉落_design!$E99,0,掉落_design!G$2,1,1)&amp;";"&amp;OFFSET(掉落_design!$E99,0,掉落_design!G$2+1,1,1)&amp;";"&amp;OFFSET(掉落_design!$E99,0,掉落_design!G$2+2,1,1)&amp;";"&amp;OFFSET(掉落_design!$E99,0,掉落_design!G$2+3,1,1))</f>
        <v/>
      </c>
      <c r="I99" s="16" t="str">
        <f ca="1">IF(OFFSET(掉落_design!$E99,0,掉落_design!H$2,1,1)="","",OFFSET(掉落_design!$E99,0,掉落_design!H$2,1,1)&amp;";"&amp;OFFSET(掉落_design!$E99,0,掉落_design!H$2+1,1,1)&amp;";"&amp;OFFSET(掉落_design!$E99,0,掉落_design!H$2+2,1,1)&amp;";"&amp;OFFSET(掉落_design!$E99,0,掉落_design!H$2+3,1,1))</f>
        <v/>
      </c>
      <c r="J99" s="16" t="str">
        <f ca="1">IF(OFFSET(掉落_design!$E99,0,掉落_design!I$2,1,1)="","",OFFSET(掉落_design!$E99,0,掉落_design!I$2,1,1)&amp;";"&amp;OFFSET(掉落_design!$E99,0,掉落_design!I$2+1,1,1)&amp;";"&amp;OFFSET(掉落_design!$E99,0,掉落_design!I$2+2,1,1)&amp;";"&amp;OFFSET(掉落_design!$E99,0,掉落_design!I$2+3,1,1))</f>
        <v/>
      </c>
      <c r="K99" s="16" t="str">
        <f ca="1">IF(OFFSET(掉落_design!$E99,0,掉落_design!J$2,1,1)="","",OFFSET(掉落_design!$E99,0,掉落_design!J$2,1,1)&amp;";"&amp;OFFSET(掉落_design!$E99,0,掉落_design!J$2+1,1,1)&amp;";"&amp;OFFSET(掉落_design!$E99,0,掉落_design!J$2+2,1,1)&amp;";"&amp;OFFSET(掉落_design!$E99,0,掉落_design!J$2+3,1,1))</f>
        <v/>
      </c>
      <c r="L99" s="16" t="str">
        <f ca="1">IF(OFFSET(掉落_design!$E99,0,掉落_design!K$2,1,1)="","",OFFSET(掉落_design!$E99,0,掉落_design!K$2,1,1)&amp;";"&amp;OFFSET(掉落_design!$E99,0,掉落_design!K$2+1,1,1)&amp;";"&amp;OFFSET(掉落_design!$E99,0,掉落_design!K$2+2,1,1)&amp;";"&amp;OFFSET(掉落_design!$E99,0,掉落_design!K$2+3,1,1))</f>
        <v/>
      </c>
      <c r="M99" s="16" t="str">
        <f ca="1">IF(OFFSET(掉落_design!$E99,0,掉落_design!L$2,1,1)="","",OFFSET(掉落_design!$E99,0,掉落_design!L$2,1,1)&amp;";"&amp;OFFSET(掉落_design!$E99,0,掉落_design!L$2+1,1,1)&amp;";"&amp;OFFSET(掉落_design!$E99,0,掉落_design!L$2+2,1,1)&amp;";"&amp;OFFSET(掉落_design!$E99,0,掉落_design!L$2+3,1,1))</f>
        <v/>
      </c>
      <c r="N99" s="16" t="str">
        <f ca="1">IF(OFFSET(掉落_design!$E99,0,掉落_design!M$2,1,1)="","",OFFSET(掉落_design!$E99,0,掉落_design!M$2,1,1)&amp;";"&amp;OFFSET(掉落_design!$E99,0,掉落_design!M$2+1,1,1)&amp;";"&amp;OFFSET(掉落_design!$E99,0,掉落_design!M$2+2,1,1)&amp;";"&amp;OFFSET(掉落_design!$E99,0,掉落_design!M$2+3,1,1))</f>
        <v/>
      </c>
      <c r="O99" s="16" t="str">
        <f ca="1">IF(OFFSET(掉落_design!$E99,0,掉落_design!N$2,1,1)="","",OFFSET(掉落_design!$E99,0,掉落_design!N$2,1,1)&amp;";"&amp;OFFSET(掉落_design!$E99,0,掉落_design!N$2+1,1,1)&amp;";"&amp;OFFSET(掉落_design!$E99,0,掉落_design!N$2+2,1,1)&amp;";"&amp;OFFSET(掉落_design!$E99,0,掉落_design!N$2+3,1,1))</f>
        <v/>
      </c>
      <c r="P99" s="16" t="str">
        <f ca="1">IF(OFFSET(掉落_design!$E99,0,掉落_design!O$2,1,1)="","",OFFSET(掉落_design!$E99,0,掉落_design!O$2,1,1)&amp;";"&amp;OFFSET(掉落_design!$E99,0,掉落_design!O$2+1,1,1)&amp;";"&amp;OFFSET(掉落_design!$E99,0,掉落_design!O$2+2,1,1)&amp;";"&amp;OFFSET(掉落_design!$E99,0,掉落_design!O$2+3,1,1))</f>
        <v/>
      </c>
      <c r="Q99" s="16" t="str">
        <f ca="1">IF(OFFSET(掉落_design!$E99,0,掉落_design!P$2,1,1)="","",OFFSET(掉落_design!$E99,0,掉落_design!P$2,1,1)&amp;";"&amp;OFFSET(掉落_design!$E99,0,掉落_design!P$2+1,1,1)&amp;";"&amp;OFFSET(掉落_design!$E99,0,掉落_design!P$2+2,1,1)&amp;";"&amp;OFFSET(掉落_design!$E99,0,掉落_design!P$2+3,1,1))</f>
        <v/>
      </c>
      <c r="R99" s="16" t="str">
        <f ca="1">IF(OFFSET(掉落_design!$E99,0,掉落_design!Q$2,1,1)="","",OFFSET(掉落_design!$E99,0,掉落_design!Q$2,1,1)&amp;";"&amp;OFFSET(掉落_design!$E99,0,掉落_design!Q$2+1,1,1)&amp;";"&amp;OFFSET(掉落_design!$E99,0,掉落_design!Q$2+2,1,1)&amp;";"&amp;OFFSET(掉落_design!$E99,0,掉落_design!Q$2+3,1,1))</f>
        <v/>
      </c>
      <c r="S99" s="16" t="str">
        <f ca="1">IF(OFFSET(掉落_design!$E99,0,掉落_design!R$2,1,1)="","",OFFSET(掉落_design!$E99,0,掉落_design!R$2,1,1)&amp;";"&amp;OFFSET(掉落_design!$E99,0,掉落_design!R$2+1,1,1)&amp;";"&amp;OFFSET(掉落_design!$E99,0,掉落_design!R$2+2,1,1)&amp;";"&amp;OFFSET(掉落_design!$E99,0,掉落_design!R$2+3,1,1))</f>
        <v/>
      </c>
      <c r="T99" s="16" t="str">
        <f ca="1">IF(OFFSET(掉落_design!$E99,0,掉落_design!S$2,1,1)="","",OFFSET(掉落_design!$E99,0,掉落_design!S$2,1,1)&amp;";"&amp;OFFSET(掉落_design!$E99,0,掉落_design!S$2+1,1,1)&amp;";"&amp;OFFSET(掉落_design!$E99,0,掉落_design!S$2+2,1,1)&amp;";"&amp;OFFSET(掉落_design!$E99,0,掉落_design!S$2+3,1,1))</f>
        <v/>
      </c>
      <c r="U99" s="16" t="str">
        <f ca="1">IF(OFFSET(掉落_design!$E99,0,掉落_design!T$2,1,1)="","",OFFSET(掉落_design!$E99,0,掉落_design!T$2,1,1)&amp;";"&amp;OFFSET(掉落_design!$E99,0,掉落_design!T$2+1,1,1)&amp;";"&amp;OFFSET(掉落_design!$E99,0,掉落_design!T$2+2,1,1)&amp;";"&amp;OFFSET(掉落_design!$E99,0,掉落_design!T$2+3,1,1))</f>
        <v/>
      </c>
      <c r="V99" s="16" t="str">
        <f ca="1">IF(OFFSET(掉落_design!$E99,0,掉落_design!U$2,1,1)="","",OFFSET(掉落_design!$E99,0,掉落_design!U$2,1,1)&amp;";"&amp;OFFSET(掉落_design!$E99,0,掉落_design!U$2+1,1,1)&amp;";"&amp;OFFSET(掉落_design!$E99,0,掉落_design!U$2+2,1,1)&amp;";"&amp;OFFSET(掉落_design!$E99,0,掉落_design!U$2+3,1,1))</f>
        <v/>
      </c>
      <c r="W99" s="16" t="str">
        <f ca="1">IF(OFFSET(掉落_design!$E99,0,掉落_design!V$2,1,1)="","",OFFSET(掉落_design!$E99,0,掉落_design!V$2,1,1)&amp;";"&amp;OFFSET(掉落_design!$E99,0,掉落_design!V$2+1,1,1)&amp;";"&amp;OFFSET(掉落_design!$E99,0,掉落_design!V$2+2,1,1)&amp;";"&amp;OFFSET(掉落_design!$E99,0,掉落_design!V$2+3,1,1))</f>
        <v/>
      </c>
      <c r="X99" s="16" t="str">
        <f ca="1">IF(OFFSET(掉落_design!$E99,0,掉落_design!W$2,1,1)="","",OFFSET(掉落_design!$E99,0,掉落_design!W$2,1,1)&amp;";"&amp;OFFSET(掉落_design!$E99,0,掉落_design!W$2+1,1,1)&amp;";"&amp;OFFSET(掉落_design!$E99,0,掉落_design!W$2+2,1,1)&amp;";"&amp;OFFSET(掉落_design!$E99,0,掉落_design!W$2+3,1,1))</f>
        <v/>
      </c>
      <c r="Y99" s="16" t="str">
        <f ca="1">IF(OFFSET(掉落_design!$E99,0,掉落_design!X$2,1,1)="","",OFFSET(掉落_design!$E99,0,掉落_design!X$2,1,1)&amp;";"&amp;OFFSET(掉落_design!$E99,0,掉落_design!X$2+1,1,1)&amp;";"&amp;OFFSET(掉落_design!$E99,0,掉落_design!X$2+2,1,1)&amp;";"&amp;OFFSET(掉落_design!$E99,0,掉落_design!X$2+3,1,1))</f>
        <v/>
      </c>
    </row>
    <row r="100" spans="1:25" x14ac:dyDescent="0.15">
      <c r="A100" s="11" t="str">
        <f t="shared" si="30"/>
        <v>DATA</v>
      </c>
      <c r="B100" s="25"/>
      <c r="C100" s="25"/>
      <c r="D100" s="15">
        <f>IF(掉落_design!C100="","",掉落_design!C100)</f>
        <v>30500</v>
      </c>
      <c r="E100" s="15">
        <f>IF(A100="","",掉落_design!D100)</f>
        <v>1</v>
      </c>
      <c r="F100" s="16" t="str">
        <f ca="1">IF(OFFSET(掉落_design!$E100,0,掉落_design!E$2,1,1)="","",OFFSET(掉落_design!$E100,0,掉落_design!E$2,1,1)&amp;";"&amp;OFFSET(掉落_design!$E100,0,掉落_design!E$2+1,1,1)&amp;";"&amp;OFFSET(掉落_design!$E100,0,掉落_design!E$2+2,1,1)&amp;";"&amp;OFFSET(掉落_design!$E100,0,掉落_design!E$2+3,1,1))</f>
        <v>1001;150;150;10000</v>
      </c>
      <c r="G100" s="16" t="str">
        <f ca="1">IF(OFFSET(掉落_design!$E100,0,掉落_design!F$2,1,1)="","",OFFSET(掉落_design!$E100,0,掉落_design!F$2,1,1)&amp;";"&amp;OFFSET(掉落_design!$E100,0,掉落_design!F$2+1,1,1)&amp;";"&amp;OFFSET(掉落_design!$E100,0,掉落_design!F$2+2,1,1)&amp;";"&amp;OFFSET(掉落_design!$E100,0,掉落_design!F$2+3,1,1))</f>
        <v>1001;150;150;10000</v>
      </c>
      <c r="H100" s="16" t="str">
        <f ca="1">IF(OFFSET(掉落_design!$E100,0,掉落_design!G$2,1,1)="","",OFFSET(掉落_design!$E100,0,掉落_design!G$2,1,1)&amp;";"&amp;OFFSET(掉落_design!$E100,0,掉落_design!G$2+1,1,1)&amp;";"&amp;OFFSET(掉落_design!$E100,0,掉落_design!G$2+2,1,1)&amp;";"&amp;OFFSET(掉落_design!$E100,0,掉落_design!G$2+3,1,1))</f>
        <v>1001;150;150;10000</v>
      </c>
      <c r="I100" s="16" t="str">
        <f ca="1">IF(OFFSET(掉落_design!$E100,0,掉落_design!H$2,1,1)="","",OFFSET(掉落_design!$E100,0,掉落_design!H$2,1,1)&amp;";"&amp;OFFSET(掉落_design!$E100,0,掉落_design!H$2+1,1,1)&amp;";"&amp;OFFSET(掉落_design!$E100,0,掉落_design!H$2+2,1,1)&amp;";"&amp;OFFSET(掉落_design!$E100,0,掉落_design!H$2+3,1,1))</f>
        <v/>
      </c>
      <c r="J100" s="16" t="str">
        <f ca="1">IF(OFFSET(掉落_design!$E100,0,掉落_design!I$2,1,1)="","",OFFSET(掉落_design!$E100,0,掉落_design!I$2,1,1)&amp;";"&amp;OFFSET(掉落_design!$E100,0,掉落_design!I$2+1,1,1)&amp;";"&amp;OFFSET(掉落_design!$E100,0,掉落_design!I$2+2,1,1)&amp;";"&amp;OFFSET(掉落_design!$E100,0,掉落_design!I$2+3,1,1))</f>
        <v/>
      </c>
      <c r="K100" s="16" t="str">
        <f ca="1">IF(OFFSET(掉落_design!$E100,0,掉落_design!J$2,1,1)="","",OFFSET(掉落_design!$E100,0,掉落_design!J$2,1,1)&amp;";"&amp;OFFSET(掉落_design!$E100,0,掉落_design!J$2+1,1,1)&amp;";"&amp;OFFSET(掉落_design!$E100,0,掉落_design!J$2+2,1,1)&amp;";"&amp;OFFSET(掉落_design!$E100,0,掉落_design!J$2+3,1,1))</f>
        <v/>
      </c>
      <c r="L100" s="16" t="str">
        <f ca="1">IF(OFFSET(掉落_design!$E100,0,掉落_design!K$2,1,1)="","",OFFSET(掉落_design!$E100,0,掉落_design!K$2,1,1)&amp;";"&amp;OFFSET(掉落_design!$E100,0,掉落_design!K$2+1,1,1)&amp;";"&amp;OFFSET(掉落_design!$E100,0,掉落_design!K$2+2,1,1)&amp;";"&amp;OFFSET(掉落_design!$E100,0,掉落_design!K$2+3,1,1))</f>
        <v/>
      </c>
      <c r="M100" s="16" t="str">
        <f ca="1">IF(OFFSET(掉落_design!$E100,0,掉落_design!L$2,1,1)="","",OFFSET(掉落_design!$E100,0,掉落_design!L$2,1,1)&amp;";"&amp;OFFSET(掉落_design!$E100,0,掉落_design!L$2+1,1,1)&amp;";"&amp;OFFSET(掉落_design!$E100,0,掉落_design!L$2+2,1,1)&amp;";"&amp;OFFSET(掉落_design!$E100,0,掉落_design!L$2+3,1,1))</f>
        <v/>
      </c>
      <c r="N100" s="16" t="str">
        <f ca="1">IF(OFFSET(掉落_design!$E100,0,掉落_design!M$2,1,1)="","",OFFSET(掉落_design!$E100,0,掉落_design!M$2,1,1)&amp;";"&amp;OFFSET(掉落_design!$E100,0,掉落_design!M$2+1,1,1)&amp;";"&amp;OFFSET(掉落_design!$E100,0,掉落_design!M$2+2,1,1)&amp;";"&amp;OFFSET(掉落_design!$E100,0,掉落_design!M$2+3,1,1))</f>
        <v/>
      </c>
      <c r="O100" s="16" t="str">
        <f ca="1">IF(OFFSET(掉落_design!$E100,0,掉落_design!N$2,1,1)="","",OFFSET(掉落_design!$E100,0,掉落_design!N$2,1,1)&amp;";"&amp;OFFSET(掉落_design!$E100,0,掉落_design!N$2+1,1,1)&amp;";"&amp;OFFSET(掉落_design!$E100,0,掉落_design!N$2+2,1,1)&amp;";"&amp;OFFSET(掉落_design!$E100,0,掉落_design!N$2+3,1,1))</f>
        <v/>
      </c>
      <c r="P100" s="16" t="str">
        <f ca="1">IF(OFFSET(掉落_design!$E100,0,掉落_design!O$2,1,1)="","",OFFSET(掉落_design!$E100,0,掉落_design!O$2,1,1)&amp;";"&amp;OFFSET(掉落_design!$E100,0,掉落_design!O$2+1,1,1)&amp;";"&amp;OFFSET(掉落_design!$E100,0,掉落_design!O$2+2,1,1)&amp;";"&amp;OFFSET(掉落_design!$E100,0,掉落_design!O$2+3,1,1))</f>
        <v/>
      </c>
      <c r="Q100" s="16" t="str">
        <f ca="1">IF(OFFSET(掉落_design!$E100,0,掉落_design!P$2,1,1)="","",OFFSET(掉落_design!$E100,0,掉落_design!P$2,1,1)&amp;";"&amp;OFFSET(掉落_design!$E100,0,掉落_design!P$2+1,1,1)&amp;";"&amp;OFFSET(掉落_design!$E100,0,掉落_design!P$2+2,1,1)&amp;";"&amp;OFFSET(掉落_design!$E100,0,掉落_design!P$2+3,1,1))</f>
        <v/>
      </c>
      <c r="R100" s="16" t="str">
        <f ca="1">IF(OFFSET(掉落_design!$E100,0,掉落_design!Q$2,1,1)="","",OFFSET(掉落_design!$E100,0,掉落_design!Q$2,1,1)&amp;";"&amp;OFFSET(掉落_design!$E100,0,掉落_design!Q$2+1,1,1)&amp;";"&amp;OFFSET(掉落_design!$E100,0,掉落_design!Q$2+2,1,1)&amp;";"&amp;OFFSET(掉落_design!$E100,0,掉落_design!Q$2+3,1,1))</f>
        <v/>
      </c>
      <c r="S100" s="16" t="str">
        <f ca="1">IF(OFFSET(掉落_design!$E100,0,掉落_design!R$2,1,1)="","",OFFSET(掉落_design!$E100,0,掉落_design!R$2,1,1)&amp;";"&amp;OFFSET(掉落_design!$E100,0,掉落_design!R$2+1,1,1)&amp;";"&amp;OFFSET(掉落_design!$E100,0,掉落_design!R$2+2,1,1)&amp;";"&amp;OFFSET(掉落_design!$E100,0,掉落_design!R$2+3,1,1))</f>
        <v/>
      </c>
      <c r="T100" s="16" t="str">
        <f ca="1">IF(OFFSET(掉落_design!$E100,0,掉落_design!S$2,1,1)="","",OFFSET(掉落_design!$E100,0,掉落_design!S$2,1,1)&amp;";"&amp;OFFSET(掉落_design!$E100,0,掉落_design!S$2+1,1,1)&amp;";"&amp;OFFSET(掉落_design!$E100,0,掉落_design!S$2+2,1,1)&amp;";"&amp;OFFSET(掉落_design!$E100,0,掉落_design!S$2+3,1,1))</f>
        <v/>
      </c>
      <c r="U100" s="16" t="str">
        <f ca="1">IF(OFFSET(掉落_design!$E100,0,掉落_design!T$2,1,1)="","",OFFSET(掉落_design!$E100,0,掉落_design!T$2,1,1)&amp;";"&amp;OFFSET(掉落_design!$E100,0,掉落_design!T$2+1,1,1)&amp;";"&amp;OFFSET(掉落_design!$E100,0,掉落_design!T$2+2,1,1)&amp;";"&amp;OFFSET(掉落_design!$E100,0,掉落_design!T$2+3,1,1))</f>
        <v/>
      </c>
      <c r="V100" s="16" t="str">
        <f ca="1">IF(OFFSET(掉落_design!$E100,0,掉落_design!U$2,1,1)="","",OFFSET(掉落_design!$E100,0,掉落_design!U$2,1,1)&amp;";"&amp;OFFSET(掉落_design!$E100,0,掉落_design!U$2+1,1,1)&amp;";"&amp;OFFSET(掉落_design!$E100,0,掉落_design!U$2+2,1,1)&amp;";"&amp;OFFSET(掉落_design!$E100,0,掉落_design!U$2+3,1,1))</f>
        <v/>
      </c>
      <c r="W100" s="16" t="str">
        <f ca="1">IF(OFFSET(掉落_design!$E100,0,掉落_design!V$2,1,1)="","",OFFSET(掉落_design!$E100,0,掉落_design!V$2,1,1)&amp;";"&amp;OFFSET(掉落_design!$E100,0,掉落_design!V$2+1,1,1)&amp;";"&amp;OFFSET(掉落_design!$E100,0,掉落_design!V$2+2,1,1)&amp;";"&amp;OFFSET(掉落_design!$E100,0,掉落_design!V$2+3,1,1))</f>
        <v/>
      </c>
      <c r="X100" s="16" t="str">
        <f ca="1">IF(OFFSET(掉落_design!$E100,0,掉落_design!W$2,1,1)="","",OFFSET(掉落_design!$E100,0,掉落_design!W$2,1,1)&amp;";"&amp;OFFSET(掉落_design!$E100,0,掉落_design!W$2+1,1,1)&amp;";"&amp;OFFSET(掉落_design!$E100,0,掉落_design!W$2+2,1,1)&amp;";"&amp;OFFSET(掉落_design!$E100,0,掉落_design!W$2+3,1,1))</f>
        <v/>
      </c>
      <c r="Y100" s="16" t="str">
        <f ca="1">IF(OFFSET(掉落_design!$E100,0,掉落_design!X$2,1,1)="","",OFFSET(掉落_design!$E100,0,掉落_design!X$2,1,1)&amp;";"&amp;OFFSET(掉落_design!$E100,0,掉落_design!X$2+1,1,1)&amp;";"&amp;OFFSET(掉落_design!$E100,0,掉落_design!X$2+2,1,1)&amp;";"&amp;OFFSET(掉落_design!$E100,0,掉落_design!X$2+3,1,1))</f>
        <v/>
      </c>
    </row>
    <row r="101" spans="1:25" x14ac:dyDescent="0.15">
      <c r="A101" s="11" t="str">
        <f t="shared" ref="A101:A143" si="31">IF(D101="","","DATA")</f>
        <v/>
      </c>
      <c r="B101" s="25"/>
      <c r="C101" s="25"/>
      <c r="D101" s="15" t="str">
        <f>IF(掉落_design!C101="","",掉落_design!C101)</f>
        <v/>
      </c>
      <c r="E101" s="15" t="str">
        <f>IF(A101="","",掉落_design!D101)</f>
        <v/>
      </c>
      <c r="F101" s="16" t="str">
        <f ca="1">IF(OFFSET(掉落_design!$E101,0,掉落_design!E$2,1,1)="","",OFFSET(掉落_design!$E101,0,掉落_design!E$2,1,1)&amp;";"&amp;OFFSET(掉落_design!$E101,0,掉落_design!E$2+1,1,1)&amp;";"&amp;OFFSET(掉落_design!$E101,0,掉落_design!E$2+2,1,1)&amp;";"&amp;OFFSET(掉落_design!$E101,0,掉落_design!E$2+3,1,1))</f>
        <v/>
      </c>
      <c r="G101" s="16" t="str">
        <f ca="1">IF(OFFSET(掉落_design!$E101,0,掉落_design!F$2,1,1)="","",OFFSET(掉落_design!$E101,0,掉落_design!F$2,1,1)&amp;";"&amp;OFFSET(掉落_design!$E101,0,掉落_design!F$2+1,1,1)&amp;";"&amp;OFFSET(掉落_design!$E101,0,掉落_design!F$2+2,1,1)&amp;";"&amp;OFFSET(掉落_design!$E101,0,掉落_design!F$2+3,1,1))</f>
        <v/>
      </c>
      <c r="H101" s="16" t="str">
        <f ca="1">IF(OFFSET(掉落_design!$E101,0,掉落_design!G$2,1,1)="","",OFFSET(掉落_design!$E101,0,掉落_design!G$2,1,1)&amp;";"&amp;OFFSET(掉落_design!$E101,0,掉落_design!G$2+1,1,1)&amp;";"&amp;OFFSET(掉落_design!$E101,0,掉落_design!G$2+2,1,1)&amp;";"&amp;OFFSET(掉落_design!$E101,0,掉落_design!G$2+3,1,1))</f>
        <v/>
      </c>
      <c r="I101" s="16" t="str">
        <f ca="1">IF(OFFSET(掉落_design!$E101,0,掉落_design!H$2,1,1)="","",OFFSET(掉落_design!$E101,0,掉落_design!H$2,1,1)&amp;";"&amp;OFFSET(掉落_design!$E101,0,掉落_design!H$2+1,1,1)&amp;";"&amp;OFFSET(掉落_design!$E101,0,掉落_design!H$2+2,1,1)&amp;";"&amp;OFFSET(掉落_design!$E101,0,掉落_design!H$2+3,1,1))</f>
        <v/>
      </c>
      <c r="J101" s="16" t="str">
        <f ca="1">IF(OFFSET(掉落_design!$E101,0,掉落_design!I$2,1,1)="","",OFFSET(掉落_design!$E101,0,掉落_design!I$2,1,1)&amp;";"&amp;OFFSET(掉落_design!$E101,0,掉落_design!I$2+1,1,1)&amp;";"&amp;OFFSET(掉落_design!$E101,0,掉落_design!I$2+2,1,1)&amp;";"&amp;OFFSET(掉落_design!$E101,0,掉落_design!I$2+3,1,1))</f>
        <v/>
      </c>
      <c r="K101" s="16" t="str">
        <f ca="1">IF(OFFSET(掉落_design!$E101,0,掉落_design!J$2,1,1)="","",OFFSET(掉落_design!$E101,0,掉落_design!J$2,1,1)&amp;";"&amp;OFFSET(掉落_design!$E101,0,掉落_design!J$2+1,1,1)&amp;";"&amp;OFFSET(掉落_design!$E101,0,掉落_design!J$2+2,1,1)&amp;";"&amp;OFFSET(掉落_design!$E101,0,掉落_design!J$2+3,1,1))</f>
        <v/>
      </c>
      <c r="L101" s="16" t="str">
        <f ca="1">IF(OFFSET(掉落_design!$E101,0,掉落_design!K$2,1,1)="","",OFFSET(掉落_design!$E101,0,掉落_design!K$2,1,1)&amp;";"&amp;OFFSET(掉落_design!$E101,0,掉落_design!K$2+1,1,1)&amp;";"&amp;OFFSET(掉落_design!$E101,0,掉落_design!K$2+2,1,1)&amp;";"&amp;OFFSET(掉落_design!$E101,0,掉落_design!K$2+3,1,1))</f>
        <v/>
      </c>
      <c r="M101" s="16" t="str">
        <f ca="1">IF(OFFSET(掉落_design!$E101,0,掉落_design!L$2,1,1)="","",OFFSET(掉落_design!$E101,0,掉落_design!L$2,1,1)&amp;";"&amp;OFFSET(掉落_design!$E101,0,掉落_design!L$2+1,1,1)&amp;";"&amp;OFFSET(掉落_design!$E101,0,掉落_design!L$2+2,1,1)&amp;";"&amp;OFFSET(掉落_design!$E101,0,掉落_design!L$2+3,1,1))</f>
        <v/>
      </c>
      <c r="N101" s="16" t="str">
        <f ca="1">IF(OFFSET(掉落_design!$E101,0,掉落_design!M$2,1,1)="","",OFFSET(掉落_design!$E101,0,掉落_design!M$2,1,1)&amp;";"&amp;OFFSET(掉落_design!$E101,0,掉落_design!M$2+1,1,1)&amp;";"&amp;OFFSET(掉落_design!$E101,0,掉落_design!M$2+2,1,1)&amp;";"&amp;OFFSET(掉落_design!$E101,0,掉落_design!M$2+3,1,1))</f>
        <v/>
      </c>
      <c r="O101" s="16" t="str">
        <f ca="1">IF(OFFSET(掉落_design!$E101,0,掉落_design!N$2,1,1)="","",OFFSET(掉落_design!$E101,0,掉落_design!N$2,1,1)&amp;";"&amp;OFFSET(掉落_design!$E101,0,掉落_design!N$2+1,1,1)&amp;";"&amp;OFFSET(掉落_design!$E101,0,掉落_design!N$2+2,1,1)&amp;";"&amp;OFFSET(掉落_design!$E101,0,掉落_design!N$2+3,1,1))</f>
        <v/>
      </c>
      <c r="P101" s="16" t="str">
        <f ca="1">IF(OFFSET(掉落_design!$E101,0,掉落_design!O$2,1,1)="","",OFFSET(掉落_design!$E101,0,掉落_design!O$2,1,1)&amp;";"&amp;OFFSET(掉落_design!$E101,0,掉落_design!O$2+1,1,1)&amp;";"&amp;OFFSET(掉落_design!$E101,0,掉落_design!O$2+2,1,1)&amp;";"&amp;OFFSET(掉落_design!$E101,0,掉落_design!O$2+3,1,1))</f>
        <v/>
      </c>
      <c r="Q101" s="16" t="str">
        <f ca="1">IF(OFFSET(掉落_design!$E101,0,掉落_design!P$2,1,1)="","",OFFSET(掉落_design!$E101,0,掉落_design!P$2,1,1)&amp;";"&amp;OFFSET(掉落_design!$E101,0,掉落_design!P$2+1,1,1)&amp;";"&amp;OFFSET(掉落_design!$E101,0,掉落_design!P$2+2,1,1)&amp;";"&amp;OFFSET(掉落_design!$E101,0,掉落_design!P$2+3,1,1))</f>
        <v/>
      </c>
      <c r="R101" s="16" t="str">
        <f ca="1">IF(OFFSET(掉落_design!$E101,0,掉落_design!Q$2,1,1)="","",OFFSET(掉落_design!$E101,0,掉落_design!Q$2,1,1)&amp;";"&amp;OFFSET(掉落_design!$E101,0,掉落_design!Q$2+1,1,1)&amp;";"&amp;OFFSET(掉落_design!$E101,0,掉落_design!Q$2+2,1,1)&amp;";"&amp;OFFSET(掉落_design!$E101,0,掉落_design!Q$2+3,1,1))</f>
        <v/>
      </c>
      <c r="S101" s="16" t="str">
        <f ca="1">IF(OFFSET(掉落_design!$E101,0,掉落_design!R$2,1,1)="","",OFFSET(掉落_design!$E101,0,掉落_design!R$2,1,1)&amp;";"&amp;OFFSET(掉落_design!$E101,0,掉落_design!R$2+1,1,1)&amp;";"&amp;OFFSET(掉落_design!$E101,0,掉落_design!R$2+2,1,1)&amp;";"&amp;OFFSET(掉落_design!$E101,0,掉落_design!R$2+3,1,1))</f>
        <v/>
      </c>
      <c r="T101" s="16" t="str">
        <f ca="1">IF(OFFSET(掉落_design!$E101,0,掉落_design!S$2,1,1)="","",OFFSET(掉落_design!$E101,0,掉落_design!S$2,1,1)&amp;";"&amp;OFFSET(掉落_design!$E101,0,掉落_design!S$2+1,1,1)&amp;";"&amp;OFFSET(掉落_design!$E101,0,掉落_design!S$2+2,1,1)&amp;";"&amp;OFFSET(掉落_design!$E101,0,掉落_design!S$2+3,1,1))</f>
        <v/>
      </c>
      <c r="U101" s="16" t="str">
        <f ca="1">IF(OFFSET(掉落_design!$E101,0,掉落_design!T$2,1,1)="","",OFFSET(掉落_design!$E101,0,掉落_design!T$2,1,1)&amp;";"&amp;OFFSET(掉落_design!$E101,0,掉落_design!T$2+1,1,1)&amp;";"&amp;OFFSET(掉落_design!$E101,0,掉落_design!T$2+2,1,1)&amp;";"&amp;OFFSET(掉落_design!$E101,0,掉落_design!T$2+3,1,1))</f>
        <v/>
      </c>
      <c r="V101" s="16" t="str">
        <f ca="1">IF(OFFSET(掉落_design!$E101,0,掉落_design!U$2,1,1)="","",OFFSET(掉落_design!$E101,0,掉落_design!U$2,1,1)&amp;";"&amp;OFFSET(掉落_design!$E101,0,掉落_design!U$2+1,1,1)&amp;";"&amp;OFFSET(掉落_design!$E101,0,掉落_design!U$2+2,1,1)&amp;";"&amp;OFFSET(掉落_design!$E101,0,掉落_design!U$2+3,1,1))</f>
        <v/>
      </c>
      <c r="W101" s="16" t="str">
        <f ca="1">IF(OFFSET(掉落_design!$E101,0,掉落_design!V$2,1,1)="","",OFFSET(掉落_design!$E101,0,掉落_design!V$2,1,1)&amp;";"&amp;OFFSET(掉落_design!$E101,0,掉落_design!V$2+1,1,1)&amp;";"&amp;OFFSET(掉落_design!$E101,0,掉落_design!V$2+2,1,1)&amp;";"&amp;OFFSET(掉落_design!$E101,0,掉落_design!V$2+3,1,1))</f>
        <v/>
      </c>
      <c r="X101" s="16" t="str">
        <f ca="1">IF(OFFSET(掉落_design!$E101,0,掉落_design!W$2,1,1)="","",OFFSET(掉落_design!$E101,0,掉落_design!W$2,1,1)&amp;";"&amp;OFFSET(掉落_design!$E101,0,掉落_design!W$2+1,1,1)&amp;";"&amp;OFFSET(掉落_design!$E101,0,掉落_design!W$2+2,1,1)&amp;";"&amp;OFFSET(掉落_design!$E101,0,掉落_design!W$2+3,1,1))</f>
        <v/>
      </c>
      <c r="Y101" s="16" t="str">
        <f ca="1">IF(OFFSET(掉落_design!$E101,0,掉落_design!X$2,1,1)="","",OFFSET(掉落_design!$E101,0,掉落_design!X$2,1,1)&amp;";"&amp;OFFSET(掉落_design!$E101,0,掉落_design!X$2+1,1,1)&amp;";"&amp;OFFSET(掉落_design!$E101,0,掉落_design!X$2+2,1,1)&amp;";"&amp;OFFSET(掉落_design!$E101,0,掉落_design!X$2+3,1,1))</f>
        <v/>
      </c>
    </row>
    <row r="102" spans="1:25" x14ac:dyDescent="0.15">
      <c r="A102" s="11" t="str">
        <f t="shared" si="31"/>
        <v>DATA</v>
      </c>
      <c r="B102" s="25"/>
      <c r="C102" s="25"/>
      <c r="D102" s="15">
        <f>IF(掉落_design!C102="","",掉落_design!C102)</f>
        <v>30501</v>
      </c>
      <c r="E102" s="15">
        <f>IF(A102="","",掉落_design!D102)</f>
        <v>1</v>
      </c>
      <c r="F102" s="16" t="str">
        <f ca="1">IF(OFFSET(掉落_design!$E102,0,掉落_design!E$2,1,1)="","",OFFSET(掉落_design!$E102,0,掉落_design!E$2,1,1)&amp;";"&amp;OFFSET(掉落_design!$E102,0,掉落_design!E$2+1,1,1)&amp;";"&amp;OFFSET(掉落_design!$E102,0,掉落_design!E$2+2,1,1)&amp;";"&amp;OFFSET(掉落_design!$E102,0,掉落_design!E$2+3,1,1))</f>
        <v>1001;50;150;10000</v>
      </c>
      <c r="G102" s="16" t="str">
        <f ca="1">IF(OFFSET(掉落_design!$E102,0,掉落_design!F$2,1,1)="","",OFFSET(掉落_design!$E102,0,掉落_design!F$2,1,1)&amp;";"&amp;OFFSET(掉落_design!$E102,0,掉落_design!F$2+1,1,1)&amp;";"&amp;OFFSET(掉落_design!$E102,0,掉落_design!F$2+2,1,1)&amp;";"&amp;OFFSET(掉落_design!$E102,0,掉落_design!F$2+3,1,1))</f>
        <v/>
      </c>
      <c r="H102" s="16" t="str">
        <f ca="1">IF(OFFSET(掉落_design!$E102,0,掉落_design!G$2,1,1)="","",OFFSET(掉落_design!$E102,0,掉落_design!G$2,1,1)&amp;";"&amp;OFFSET(掉落_design!$E102,0,掉落_design!G$2+1,1,1)&amp;";"&amp;OFFSET(掉落_design!$E102,0,掉落_design!G$2+2,1,1)&amp;";"&amp;OFFSET(掉落_design!$E102,0,掉落_design!G$2+3,1,1))</f>
        <v/>
      </c>
      <c r="I102" s="16" t="str">
        <f ca="1">IF(OFFSET(掉落_design!$E102,0,掉落_design!H$2,1,1)="","",OFFSET(掉落_design!$E102,0,掉落_design!H$2,1,1)&amp;";"&amp;OFFSET(掉落_design!$E102,0,掉落_design!H$2+1,1,1)&amp;";"&amp;OFFSET(掉落_design!$E102,0,掉落_design!H$2+2,1,1)&amp;";"&amp;OFFSET(掉落_design!$E102,0,掉落_design!H$2+3,1,1))</f>
        <v/>
      </c>
      <c r="J102" s="16" t="str">
        <f ca="1">IF(OFFSET(掉落_design!$E102,0,掉落_design!I$2,1,1)="","",OFFSET(掉落_design!$E102,0,掉落_design!I$2,1,1)&amp;";"&amp;OFFSET(掉落_design!$E102,0,掉落_design!I$2+1,1,1)&amp;";"&amp;OFFSET(掉落_design!$E102,0,掉落_design!I$2+2,1,1)&amp;";"&amp;OFFSET(掉落_design!$E102,0,掉落_design!I$2+3,1,1))</f>
        <v/>
      </c>
      <c r="K102" s="16" t="str">
        <f ca="1">IF(OFFSET(掉落_design!$E102,0,掉落_design!J$2,1,1)="","",OFFSET(掉落_design!$E102,0,掉落_design!J$2,1,1)&amp;";"&amp;OFFSET(掉落_design!$E102,0,掉落_design!J$2+1,1,1)&amp;";"&amp;OFFSET(掉落_design!$E102,0,掉落_design!J$2+2,1,1)&amp;";"&amp;OFFSET(掉落_design!$E102,0,掉落_design!J$2+3,1,1))</f>
        <v/>
      </c>
      <c r="L102" s="16" t="str">
        <f ca="1">IF(OFFSET(掉落_design!$E102,0,掉落_design!K$2,1,1)="","",OFFSET(掉落_design!$E102,0,掉落_design!K$2,1,1)&amp;";"&amp;OFFSET(掉落_design!$E102,0,掉落_design!K$2+1,1,1)&amp;";"&amp;OFFSET(掉落_design!$E102,0,掉落_design!K$2+2,1,1)&amp;";"&amp;OFFSET(掉落_design!$E102,0,掉落_design!K$2+3,1,1))</f>
        <v/>
      </c>
      <c r="M102" s="16" t="str">
        <f ca="1">IF(OFFSET(掉落_design!$E102,0,掉落_design!L$2,1,1)="","",OFFSET(掉落_design!$E102,0,掉落_design!L$2,1,1)&amp;";"&amp;OFFSET(掉落_design!$E102,0,掉落_design!L$2+1,1,1)&amp;";"&amp;OFFSET(掉落_design!$E102,0,掉落_design!L$2+2,1,1)&amp;";"&amp;OFFSET(掉落_design!$E102,0,掉落_design!L$2+3,1,1))</f>
        <v/>
      </c>
      <c r="N102" s="16" t="str">
        <f ca="1">IF(OFFSET(掉落_design!$E102,0,掉落_design!M$2,1,1)="","",OFFSET(掉落_design!$E102,0,掉落_design!M$2,1,1)&amp;";"&amp;OFFSET(掉落_design!$E102,0,掉落_design!M$2+1,1,1)&amp;";"&amp;OFFSET(掉落_design!$E102,0,掉落_design!M$2+2,1,1)&amp;";"&amp;OFFSET(掉落_design!$E102,0,掉落_design!M$2+3,1,1))</f>
        <v/>
      </c>
      <c r="O102" s="16" t="str">
        <f ca="1">IF(OFFSET(掉落_design!$E102,0,掉落_design!N$2,1,1)="","",OFFSET(掉落_design!$E102,0,掉落_design!N$2,1,1)&amp;";"&amp;OFFSET(掉落_design!$E102,0,掉落_design!N$2+1,1,1)&amp;";"&amp;OFFSET(掉落_design!$E102,0,掉落_design!N$2+2,1,1)&amp;";"&amp;OFFSET(掉落_design!$E102,0,掉落_design!N$2+3,1,1))</f>
        <v/>
      </c>
      <c r="P102" s="16" t="str">
        <f ca="1">IF(OFFSET(掉落_design!$E102,0,掉落_design!O$2,1,1)="","",OFFSET(掉落_design!$E102,0,掉落_design!O$2,1,1)&amp;";"&amp;OFFSET(掉落_design!$E102,0,掉落_design!O$2+1,1,1)&amp;";"&amp;OFFSET(掉落_design!$E102,0,掉落_design!O$2+2,1,1)&amp;";"&amp;OFFSET(掉落_design!$E102,0,掉落_design!O$2+3,1,1))</f>
        <v/>
      </c>
      <c r="Q102" s="16" t="str">
        <f ca="1">IF(OFFSET(掉落_design!$E102,0,掉落_design!P$2,1,1)="","",OFFSET(掉落_design!$E102,0,掉落_design!P$2,1,1)&amp;";"&amp;OFFSET(掉落_design!$E102,0,掉落_design!P$2+1,1,1)&amp;";"&amp;OFFSET(掉落_design!$E102,0,掉落_design!P$2+2,1,1)&amp;";"&amp;OFFSET(掉落_design!$E102,0,掉落_design!P$2+3,1,1))</f>
        <v/>
      </c>
      <c r="R102" s="16" t="str">
        <f ca="1">IF(OFFSET(掉落_design!$E102,0,掉落_design!Q$2,1,1)="","",OFFSET(掉落_design!$E102,0,掉落_design!Q$2,1,1)&amp;";"&amp;OFFSET(掉落_design!$E102,0,掉落_design!Q$2+1,1,1)&amp;";"&amp;OFFSET(掉落_design!$E102,0,掉落_design!Q$2+2,1,1)&amp;";"&amp;OFFSET(掉落_design!$E102,0,掉落_design!Q$2+3,1,1))</f>
        <v/>
      </c>
      <c r="S102" s="16" t="str">
        <f ca="1">IF(OFFSET(掉落_design!$E102,0,掉落_design!R$2,1,1)="","",OFFSET(掉落_design!$E102,0,掉落_design!R$2,1,1)&amp;";"&amp;OFFSET(掉落_design!$E102,0,掉落_design!R$2+1,1,1)&amp;";"&amp;OFFSET(掉落_design!$E102,0,掉落_design!R$2+2,1,1)&amp;";"&amp;OFFSET(掉落_design!$E102,0,掉落_design!R$2+3,1,1))</f>
        <v/>
      </c>
      <c r="T102" s="16" t="str">
        <f ca="1">IF(OFFSET(掉落_design!$E102,0,掉落_design!S$2,1,1)="","",OFFSET(掉落_design!$E102,0,掉落_design!S$2,1,1)&amp;";"&amp;OFFSET(掉落_design!$E102,0,掉落_design!S$2+1,1,1)&amp;";"&amp;OFFSET(掉落_design!$E102,0,掉落_design!S$2+2,1,1)&amp;";"&amp;OFFSET(掉落_design!$E102,0,掉落_design!S$2+3,1,1))</f>
        <v/>
      </c>
      <c r="U102" s="16" t="str">
        <f ca="1">IF(OFFSET(掉落_design!$E102,0,掉落_design!T$2,1,1)="","",OFFSET(掉落_design!$E102,0,掉落_design!T$2,1,1)&amp;";"&amp;OFFSET(掉落_design!$E102,0,掉落_design!T$2+1,1,1)&amp;";"&amp;OFFSET(掉落_design!$E102,0,掉落_design!T$2+2,1,1)&amp;";"&amp;OFFSET(掉落_design!$E102,0,掉落_design!T$2+3,1,1))</f>
        <v/>
      </c>
      <c r="V102" s="16" t="str">
        <f ca="1">IF(OFFSET(掉落_design!$E102,0,掉落_design!U$2,1,1)="","",OFFSET(掉落_design!$E102,0,掉落_design!U$2,1,1)&amp;";"&amp;OFFSET(掉落_design!$E102,0,掉落_design!U$2+1,1,1)&amp;";"&amp;OFFSET(掉落_design!$E102,0,掉落_design!U$2+2,1,1)&amp;";"&amp;OFFSET(掉落_design!$E102,0,掉落_design!U$2+3,1,1))</f>
        <v/>
      </c>
      <c r="W102" s="16" t="str">
        <f ca="1">IF(OFFSET(掉落_design!$E102,0,掉落_design!V$2,1,1)="","",OFFSET(掉落_design!$E102,0,掉落_design!V$2,1,1)&amp;";"&amp;OFFSET(掉落_design!$E102,0,掉落_design!V$2+1,1,1)&amp;";"&amp;OFFSET(掉落_design!$E102,0,掉落_design!V$2+2,1,1)&amp;";"&amp;OFFSET(掉落_design!$E102,0,掉落_design!V$2+3,1,1))</f>
        <v/>
      </c>
      <c r="X102" s="16" t="str">
        <f ca="1">IF(OFFSET(掉落_design!$E102,0,掉落_design!W$2,1,1)="","",OFFSET(掉落_design!$E102,0,掉落_design!W$2,1,1)&amp;";"&amp;OFFSET(掉落_design!$E102,0,掉落_design!W$2+1,1,1)&amp;";"&amp;OFFSET(掉落_design!$E102,0,掉落_design!W$2+2,1,1)&amp;";"&amp;OFFSET(掉落_design!$E102,0,掉落_design!W$2+3,1,1))</f>
        <v/>
      </c>
      <c r="Y102" s="16" t="str">
        <f ca="1">IF(OFFSET(掉落_design!$E102,0,掉落_design!X$2,1,1)="","",OFFSET(掉落_design!$E102,0,掉落_design!X$2,1,1)&amp;";"&amp;OFFSET(掉落_design!$E102,0,掉落_design!X$2+1,1,1)&amp;";"&amp;OFFSET(掉落_design!$E102,0,掉落_design!X$2+2,1,1)&amp;";"&amp;OFFSET(掉落_design!$E102,0,掉落_design!X$2+3,1,1))</f>
        <v/>
      </c>
    </row>
    <row r="103" spans="1:25" x14ac:dyDescent="0.15">
      <c r="A103" s="11" t="str">
        <f t="shared" si="31"/>
        <v/>
      </c>
      <c r="B103" s="25"/>
      <c r="C103" s="25"/>
      <c r="D103" s="15" t="str">
        <f>IF(掉落_design!C103="","",掉落_design!C103)</f>
        <v/>
      </c>
      <c r="E103" s="15" t="str">
        <f>IF(A103="","",掉落_design!D103)</f>
        <v/>
      </c>
      <c r="F103" s="16" t="str">
        <f ca="1">IF(OFFSET(掉落_design!$E103,0,掉落_design!E$2,1,1)="","",OFFSET(掉落_design!$E103,0,掉落_design!E$2,1,1)&amp;";"&amp;OFFSET(掉落_design!$E103,0,掉落_design!E$2+1,1,1)&amp;";"&amp;OFFSET(掉落_design!$E103,0,掉落_design!E$2+2,1,1)&amp;";"&amp;OFFSET(掉落_design!$E103,0,掉落_design!E$2+3,1,1))</f>
        <v/>
      </c>
      <c r="G103" s="16" t="str">
        <f ca="1">IF(OFFSET(掉落_design!$E103,0,掉落_design!F$2,1,1)="","",OFFSET(掉落_design!$E103,0,掉落_design!F$2,1,1)&amp;";"&amp;OFFSET(掉落_design!$E103,0,掉落_design!F$2+1,1,1)&amp;";"&amp;OFFSET(掉落_design!$E103,0,掉落_design!F$2+2,1,1)&amp;";"&amp;OFFSET(掉落_design!$E103,0,掉落_design!F$2+3,1,1))</f>
        <v/>
      </c>
      <c r="H103" s="16" t="str">
        <f ca="1">IF(OFFSET(掉落_design!$E103,0,掉落_design!G$2,1,1)="","",OFFSET(掉落_design!$E103,0,掉落_design!G$2,1,1)&amp;";"&amp;OFFSET(掉落_design!$E103,0,掉落_design!G$2+1,1,1)&amp;";"&amp;OFFSET(掉落_design!$E103,0,掉落_design!G$2+2,1,1)&amp;";"&amp;OFFSET(掉落_design!$E103,0,掉落_design!G$2+3,1,1))</f>
        <v/>
      </c>
      <c r="I103" s="16" t="str">
        <f ca="1">IF(OFFSET(掉落_design!$E103,0,掉落_design!H$2,1,1)="","",OFFSET(掉落_design!$E103,0,掉落_design!H$2,1,1)&amp;";"&amp;OFFSET(掉落_design!$E103,0,掉落_design!H$2+1,1,1)&amp;";"&amp;OFFSET(掉落_design!$E103,0,掉落_design!H$2+2,1,1)&amp;";"&amp;OFFSET(掉落_design!$E103,0,掉落_design!H$2+3,1,1))</f>
        <v/>
      </c>
      <c r="J103" s="16" t="str">
        <f ca="1">IF(OFFSET(掉落_design!$E103,0,掉落_design!I$2,1,1)="","",OFFSET(掉落_design!$E103,0,掉落_design!I$2,1,1)&amp;";"&amp;OFFSET(掉落_design!$E103,0,掉落_design!I$2+1,1,1)&amp;";"&amp;OFFSET(掉落_design!$E103,0,掉落_design!I$2+2,1,1)&amp;";"&amp;OFFSET(掉落_design!$E103,0,掉落_design!I$2+3,1,1))</f>
        <v/>
      </c>
      <c r="K103" s="16" t="str">
        <f ca="1">IF(OFFSET(掉落_design!$E103,0,掉落_design!J$2,1,1)="","",OFFSET(掉落_design!$E103,0,掉落_design!J$2,1,1)&amp;";"&amp;OFFSET(掉落_design!$E103,0,掉落_design!J$2+1,1,1)&amp;";"&amp;OFFSET(掉落_design!$E103,0,掉落_design!J$2+2,1,1)&amp;";"&amp;OFFSET(掉落_design!$E103,0,掉落_design!J$2+3,1,1))</f>
        <v/>
      </c>
      <c r="L103" s="16" t="str">
        <f ca="1">IF(OFFSET(掉落_design!$E103,0,掉落_design!K$2,1,1)="","",OFFSET(掉落_design!$E103,0,掉落_design!K$2,1,1)&amp;";"&amp;OFFSET(掉落_design!$E103,0,掉落_design!K$2+1,1,1)&amp;";"&amp;OFFSET(掉落_design!$E103,0,掉落_design!K$2+2,1,1)&amp;";"&amp;OFFSET(掉落_design!$E103,0,掉落_design!K$2+3,1,1))</f>
        <v/>
      </c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</row>
    <row r="104" spans="1:25" x14ac:dyDescent="0.15">
      <c r="A104" s="11" t="str">
        <f t="shared" si="31"/>
        <v/>
      </c>
      <c r="B104" s="25"/>
      <c r="C104" s="25"/>
      <c r="D104" s="15" t="str">
        <f>IF(掉落_design!C104="","",掉落_design!C104)</f>
        <v/>
      </c>
      <c r="E104" s="15" t="str">
        <f>IF(A104="","",掉落_design!D104)</f>
        <v/>
      </c>
      <c r="F104" s="16" t="str">
        <f ca="1">IF(OFFSET(掉落_design!$E104,0,掉落_design!E$2,1,1)="","",OFFSET(掉落_design!$E104,0,掉落_design!E$2,1,1)&amp;";"&amp;OFFSET(掉落_design!$E104,0,掉落_design!E$2+1,1,1)&amp;";"&amp;OFFSET(掉落_design!$E104,0,掉落_design!E$2+2,1,1)&amp;";"&amp;OFFSET(掉落_design!$E104,0,掉落_design!E$2+3,1,1))</f>
        <v/>
      </c>
      <c r="G104" s="16" t="str">
        <f ca="1">IF(OFFSET(掉落_design!$E104,0,掉落_design!F$2,1,1)="","",OFFSET(掉落_design!$E104,0,掉落_design!F$2,1,1)&amp;";"&amp;OFFSET(掉落_design!$E104,0,掉落_design!F$2+1,1,1)&amp;";"&amp;OFFSET(掉落_design!$E104,0,掉落_design!F$2+2,1,1)&amp;";"&amp;OFFSET(掉落_design!$E104,0,掉落_design!F$2+3,1,1))</f>
        <v/>
      </c>
      <c r="H104" s="16" t="str">
        <f ca="1">IF(OFFSET(掉落_design!$E104,0,掉落_design!G$2,1,1)="","",OFFSET(掉落_design!$E104,0,掉落_design!G$2,1,1)&amp;";"&amp;OFFSET(掉落_design!$E104,0,掉落_design!G$2+1,1,1)&amp;";"&amp;OFFSET(掉落_design!$E104,0,掉落_design!G$2+2,1,1)&amp;";"&amp;OFFSET(掉落_design!$E104,0,掉落_design!G$2+3,1,1))</f>
        <v/>
      </c>
      <c r="I104" s="16" t="str">
        <f ca="1">IF(OFFSET(掉落_design!$E104,0,掉落_design!H$2,1,1)="","",OFFSET(掉落_design!$E104,0,掉落_design!H$2,1,1)&amp;";"&amp;OFFSET(掉落_design!$E104,0,掉落_design!H$2+1,1,1)&amp;";"&amp;OFFSET(掉落_design!$E104,0,掉落_design!H$2+2,1,1)&amp;";"&amp;OFFSET(掉落_design!$E104,0,掉落_design!H$2+3,1,1))</f>
        <v/>
      </c>
      <c r="J104" s="16" t="str">
        <f ca="1">IF(OFFSET(掉落_design!$E104,0,掉落_design!I$2,1,1)="","",OFFSET(掉落_design!$E104,0,掉落_design!I$2,1,1)&amp;";"&amp;OFFSET(掉落_design!$E104,0,掉落_design!I$2+1,1,1)&amp;";"&amp;OFFSET(掉落_design!$E104,0,掉落_design!I$2+2,1,1)&amp;";"&amp;OFFSET(掉落_design!$E104,0,掉落_design!I$2+3,1,1))</f>
        <v/>
      </c>
      <c r="K104" s="16" t="str">
        <f ca="1">IF(OFFSET(掉落_design!$E104,0,掉落_design!J$2,1,1)="","",OFFSET(掉落_design!$E104,0,掉落_design!J$2,1,1)&amp;";"&amp;OFFSET(掉落_design!$E104,0,掉落_design!J$2+1,1,1)&amp;";"&amp;OFFSET(掉落_design!$E104,0,掉落_design!J$2+2,1,1)&amp;";"&amp;OFFSET(掉落_design!$E104,0,掉落_design!J$2+3,1,1))</f>
        <v/>
      </c>
      <c r="L104" s="16" t="str">
        <f ca="1">IF(OFFSET(掉落_design!$E104,0,掉落_design!K$2,1,1)="","",OFFSET(掉落_design!$E104,0,掉落_design!K$2,1,1)&amp;";"&amp;OFFSET(掉落_design!$E104,0,掉落_design!K$2+1,1,1)&amp;";"&amp;OFFSET(掉落_design!$E104,0,掉落_design!K$2+2,1,1)&amp;";"&amp;OFFSET(掉落_design!$E104,0,掉落_design!K$2+3,1,1))</f>
        <v/>
      </c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</row>
    <row r="105" spans="1:25" x14ac:dyDescent="0.15">
      <c r="A105" s="11" t="str">
        <f t="shared" si="31"/>
        <v>DATA</v>
      </c>
      <c r="B105" s="25"/>
      <c r="C105" s="25"/>
      <c r="D105" s="15">
        <f>IF(掉落_design!C105="","",掉落_design!C105)</f>
        <v>30601</v>
      </c>
      <c r="E105" s="15">
        <f>IF(A105="","",掉落_design!D105)</f>
        <v>1</v>
      </c>
      <c r="F105" s="16" t="str">
        <f ca="1">IF(OFFSET(掉落_design!$E105,0,掉落_design!E$2,1,1)="","",OFFSET(掉落_design!$E105,0,掉落_design!E$2,1,1)&amp;";"&amp;OFFSET(掉落_design!$E105,0,掉落_design!E$2+1,1,1)&amp;";"&amp;OFFSET(掉落_design!$E105,0,掉落_design!E$2+2,1,1)&amp;";"&amp;OFFSET(掉落_design!$E105,0,掉落_design!E$2+3,1,1))</f>
        <v>1001;500;500;10000</v>
      </c>
      <c r="G105" s="16" t="str">
        <f ca="1">IF(OFFSET(掉落_design!$E105,0,掉落_design!F$2,1,1)="","",OFFSET(掉落_design!$E105,0,掉落_design!F$2,1,1)&amp;";"&amp;OFFSET(掉落_design!$E105,0,掉落_design!F$2+1,1,1)&amp;";"&amp;OFFSET(掉落_design!$E105,0,掉落_design!F$2+2,1,1)&amp;";"&amp;OFFSET(掉落_design!$E105,0,掉落_design!F$2+3,1,1))</f>
        <v>1000;5;5;10000</v>
      </c>
      <c r="H105" s="16" t="str">
        <f ca="1">IF(OFFSET(掉落_design!$E105,0,掉落_design!G$2,1,1)="","",OFFSET(掉落_design!$E105,0,掉落_design!G$2,1,1)&amp;";"&amp;OFFSET(掉落_design!$E105,0,掉落_design!G$2+1,1,1)&amp;";"&amp;OFFSET(掉落_design!$E105,0,掉落_design!G$2+2,1,1)&amp;";"&amp;OFFSET(掉落_design!$E105,0,掉落_design!G$2+3,1,1))</f>
        <v>1100;1;1;10000</v>
      </c>
      <c r="I105" s="16" t="str">
        <f ca="1">IF(OFFSET(掉落_design!$E105,0,掉落_design!H$2,1,1)="","",OFFSET(掉落_design!$E105,0,掉落_design!H$2,1,1)&amp;";"&amp;OFFSET(掉落_design!$E105,0,掉落_design!H$2+1,1,1)&amp;";"&amp;OFFSET(掉落_design!$E105,0,掉落_design!H$2+2,1,1)&amp;";"&amp;OFFSET(掉落_design!$E105,0,掉落_design!H$2+3,1,1))</f>
        <v/>
      </c>
      <c r="J105" s="16" t="str">
        <f ca="1">IF(OFFSET(掉落_design!$E105,0,掉落_design!I$2,1,1)="","",OFFSET(掉落_design!$E105,0,掉落_design!I$2,1,1)&amp;";"&amp;OFFSET(掉落_design!$E105,0,掉落_design!I$2+1,1,1)&amp;";"&amp;OFFSET(掉落_design!$E105,0,掉落_design!I$2+2,1,1)&amp;";"&amp;OFFSET(掉落_design!$E105,0,掉落_design!I$2+3,1,1))</f>
        <v/>
      </c>
      <c r="K105" s="16" t="str">
        <f ca="1">IF(OFFSET(掉落_design!$E105,0,掉落_design!J$2,1,1)="","",OFFSET(掉落_design!$E105,0,掉落_design!J$2,1,1)&amp;";"&amp;OFFSET(掉落_design!$E105,0,掉落_design!J$2+1,1,1)&amp;";"&amp;OFFSET(掉落_design!$E105,0,掉落_design!J$2+2,1,1)&amp;";"&amp;OFFSET(掉落_design!$E105,0,掉落_design!J$2+3,1,1))</f>
        <v/>
      </c>
      <c r="L105" s="16" t="str">
        <f ca="1">IF(OFFSET(掉落_design!$E105,0,掉落_design!K$2,1,1)="","",OFFSET(掉落_design!$E105,0,掉落_design!K$2,1,1)&amp;";"&amp;OFFSET(掉落_design!$E105,0,掉落_design!K$2+1,1,1)&amp;";"&amp;OFFSET(掉落_design!$E105,0,掉落_design!K$2+2,1,1)&amp;";"&amp;OFFSET(掉落_design!$E105,0,掉落_design!K$2+3,1,1))</f>
        <v/>
      </c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</row>
    <row r="106" spans="1:25" x14ac:dyDescent="0.15">
      <c r="A106" s="11" t="str">
        <f t="shared" si="31"/>
        <v>DATA</v>
      </c>
      <c r="B106" s="25"/>
      <c r="C106" s="25"/>
      <c r="D106" s="15">
        <f>IF(掉落_design!C106="","",掉落_design!C106)</f>
        <v>30602</v>
      </c>
      <c r="E106" s="15">
        <f>IF(A106="","",掉落_design!D106)</f>
        <v>1</v>
      </c>
      <c r="F106" s="16" t="str">
        <f ca="1">IF(OFFSET(掉落_design!$E106,0,掉落_design!E$2,1,1)="","",OFFSET(掉落_design!$E106,0,掉落_design!E$2,1,1)&amp;";"&amp;OFFSET(掉落_design!$E106,0,掉落_design!E$2+1,1,1)&amp;";"&amp;OFFSET(掉落_design!$E106,0,掉落_design!E$2+2,1,1)&amp;";"&amp;OFFSET(掉落_design!$E106,0,掉落_design!E$2+3,1,1))</f>
        <v>1001;1000;1000;10000</v>
      </c>
      <c r="G106" s="16" t="str">
        <f ca="1">IF(OFFSET(掉落_design!$E106,0,掉落_design!F$2,1,1)="","",OFFSET(掉落_design!$E106,0,掉落_design!F$2,1,1)&amp;";"&amp;OFFSET(掉落_design!$E106,0,掉落_design!F$2+1,1,1)&amp;";"&amp;OFFSET(掉落_design!$E106,0,掉落_design!F$2+2,1,1)&amp;";"&amp;OFFSET(掉落_design!$E106,0,掉落_design!F$2+3,1,1))</f>
        <v>1000;10;10;10000</v>
      </c>
      <c r="H106" s="16" t="str">
        <f ca="1">IF(OFFSET(掉落_design!$E106,0,掉落_design!G$2,1,1)="","",OFFSET(掉落_design!$E106,0,掉落_design!G$2,1,1)&amp;";"&amp;OFFSET(掉落_design!$E106,0,掉落_design!G$2+1,1,1)&amp;";"&amp;OFFSET(掉落_design!$E106,0,掉落_design!G$2+2,1,1)&amp;";"&amp;OFFSET(掉落_design!$E106,0,掉落_design!G$2+3,1,1))</f>
        <v>1100;2;2;10000</v>
      </c>
      <c r="I106" s="16" t="str">
        <f ca="1">IF(OFFSET(掉落_design!$E106,0,掉落_design!H$2,1,1)="","",OFFSET(掉落_design!$E106,0,掉落_design!H$2,1,1)&amp;";"&amp;OFFSET(掉落_design!$E106,0,掉落_design!H$2+1,1,1)&amp;";"&amp;OFFSET(掉落_design!$E106,0,掉落_design!H$2+2,1,1)&amp;";"&amp;OFFSET(掉落_design!$E106,0,掉落_design!H$2+3,1,1))</f>
        <v/>
      </c>
      <c r="J106" s="16" t="str">
        <f ca="1">IF(OFFSET(掉落_design!$E106,0,掉落_design!I$2,1,1)="","",OFFSET(掉落_design!$E106,0,掉落_design!I$2,1,1)&amp;";"&amp;OFFSET(掉落_design!$E106,0,掉落_design!I$2+1,1,1)&amp;";"&amp;OFFSET(掉落_design!$E106,0,掉落_design!I$2+2,1,1)&amp;";"&amp;OFFSET(掉落_design!$E106,0,掉落_design!I$2+3,1,1))</f>
        <v/>
      </c>
      <c r="K106" s="16" t="str">
        <f ca="1">IF(OFFSET(掉落_design!$E106,0,掉落_design!J$2,1,1)="","",OFFSET(掉落_design!$E106,0,掉落_design!J$2,1,1)&amp;";"&amp;OFFSET(掉落_design!$E106,0,掉落_design!J$2+1,1,1)&amp;";"&amp;OFFSET(掉落_design!$E106,0,掉落_design!J$2+2,1,1)&amp;";"&amp;OFFSET(掉落_design!$E106,0,掉落_design!J$2+3,1,1))</f>
        <v/>
      </c>
      <c r="L106" s="16" t="str">
        <f ca="1">IF(OFFSET(掉落_design!$E106,0,掉落_design!K$2,1,1)="","",OFFSET(掉落_design!$E106,0,掉落_design!K$2,1,1)&amp;";"&amp;OFFSET(掉落_design!$E106,0,掉落_design!K$2+1,1,1)&amp;";"&amp;OFFSET(掉落_design!$E106,0,掉落_design!K$2+2,1,1)&amp;";"&amp;OFFSET(掉落_design!$E106,0,掉落_design!K$2+3,1,1))</f>
        <v/>
      </c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</row>
    <row r="107" spans="1:25" x14ac:dyDescent="0.15">
      <c r="A107" s="11" t="str">
        <f t="shared" si="31"/>
        <v>DATA</v>
      </c>
      <c r="B107" s="25"/>
      <c r="C107" s="25"/>
      <c r="D107" s="15">
        <f>IF(掉落_design!C107="","",掉落_design!C107)</f>
        <v>30603</v>
      </c>
      <c r="E107" s="15">
        <f>IF(A107="","",掉落_design!D107)</f>
        <v>1</v>
      </c>
      <c r="F107" s="16" t="str">
        <f ca="1">IF(OFFSET(掉落_design!$E107,0,掉落_design!E$2,1,1)="","",OFFSET(掉落_design!$E107,0,掉落_design!E$2,1,1)&amp;";"&amp;OFFSET(掉落_design!$E107,0,掉落_design!E$2+1,1,1)&amp;";"&amp;OFFSET(掉落_design!$E107,0,掉落_design!E$2+2,1,1)&amp;";"&amp;OFFSET(掉落_design!$E107,0,掉落_design!E$2+3,1,1))</f>
        <v>1001;2000;2000;10000</v>
      </c>
      <c r="G107" s="16" t="str">
        <f ca="1">IF(OFFSET(掉落_design!$E107,0,掉落_design!F$2,1,1)="","",OFFSET(掉落_design!$E107,0,掉落_design!F$2,1,1)&amp;";"&amp;OFFSET(掉落_design!$E107,0,掉落_design!F$2+1,1,1)&amp;";"&amp;OFFSET(掉落_design!$E107,0,掉落_design!F$2+2,1,1)&amp;";"&amp;OFFSET(掉落_design!$E107,0,掉落_design!F$2+3,1,1))</f>
        <v>1100;2;2;10000</v>
      </c>
      <c r="H107" s="16" t="str">
        <f ca="1">IF(OFFSET(掉落_design!$E107,0,掉落_design!G$2,1,1)="","",OFFSET(掉落_design!$E107,0,掉落_design!G$2,1,1)&amp;";"&amp;OFFSET(掉落_design!$E107,0,掉落_design!G$2+1,1,1)&amp;";"&amp;OFFSET(掉落_design!$E107,0,掉落_design!G$2+2,1,1)&amp;";"&amp;OFFSET(掉落_design!$E107,0,掉落_design!G$2+3,1,1))</f>
        <v>1101;1;1;10000</v>
      </c>
      <c r="I107" s="16" t="str">
        <f ca="1">IF(OFFSET(掉落_design!$E107,0,掉落_design!H$2,1,1)="","",OFFSET(掉落_design!$E107,0,掉落_design!H$2,1,1)&amp;";"&amp;OFFSET(掉落_design!$E107,0,掉落_design!H$2+1,1,1)&amp;";"&amp;OFFSET(掉落_design!$E107,0,掉落_design!H$2+2,1,1)&amp;";"&amp;OFFSET(掉落_design!$E107,0,掉落_design!H$2+3,1,1))</f>
        <v/>
      </c>
      <c r="J107" s="16" t="str">
        <f ca="1">IF(OFFSET(掉落_design!$E107,0,掉落_design!I$2,1,1)="","",OFFSET(掉落_design!$E107,0,掉落_design!I$2,1,1)&amp;";"&amp;OFFSET(掉落_design!$E107,0,掉落_design!I$2+1,1,1)&amp;";"&amp;OFFSET(掉落_design!$E107,0,掉落_design!I$2+2,1,1)&amp;";"&amp;OFFSET(掉落_design!$E107,0,掉落_design!I$2+3,1,1))</f>
        <v/>
      </c>
      <c r="K107" s="16" t="str">
        <f ca="1">IF(OFFSET(掉落_design!$E107,0,掉落_design!J$2,1,1)="","",OFFSET(掉落_design!$E107,0,掉落_design!J$2,1,1)&amp;";"&amp;OFFSET(掉落_design!$E107,0,掉落_design!J$2+1,1,1)&amp;";"&amp;OFFSET(掉落_design!$E107,0,掉落_design!J$2+2,1,1)&amp;";"&amp;OFFSET(掉落_design!$E107,0,掉落_design!J$2+3,1,1))</f>
        <v/>
      </c>
      <c r="L107" s="16" t="str">
        <f ca="1">IF(OFFSET(掉落_design!$E107,0,掉落_design!K$2,1,1)="","",OFFSET(掉落_design!$E107,0,掉落_design!K$2,1,1)&amp;";"&amp;OFFSET(掉落_design!$E107,0,掉落_design!K$2+1,1,1)&amp;";"&amp;OFFSET(掉落_design!$E107,0,掉落_design!K$2+2,1,1)&amp;";"&amp;OFFSET(掉落_design!$E107,0,掉落_design!K$2+3,1,1))</f>
        <v/>
      </c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</row>
    <row r="108" spans="1:25" x14ac:dyDescent="0.15">
      <c r="A108" s="11" t="str">
        <f t="shared" si="31"/>
        <v>DATA</v>
      </c>
      <c r="B108" s="25"/>
      <c r="C108" s="25"/>
      <c r="D108" s="15">
        <f>IF(掉落_design!C108="","",掉落_design!C108)</f>
        <v>30604</v>
      </c>
      <c r="E108" s="15">
        <f>IF(A108="","",掉落_design!D108)</f>
        <v>1</v>
      </c>
      <c r="F108" s="16" t="str">
        <f ca="1">IF(OFFSET(掉落_design!$E108,0,掉落_design!E$2,1,1)="","",OFFSET(掉落_design!$E108,0,掉落_design!E$2,1,1)&amp;";"&amp;OFFSET(掉落_design!$E108,0,掉落_design!E$2+1,1,1)&amp;";"&amp;OFFSET(掉落_design!$E108,0,掉落_design!E$2+2,1,1)&amp;";"&amp;OFFSET(掉落_design!$E108,0,掉落_design!E$2+3,1,1))</f>
        <v>1001;3000;3000;10000</v>
      </c>
      <c r="G108" s="16" t="str">
        <f ca="1">IF(OFFSET(掉落_design!$E108,0,掉落_design!F$2,1,1)="","",OFFSET(掉落_design!$E108,0,掉落_design!F$2,1,1)&amp;";"&amp;OFFSET(掉落_design!$E108,0,掉落_design!F$2+1,1,1)&amp;";"&amp;OFFSET(掉落_design!$E108,0,掉落_design!F$2+2,1,1)&amp;";"&amp;OFFSET(掉落_design!$E108,0,掉落_design!F$2+3,1,1))</f>
        <v>1100;3;3;10000</v>
      </c>
      <c r="H108" s="16" t="str">
        <f ca="1">IF(OFFSET(掉落_design!$E108,0,掉落_design!G$2,1,1)="","",OFFSET(掉落_design!$E108,0,掉落_design!G$2,1,1)&amp;";"&amp;OFFSET(掉落_design!$E108,0,掉落_design!G$2+1,1,1)&amp;";"&amp;OFFSET(掉落_design!$E108,0,掉落_design!G$2+2,1,1)&amp;";"&amp;OFFSET(掉落_design!$E108,0,掉落_design!G$2+3,1,1))</f>
        <v>1101;2;2;10000</v>
      </c>
      <c r="I108" s="16" t="str">
        <f ca="1">IF(OFFSET(掉落_design!$E108,0,掉落_design!H$2,1,1)="","",OFFSET(掉落_design!$E108,0,掉落_design!H$2,1,1)&amp;";"&amp;OFFSET(掉落_design!$E108,0,掉落_design!H$2+1,1,1)&amp;";"&amp;OFFSET(掉落_design!$E108,0,掉落_design!H$2+2,1,1)&amp;";"&amp;OFFSET(掉落_design!$E108,0,掉落_design!H$2+3,1,1))</f>
        <v/>
      </c>
      <c r="J108" s="16" t="str">
        <f ca="1">IF(OFFSET(掉落_design!$E108,0,掉落_design!I$2,1,1)="","",OFFSET(掉落_design!$E108,0,掉落_design!I$2,1,1)&amp;";"&amp;OFFSET(掉落_design!$E108,0,掉落_design!I$2+1,1,1)&amp;";"&amp;OFFSET(掉落_design!$E108,0,掉落_design!I$2+2,1,1)&amp;";"&amp;OFFSET(掉落_design!$E108,0,掉落_design!I$2+3,1,1))</f>
        <v/>
      </c>
      <c r="K108" s="16" t="str">
        <f ca="1">IF(OFFSET(掉落_design!$E108,0,掉落_design!J$2,1,1)="","",OFFSET(掉落_design!$E108,0,掉落_design!J$2,1,1)&amp;";"&amp;OFFSET(掉落_design!$E108,0,掉落_design!J$2+1,1,1)&amp;";"&amp;OFFSET(掉落_design!$E108,0,掉落_design!J$2+2,1,1)&amp;";"&amp;OFFSET(掉落_design!$E108,0,掉落_design!J$2+3,1,1))</f>
        <v/>
      </c>
      <c r="L108" s="16" t="str">
        <f ca="1">IF(OFFSET(掉落_design!$E108,0,掉落_design!K$2,1,1)="","",OFFSET(掉落_design!$E108,0,掉落_design!K$2,1,1)&amp;";"&amp;OFFSET(掉落_design!$E108,0,掉落_design!K$2+1,1,1)&amp;";"&amp;OFFSET(掉落_design!$E108,0,掉落_design!K$2+2,1,1)&amp;";"&amp;OFFSET(掉落_design!$E108,0,掉落_design!K$2+3,1,1))</f>
        <v/>
      </c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</row>
    <row r="109" spans="1:25" x14ac:dyDescent="0.15">
      <c r="A109" s="11" t="str">
        <f t="shared" si="31"/>
        <v>DATA</v>
      </c>
      <c r="B109" s="25"/>
      <c r="C109" s="25"/>
      <c r="D109" s="15">
        <f>IF(掉落_design!C109="","",掉落_design!C109)</f>
        <v>30605</v>
      </c>
      <c r="E109" s="15">
        <f>IF(A109="","",掉落_design!D109)</f>
        <v>1</v>
      </c>
      <c r="F109" s="16" t="str">
        <f ca="1">IF(OFFSET(掉落_design!$E109,0,掉落_design!E$2,1,1)="","",OFFSET(掉落_design!$E109,0,掉落_design!E$2,1,1)&amp;";"&amp;OFFSET(掉落_design!$E109,0,掉落_design!E$2+1,1,1)&amp;";"&amp;OFFSET(掉落_design!$E109,0,掉落_design!E$2+2,1,1)&amp;";"&amp;OFFSET(掉落_design!$E109,0,掉落_design!E$2+3,1,1))</f>
        <v>1001;1000;1000;10000</v>
      </c>
      <c r="G109" s="16" t="str">
        <f ca="1">IF(OFFSET(掉落_design!$E109,0,掉落_design!F$2,1,1)="","",OFFSET(掉落_design!$E109,0,掉落_design!F$2,1,1)&amp;";"&amp;OFFSET(掉落_design!$E109,0,掉落_design!F$2+1,1,1)&amp;";"&amp;OFFSET(掉落_design!$E109,0,掉落_design!F$2+2,1,1)&amp;";"&amp;OFFSET(掉落_design!$E109,0,掉落_design!F$2+3,1,1))</f>
        <v>1000;10;10;10000</v>
      </c>
      <c r="H109" s="16" t="str">
        <f ca="1">IF(OFFSET(掉落_design!$E109,0,掉落_design!G$2,1,1)="","",OFFSET(掉落_design!$E109,0,掉落_design!G$2,1,1)&amp;";"&amp;OFFSET(掉落_design!$E109,0,掉落_design!G$2+1,1,1)&amp;";"&amp;OFFSET(掉落_design!$E109,0,掉落_design!G$2+2,1,1)&amp;";"&amp;OFFSET(掉落_design!$E109,0,掉落_design!G$2+3,1,1))</f>
        <v>1100;1;1;10000</v>
      </c>
      <c r="I109" s="16" t="str">
        <f ca="1">IF(OFFSET(掉落_design!$E109,0,掉落_design!H$2,1,1)="","",OFFSET(掉落_design!$E109,0,掉落_design!H$2,1,1)&amp;";"&amp;OFFSET(掉落_design!$E109,0,掉落_design!H$2+1,1,1)&amp;";"&amp;OFFSET(掉落_design!$E109,0,掉落_design!H$2+2,1,1)&amp;";"&amp;OFFSET(掉落_design!$E109,0,掉落_design!H$2+3,1,1))</f>
        <v>1101;2;2;10000</v>
      </c>
      <c r="J109" s="16" t="str">
        <f ca="1">IF(OFFSET(掉落_design!$E109,0,掉落_design!I$2,1,1)="","",OFFSET(掉落_design!$E109,0,掉落_design!I$2,1,1)&amp;";"&amp;OFFSET(掉落_design!$E109,0,掉落_design!I$2+1,1,1)&amp;";"&amp;OFFSET(掉落_design!$E109,0,掉落_design!I$2+2,1,1)&amp;";"&amp;OFFSET(掉落_design!$E109,0,掉落_design!I$2+3,1,1))</f>
        <v/>
      </c>
      <c r="K109" s="16" t="str">
        <f ca="1">IF(OFFSET(掉落_design!$E109,0,掉落_design!J$2,1,1)="","",OFFSET(掉落_design!$E109,0,掉落_design!J$2,1,1)&amp;";"&amp;OFFSET(掉落_design!$E109,0,掉落_design!J$2+1,1,1)&amp;";"&amp;OFFSET(掉落_design!$E109,0,掉落_design!J$2+2,1,1)&amp;";"&amp;OFFSET(掉落_design!$E109,0,掉落_design!J$2+3,1,1))</f>
        <v/>
      </c>
      <c r="L109" s="16" t="str">
        <f ca="1">IF(OFFSET(掉落_design!$E109,0,掉落_design!K$2,1,1)="","",OFFSET(掉落_design!$E109,0,掉落_design!K$2,1,1)&amp;";"&amp;OFFSET(掉落_design!$E109,0,掉落_design!K$2+1,1,1)&amp;";"&amp;OFFSET(掉落_design!$E109,0,掉落_design!K$2+2,1,1)&amp;";"&amp;OFFSET(掉落_design!$E109,0,掉落_design!K$2+3,1,1))</f>
        <v/>
      </c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</row>
    <row r="110" spans="1:25" x14ac:dyDescent="0.15">
      <c r="A110" s="11" t="str">
        <f t="shared" si="31"/>
        <v>DATA</v>
      </c>
      <c r="B110" s="25"/>
      <c r="C110" s="25"/>
      <c r="D110" s="15">
        <f>IF(掉落_design!C110="","",掉落_design!C110)</f>
        <v>30606</v>
      </c>
      <c r="E110" s="15">
        <f>IF(A110="","",掉落_design!D110)</f>
        <v>1</v>
      </c>
      <c r="F110" s="16" t="str">
        <f ca="1">IF(OFFSET(掉落_design!$E110,0,掉落_design!E$2,1,1)="","",OFFSET(掉落_design!$E110,0,掉落_design!E$2,1,1)&amp;";"&amp;OFFSET(掉落_design!$E110,0,掉落_design!E$2+1,1,1)&amp;";"&amp;OFFSET(掉落_design!$E110,0,掉落_design!E$2+2,1,1)&amp;";"&amp;OFFSET(掉落_design!$E110,0,掉落_design!E$2+3,1,1))</f>
        <v>1001;2000;2000;10000</v>
      </c>
      <c r="G110" s="16" t="str">
        <f ca="1">IF(OFFSET(掉落_design!$E110,0,掉落_design!F$2,1,1)="","",OFFSET(掉落_design!$E110,0,掉落_design!F$2,1,1)&amp;";"&amp;OFFSET(掉落_design!$E110,0,掉落_design!F$2+1,1,1)&amp;";"&amp;OFFSET(掉落_design!$E110,0,掉落_design!F$2+2,1,1)&amp;";"&amp;OFFSET(掉落_design!$E110,0,掉落_design!F$2+3,1,1))</f>
        <v>1000;20;20;10000</v>
      </c>
      <c r="H110" s="16" t="str">
        <f ca="1">IF(OFFSET(掉落_design!$E110,0,掉落_design!G$2,1,1)="","",OFFSET(掉落_design!$E110,0,掉落_design!G$2,1,1)&amp;";"&amp;OFFSET(掉落_design!$E110,0,掉落_design!G$2+1,1,1)&amp;";"&amp;OFFSET(掉落_design!$E110,0,掉落_design!G$2+2,1,1)&amp;";"&amp;OFFSET(掉落_design!$E110,0,掉落_design!G$2+3,1,1))</f>
        <v>1100;2;2;10000</v>
      </c>
      <c r="I110" s="16" t="str">
        <f ca="1">IF(OFFSET(掉落_design!$E110,0,掉落_design!H$2,1,1)="","",OFFSET(掉落_design!$E110,0,掉落_design!H$2,1,1)&amp;";"&amp;OFFSET(掉落_design!$E110,0,掉落_design!H$2+1,1,1)&amp;";"&amp;OFFSET(掉落_design!$E110,0,掉落_design!H$2+2,1,1)&amp;";"&amp;OFFSET(掉落_design!$E110,0,掉落_design!H$2+3,1,1))</f>
        <v>1101;1;1;10000</v>
      </c>
      <c r="J110" s="16" t="str">
        <f ca="1">IF(OFFSET(掉落_design!$E110,0,掉落_design!I$2,1,1)="","",OFFSET(掉落_design!$E110,0,掉落_design!I$2,1,1)&amp;";"&amp;OFFSET(掉落_design!$E110,0,掉落_design!I$2+1,1,1)&amp;";"&amp;OFFSET(掉落_design!$E110,0,掉落_design!I$2+2,1,1)&amp;";"&amp;OFFSET(掉落_design!$E110,0,掉落_design!I$2+3,1,1))</f>
        <v/>
      </c>
      <c r="K110" s="16" t="str">
        <f ca="1">IF(OFFSET(掉落_design!$E110,0,掉落_design!J$2,1,1)="","",OFFSET(掉落_design!$E110,0,掉落_design!J$2,1,1)&amp;";"&amp;OFFSET(掉落_design!$E110,0,掉落_design!J$2+1,1,1)&amp;";"&amp;OFFSET(掉落_design!$E110,0,掉落_design!J$2+2,1,1)&amp;";"&amp;OFFSET(掉落_design!$E110,0,掉落_design!J$2+3,1,1))</f>
        <v/>
      </c>
      <c r="L110" s="16" t="str">
        <f ca="1">IF(OFFSET(掉落_design!$E110,0,掉落_design!K$2,1,1)="","",OFFSET(掉落_design!$E110,0,掉落_design!K$2,1,1)&amp;";"&amp;OFFSET(掉落_design!$E110,0,掉落_design!K$2+1,1,1)&amp;";"&amp;OFFSET(掉落_design!$E110,0,掉落_design!K$2+2,1,1)&amp;";"&amp;OFFSET(掉落_design!$E110,0,掉落_design!K$2+3,1,1))</f>
        <v/>
      </c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</row>
    <row r="111" spans="1:25" x14ac:dyDescent="0.15">
      <c r="A111" s="11" t="str">
        <f t="shared" si="31"/>
        <v/>
      </c>
      <c r="B111" s="25"/>
      <c r="C111" s="25"/>
      <c r="D111" s="15" t="str">
        <f>IF(掉落_design!C111="","",掉落_design!C111)</f>
        <v/>
      </c>
      <c r="E111" s="15" t="str">
        <f>IF(A111="","",掉落_design!D111)</f>
        <v/>
      </c>
      <c r="F111" s="16" t="str">
        <f ca="1">IF(OFFSET(掉落_design!$E111,0,掉落_design!E$2,1,1)="","",OFFSET(掉落_design!$E111,0,掉落_design!E$2,1,1)&amp;";"&amp;OFFSET(掉落_design!$E111,0,掉落_design!E$2+1,1,1)&amp;";"&amp;OFFSET(掉落_design!$E111,0,掉落_design!E$2+2,1,1)&amp;";"&amp;OFFSET(掉落_design!$E111,0,掉落_design!E$2+3,1,1))</f>
        <v/>
      </c>
      <c r="G111" s="16" t="str">
        <f ca="1">IF(OFFSET(掉落_design!$E111,0,掉落_design!F$2,1,1)="","",OFFSET(掉落_design!$E111,0,掉落_design!F$2,1,1)&amp;";"&amp;OFFSET(掉落_design!$E111,0,掉落_design!F$2+1,1,1)&amp;";"&amp;OFFSET(掉落_design!$E111,0,掉落_design!F$2+2,1,1)&amp;";"&amp;OFFSET(掉落_design!$E111,0,掉落_design!F$2+3,1,1))</f>
        <v/>
      </c>
      <c r="H111" s="16" t="str">
        <f ca="1">IF(OFFSET(掉落_design!$E111,0,掉落_design!G$2,1,1)="","",OFFSET(掉落_design!$E111,0,掉落_design!G$2,1,1)&amp;";"&amp;OFFSET(掉落_design!$E111,0,掉落_design!G$2+1,1,1)&amp;";"&amp;OFFSET(掉落_design!$E111,0,掉落_design!G$2+2,1,1)&amp;";"&amp;OFFSET(掉落_design!$E111,0,掉落_design!G$2+3,1,1))</f>
        <v/>
      </c>
      <c r="I111" s="16" t="str">
        <f ca="1">IF(OFFSET(掉落_design!$E111,0,掉落_design!H$2,1,1)="","",OFFSET(掉落_design!$E111,0,掉落_design!H$2,1,1)&amp;";"&amp;OFFSET(掉落_design!$E111,0,掉落_design!H$2+1,1,1)&amp;";"&amp;OFFSET(掉落_design!$E111,0,掉落_design!H$2+2,1,1)&amp;";"&amp;OFFSET(掉落_design!$E111,0,掉落_design!H$2+3,1,1))</f>
        <v/>
      </c>
      <c r="J111" s="16" t="str">
        <f ca="1">IF(OFFSET(掉落_design!$E111,0,掉落_design!I$2,1,1)="","",OFFSET(掉落_design!$E111,0,掉落_design!I$2,1,1)&amp;";"&amp;OFFSET(掉落_design!$E111,0,掉落_design!I$2+1,1,1)&amp;";"&amp;OFFSET(掉落_design!$E111,0,掉落_design!I$2+2,1,1)&amp;";"&amp;OFFSET(掉落_design!$E111,0,掉落_design!I$2+3,1,1))</f>
        <v/>
      </c>
      <c r="K111" s="16" t="str">
        <f ca="1">IF(OFFSET(掉落_design!$E111,0,掉落_design!J$2,1,1)="","",OFFSET(掉落_design!$E111,0,掉落_design!J$2,1,1)&amp;";"&amp;OFFSET(掉落_design!$E111,0,掉落_design!J$2+1,1,1)&amp;";"&amp;OFFSET(掉落_design!$E111,0,掉落_design!J$2+2,1,1)&amp;";"&amp;OFFSET(掉落_design!$E111,0,掉落_design!J$2+3,1,1))</f>
        <v/>
      </c>
      <c r="L111" s="16" t="str">
        <f ca="1">IF(OFFSET(掉落_design!$E111,0,掉落_design!K$2,1,1)="","",OFFSET(掉落_design!$E111,0,掉落_design!K$2,1,1)&amp;";"&amp;OFFSET(掉落_design!$E111,0,掉落_design!K$2+1,1,1)&amp;";"&amp;OFFSET(掉落_design!$E111,0,掉落_design!K$2+2,1,1)&amp;";"&amp;OFFSET(掉落_design!$E111,0,掉落_design!K$2+3,1,1))</f>
        <v/>
      </c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</row>
    <row r="112" spans="1:25" x14ac:dyDescent="0.15">
      <c r="A112" s="11" t="str">
        <f t="shared" si="31"/>
        <v/>
      </c>
      <c r="B112" s="25"/>
      <c r="C112" s="25"/>
      <c r="D112" s="15" t="str">
        <f>IF(掉落_design!C112="","",掉落_design!C112)</f>
        <v/>
      </c>
      <c r="E112" s="15" t="str">
        <f>IF(A112="","",掉落_design!D112)</f>
        <v/>
      </c>
      <c r="F112" s="16" t="str">
        <f ca="1">IF(OFFSET(掉落_design!$E112,0,掉落_design!E$2,1,1)="","",OFFSET(掉落_design!$E112,0,掉落_design!E$2,1,1)&amp;";"&amp;OFFSET(掉落_design!$E112,0,掉落_design!E$2+1,1,1)&amp;";"&amp;OFFSET(掉落_design!$E112,0,掉落_design!E$2+2,1,1)&amp;";"&amp;OFFSET(掉落_design!$E112,0,掉落_design!E$2+3,1,1))</f>
        <v/>
      </c>
      <c r="G112" s="16" t="str">
        <f ca="1">IF(OFFSET(掉落_design!$E112,0,掉落_design!F$2,1,1)="","",OFFSET(掉落_design!$E112,0,掉落_design!F$2,1,1)&amp;";"&amp;OFFSET(掉落_design!$E112,0,掉落_design!F$2+1,1,1)&amp;";"&amp;OFFSET(掉落_design!$E112,0,掉落_design!F$2+2,1,1)&amp;";"&amp;OFFSET(掉落_design!$E112,0,掉落_design!F$2+3,1,1))</f>
        <v/>
      </c>
      <c r="H112" s="16" t="str">
        <f ca="1">IF(OFFSET(掉落_design!$E112,0,掉落_design!G$2,1,1)="","",OFFSET(掉落_design!$E112,0,掉落_design!G$2,1,1)&amp;";"&amp;OFFSET(掉落_design!$E112,0,掉落_design!G$2+1,1,1)&amp;";"&amp;OFFSET(掉落_design!$E112,0,掉落_design!G$2+2,1,1)&amp;";"&amp;OFFSET(掉落_design!$E112,0,掉落_design!G$2+3,1,1))</f>
        <v/>
      </c>
      <c r="I112" s="16" t="str">
        <f ca="1">IF(OFFSET(掉落_design!$E112,0,掉落_design!H$2,1,1)="","",OFFSET(掉落_design!$E112,0,掉落_design!H$2,1,1)&amp;";"&amp;OFFSET(掉落_design!$E112,0,掉落_design!H$2+1,1,1)&amp;";"&amp;OFFSET(掉落_design!$E112,0,掉落_design!H$2+2,1,1)&amp;";"&amp;OFFSET(掉落_design!$E112,0,掉落_design!H$2+3,1,1))</f>
        <v/>
      </c>
      <c r="J112" s="16" t="str">
        <f ca="1">IF(OFFSET(掉落_design!$E112,0,掉落_design!I$2,1,1)="","",OFFSET(掉落_design!$E112,0,掉落_design!I$2,1,1)&amp;";"&amp;OFFSET(掉落_design!$E112,0,掉落_design!I$2+1,1,1)&amp;";"&amp;OFFSET(掉落_design!$E112,0,掉落_design!I$2+2,1,1)&amp;";"&amp;OFFSET(掉落_design!$E112,0,掉落_design!I$2+3,1,1))</f>
        <v/>
      </c>
      <c r="K112" s="16" t="str">
        <f ca="1">IF(OFFSET(掉落_design!$E112,0,掉落_design!J$2,1,1)="","",OFFSET(掉落_design!$E112,0,掉落_design!J$2,1,1)&amp;";"&amp;OFFSET(掉落_design!$E112,0,掉落_design!J$2+1,1,1)&amp;";"&amp;OFFSET(掉落_design!$E112,0,掉落_design!J$2+2,1,1)&amp;";"&amp;OFFSET(掉落_design!$E112,0,掉落_design!J$2+3,1,1))</f>
        <v/>
      </c>
      <c r="L112" s="16" t="str">
        <f ca="1">IF(OFFSET(掉落_design!$E112,0,掉落_design!K$2,1,1)="","",OFFSET(掉落_design!$E112,0,掉落_design!K$2,1,1)&amp;";"&amp;OFFSET(掉落_design!$E112,0,掉落_design!K$2+1,1,1)&amp;";"&amp;OFFSET(掉落_design!$E112,0,掉落_design!K$2+2,1,1)&amp;";"&amp;OFFSET(掉落_design!$E112,0,掉落_design!K$2+3,1,1))</f>
        <v/>
      </c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</row>
    <row r="113" spans="1:25" x14ac:dyDescent="0.15">
      <c r="A113" s="11" t="str">
        <f t="shared" si="31"/>
        <v/>
      </c>
      <c r="B113" s="25"/>
      <c r="C113" s="25"/>
      <c r="D113" s="15" t="str">
        <f>IF(掉落_design!C113="","",掉落_design!C113)</f>
        <v/>
      </c>
      <c r="E113" s="15" t="str">
        <f>IF(A113="","",掉落_design!D113)</f>
        <v/>
      </c>
      <c r="F113" s="16" t="str">
        <f ca="1">IF(OFFSET(掉落_design!$E113,0,掉落_design!E$2,1,1)="","",OFFSET(掉落_design!$E113,0,掉落_design!E$2,1,1)&amp;";"&amp;OFFSET(掉落_design!$E113,0,掉落_design!E$2+1,1,1)&amp;";"&amp;OFFSET(掉落_design!$E113,0,掉落_design!E$2+2,1,1)&amp;";"&amp;OFFSET(掉落_design!$E113,0,掉落_design!E$2+3,1,1))</f>
        <v/>
      </c>
      <c r="G113" s="16" t="str">
        <f ca="1">IF(OFFSET(掉落_design!$E113,0,掉落_design!F$2,1,1)="","",OFFSET(掉落_design!$E113,0,掉落_design!F$2,1,1)&amp;";"&amp;OFFSET(掉落_design!$E113,0,掉落_design!F$2+1,1,1)&amp;";"&amp;OFFSET(掉落_design!$E113,0,掉落_design!F$2+2,1,1)&amp;";"&amp;OFFSET(掉落_design!$E113,0,掉落_design!F$2+3,1,1))</f>
        <v/>
      </c>
      <c r="H113" s="16" t="str">
        <f ca="1">IF(OFFSET(掉落_design!$E113,0,掉落_design!G$2,1,1)="","",OFFSET(掉落_design!$E113,0,掉落_design!G$2,1,1)&amp;";"&amp;OFFSET(掉落_design!$E113,0,掉落_design!G$2+1,1,1)&amp;";"&amp;OFFSET(掉落_design!$E113,0,掉落_design!G$2+2,1,1)&amp;";"&amp;OFFSET(掉落_design!$E113,0,掉落_design!G$2+3,1,1))</f>
        <v/>
      </c>
      <c r="I113" s="16" t="str">
        <f ca="1">IF(OFFSET(掉落_design!$E113,0,掉落_design!H$2,1,1)="","",OFFSET(掉落_design!$E113,0,掉落_design!H$2,1,1)&amp;";"&amp;OFFSET(掉落_design!$E113,0,掉落_design!H$2+1,1,1)&amp;";"&amp;OFFSET(掉落_design!$E113,0,掉落_design!H$2+2,1,1)&amp;";"&amp;OFFSET(掉落_design!$E113,0,掉落_design!H$2+3,1,1))</f>
        <v/>
      </c>
      <c r="J113" s="16" t="str">
        <f ca="1">IF(OFFSET(掉落_design!$E113,0,掉落_design!I$2,1,1)="","",OFFSET(掉落_design!$E113,0,掉落_design!I$2,1,1)&amp;";"&amp;OFFSET(掉落_design!$E113,0,掉落_design!I$2+1,1,1)&amp;";"&amp;OFFSET(掉落_design!$E113,0,掉落_design!I$2+2,1,1)&amp;";"&amp;OFFSET(掉落_design!$E113,0,掉落_design!I$2+3,1,1))</f>
        <v/>
      </c>
      <c r="K113" s="16" t="str">
        <f ca="1">IF(OFFSET(掉落_design!$E113,0,掉落_design!J$2,1,1)="","",OFFSET(掉落_design!$E113,0,掉落_design!J$2,1,1)&amp;";"&amp;OFFSET(掉落_design!$E113,0,掉落_design!J$2+1,1,1)&amp;";"&amp;OFFSET(掉落_design!$E113,0,掉落_design!J$2+2,1,1)&amp;";"&amp;OFFSET(掉落_design!$E113,0,掉落_design!J$2+3,1,1))</f>
        <v/>
      </c>
      <c r="L113" s="16" t="str">
        <f ca="1">IF(OFFSET(掉落_design!$E113,0,掉落_design!K$2,1,1)="","",OFFSET(掉落_design!$E113,0,掉落_design!K$2,1,1)&amp;";"&amp;OFFSET(掉落_design!$E113,0,掉落_design!K$2+1,1,1)&amp;";"&amp;OFFSET(掉落_design!$E113,0,掉落_design!K$2+2,1,1)&amp;";"&amp;OFFSET(掉落_design!$E113,0,掉落_design!K$2+3,1,1))</f>
        <v/>
      </c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</row>
    <row r="114" spans="1:25" x14ac:dyDescent="0.15">
      <c r="A114" s="11" t="str">
        <f t="shared" si="31"/>
        <v/>
      </c>
      <c r="B114" s="25"/>
      <c r="C114" s="25"/>
      <c r="D114" s="15" t="str">
        <f>IF(掉落_design!C114="","",掉落_design!C114)</f>
        <v/>
      </c>
      <c r="E114" s="15" t="str">
        <f>IF(A114="","",掉落_design!D114)</f>
        <v/>
      </c>
      <c r="F114" s="16" t="str">
        <f ca="1">IF(OFFSET(掉落_design!$E114,0,掉落_design!E$2,1,1)="","",OFFSET(掉落_design!$E114,0,掉落_design!E$2,1,1)&amp;";"&amp;OFFSET(掉落_design!$E114,0,掉落_design!E$2+1,1,1)&amp;";"&amp;OFFSET(掉落_design!$E114,0,掉落_design!E$2+2,1,1)&amp;";"&amp;OFFSET(掉落_design!$E114,0,掉落_design!E$2+3,1,1))</f>
        <v/>
      </c>
      <c r="G114" s="16" t="str">
        <f ca="1">IF(OFFSET(掉落_design!$E114,0,掉落_design!F$2,1,1)="","",OFFSET(掉落_design!$E114,0,掉落_design!F$2,1,1)&amp;";"&amp;OFFSET(掉落_design!$E114,0,掉落_design!F$2+1,1,1)&amp;";"&amp;OFFSET(掉落_design!$E114,0,掉落_design!F$2+2,1,1)&amp;";"&amp;OFFSET(掉落_design!$E114,0,掉落_design!F$2+3,1,1))</f>
        <v/>
      </c>
      <c r="H114" s="16" t="str">
        <f ca="1">IF(OFFSET(掉落_design!$E114,0,掉落_design!G$2,1,1)="","",OFFSET(掉落_design!$E114,0,掉落_design!G$2,1,1)&amp;";"&amp;OFFSET(掉落_design!$E114,0,掉落_design!G$2+1,1,1)&amp;";"&amp;OFFSET(掉落_design!$E114,0,掉落_design!G$2+2,1,1)&amp;";"&amp;OFFSET(掉落_design!$E114,0,掉落_design!G$2+3,1,1))</f>
        <v/>
      </c>
      <c r="I114" s="16" t="str">
        <f ca="1">IF(OFFSET(掉落_design!$E114,0,掉落_design!H$2,1,1)="","",OFFSET(掉落_design!$E114,0,掉落_design!H$2,1,1)&amp;";"&amp;OFFSET(掉落_design!$E114,0,掉落_design!H$2+1,1,1)&amp;";"&amp;OFFSET(掉落_design!$E114,0,掉落_design!H$2+2,1,1)&amp;";"&amp;OFFSET(掉落_design!$E114,0,掉落_design!H$2+3,1,1))</f>
        <v/>
      </c>
      <c r="J114" s="16" t="str">
        <f ca="1">IF(OFFSET(掉落_design!$E114,0,掉落_design!I$2,1,1)="","",OFFSET(掉落_design!$E114,0,掉落_design!I$2,1,1)&amp;";"&amp;OFFSET(掉落_design!$E114,0,掉落_design!I$2+1,1,1)&amp;";"&amp;OFFSET(掉落_design!$E114,0,掉落_design!I$2+2,1,1)&amp;";"&amp;OFFSET(掉落_design!$E114,0,掉落_design!I$2+3,1,1))</f>
        <v/>
      </c>
      <c r="K114" s="16" t="str">
        <f ca="1">IF(OFFSET(掉落_design!$E114,0,掉落_design!J$2,1,1)="","",OFFSET(掉落_design!$E114,0,掉落_design!J$2,1,1)&amp;";"&amp;OFFSET(掉落_design!$E114,0,掉落_design!J$2+1,1,1)&amp;";"&amp;OFFSET(掉落_design!$E114,0,掉落_design!J$2+2,1,1)&amp;";"&amp;OFFSET(掉落_design!$E114,0,掉落_design!J$2+3,1,1))</f>
        <v/>
      </c>
      <c r="L114" s="16" t="str">
        <f ca="1">IF(OFFSET(掉落_design!$E114,0,掉落_design!K$2,1,1)="","",OFFSET(掉落_design!$E114,0,掉落_design!K$2,1,1)&amp;";"&amp;OFFSET(掉落_design!$E114,0,掉落_design!K$2+1,1,1)&amp;";"&amp;OFFSET(掉落_design!$E114,0,掉落_design!K$2+2,1,1)&amp;";"&amp;OFFSET(掉落_design!$E114,0,掉落_design!K$2+3,1,1))</f>
        <v/>
      </c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</row>
    <row r="115" spans="1:25" x14ac:dyDescent="0.15">
      <c r="A115" s="11" t="str">
        <f t="shared" si="31"/>
        <v/>
      </c>
      <c r="B115" s="25"/>
      <c r="C115" s="25"/>
      <c r="D115" s="15" t="str">
        <f>IF(掉落_design!C115="","",掉落_design!C115)</f>
        <v/>
      </c>
      <c r="E115" s="15" t="str">
        <f>IF(A115="","",掉落_design!D115)</f>
        <v/>
      </c>
      <c r="F115" s="16" t="str">
        <f ca="1">IF(OFFSET(掉落_design!$E115,0,掉落_design!E$2,1,1)="","",OFFSET(掉落_design!$E115,0,掉落_design!E$2,1,1)&amp;";"&amp;OFFSET(掉落_design!$E115,0,掉落_design!E$2+1,1,1)&amp;";"&amp;OFFSET(掉落_design!$E115,0,掉落_design!E$2+2,1,1)&amp;";"&amp;OFFSET(掉落_design!$E115,0,掉落_design!E$2+3,1,1))</f>
        <v/>
      </c>
      <c r="G115" s="16" t="str">
        <f ca="1">IF(OFFSET(掉落_design!$E115,0,掉落_design!F$2,1,1)="","",OFFSET(掉落_design!$E115,0,掉落_design!F$2,1,1)&amp;";"&amp;OFFSET(掉落_design!$E115,0,掉落_design!F$2+1,1,1)&amp;";"&amp;OFFSET(掉落_design!$E115,0,掉落_design!F$2+2,1,1)&amp;";"&amp;OFFSET(掉落_design!$E115,0,掉落_design!F$2+3,1,1))</f>
        <v/>
      </c>
      <c r="H115" s="16" t="str">
        <f ca="1">IF(OFFSET(掉落_design!$E115,0,掉落_design!G$2,1,1)="","",OFFSET(掉落_design!$E115,0,掉落_design!G$2,1,1)&amp;";"&amp;OFFSET(掉落_design!$E115,0,掉落_design!G$2+1,1,1)&amp;";"&amp;OFFSET(掉落_design!$E115,0,掉落_design!G$2+2,1,1)&amp;";"&amp;OFFSET(掉落_design!$E115,0,掉落_design!G$2+3,1,1))</f>
        <v/>
      </c>
      <c r="I115" s="16" t="str">
        <f ca="1">IF(OFFSET(掉落_design!$E115,0,掉落_design!H$2,1,1)="","",OFFSET(掉落_design!$E115,0,掉落_design!H$2,1,1)&amp;";"&amp;OFFSET(掉落_design!$E115,0,掉落_design!H$2+1,1,1)&amp;";"&amp;OFFSET(掉落_design!$E115,0,掉落_design!H$2+2,1,1)&amp;";"&amp;OFFSET(掉落_design!$E115,0,掉落_design!H$2+3,1,1))</f>
        <v/>
      </c>
      <c r="J115" s="16" t="str">
        <f ca="1">IF(OFFSET(掉落_design!$E115,0,掉落_design!I$2,1,1)="","",OFFSET(掉落_design!$E115,0,掉落_design!I$2,1,1)&amp;";"&amp;OFFSET(掉落_design!$E115,0,掉落_design!I$2+1,1,1)&amp;";"&amp;OFFSET(掉落_design!$E115,0,掉落_design!I$2+2,1,1)&amp;";"&amp;OFFSET(掉落_design!$E115,0,掉落_design!I$2+3,1,1))</f>
        <v/>
      </c>
      <c r="K115" s="16" t="str">
        <f ca="1">IF(OFFSET(掉落_design!$E115,0,掉落_design!J$2,1,1)="","",OFFSET(掉落_design!$E115,0,掉落_design!J$2,1,1)&amp;";"&amp;OFFSET(掉落_design!$E115,0,掉落_design!J$2+1,1,1)&amp;";"&amp;OFFSET(掉落_design!$E115,0,掉落_design!J$2+2,1,1)&amp;";"&amp;OFFSET(掉落_design!$E115,0,掉落_design!J$2+3,1,1))</f>
        <v/>
      </c>
      <c r="L115" s="16" t="str">
        <f ca="1">IF(OFFSET(掉落_design!$E115,0,掉落_design!K$2,1,1)="","",OFFSET(掉落_design!$E115,0,掉落_design!K$2,1,1)&amp;";"&amp;OFFSET(掉落_design!$E115,0,掉落_design!K$2+1,1,1)&amp;";"&amp;OFFSET(掉落_design!$E115,0,掉落_design!K$2+2,1,1)&amp;";"&amp;OFFSET(掉落_design!$E115,0,掉落_design!K$2+3,1,1))</f>
        <v/>
      </c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</row>
    <row r="116" spans="1:25" x14ac:dyDescent="0.15">
      <c r="A116" s="11" t="str">
        <f t="shared" si="31"/>
        <v/>
      </c>
      <c r="B116" s="25"/>
      <c r="C116" s="25"/>
      <c r="D116" s="15" t="str">
        <f>IF(掉落_design!C116="","",掉落_design!C116)</f>
        <v/>
      </c>
      <c r="E116" s="15" t="str">
        <f>IF(A116="","",掉落_design!D116)</f>
        <v/>
      </c>
      <c r="F116" s="16" t="str">
        <f ca="1">IF(OFFSET(掉落_design!$E116,0,掉落_design!E$2,1,1)="","",OFFSET(掉落_design!$E116,0,掉落_design!E$2,1,1)&amp;";"&amp;OFFSET(掉落_design!$E116,0,掉落_design!E$2+1,1,1)&amp;";"&amp;OFFSET(掉落_design!$E116,0,掉落_design!E$2+2,1,1)&amp;";"&amp;OFFSET(掉落_design!$E116,0,掉落_design!E$2+3,1,1))</f>
        <v/>
      </c>
      <c r="G116" s="16" t="str">
        <f ca="1">IF(OFFSET(掉落_design!$E116,0,掉落_design!F$2,1,1)="","",OFFSET(掉落_design!$E116,0,掉落_design!F$2,1,1)&amp;";"&amp;OFFSET(掉落_design!$E116,0,掉落_design!F$2+1,1,1)&amp;";"&amp;OFFSET(掉落_design!$E116,0,掉落_design!F$2+2,1,1)&amp;";"&amp;OFFSET(掉落_design!$E116,0,掉落_design!F$2+3,1,1))</f>
        <v/>
      </c>
      <c r="H116" s="16" t="str">
        <f ca="1">IF(OFFSET(掉落_design!$E116,0,掉落_design!G$2,1,1)="","",OFFSET(掉落_design!$E116,0,掉落_design!G$2,1,1)&amp;";"&amp;OFFSET(掉落_design!$E116,0,掉落_design!G$2+1,1,1)&amp;";"&amp;OFFSET(掉落_design!$E116,0,掉落_design!G$2+2,1,1)&amp;";"&amp;OFFSET(掉落_design!$E116,0,掉落_design!G$2+3,1,1))</f>
        <v/>
      </c>
      <c r="I116" s="16" t="str">
        <f ca="1">IF(OFFSET(掉落_design!$E116,0,掉落_design!H$2,1,1)="","",OFFSET(掉落_design!$E116,0,掉落_design!H$2,1,1)&amp;";"&amp;OFFSET(掉落_design!$E116,0,掉落_design!H$2+1,1,1)&amp;";"&amp;OFFSET(掉落_design!$E116,0,掉落_design!H$2+2,1,1)&amp;";"&amp;OFFSET(掉落_design!$E116,0,掉落_design!H$2+3,1,1))</f>
        <v/>
      </c>
      <c r="J116" s="16" t="str">
        <f ca="1">IF(OFFSET(掉落_design!$E116,0,掉落_design!I$2,1,1)="","",OFFSET(掉落_design!$E116,0,掉落_design!I$2,1,1)&amp;";"&amp;OFFSET(掉落_design!$E116,0,掉落_design!I$2+1,1,1)&amp;";"&amp;OFFSET(掉落_design!$E116,0,掉落_design!I$2+2,1,1)&amp;";"&amp;OFFSET(掉落_design!$E116,0,掉落_design!I$2+3,1,1))</f>
        <v/>
      </c>
      <c r="K116" s="16" t="str">
        <f ca="1">IF(OFFSET(掉落_design!$E116,0,掉落_design!J$2,1,1)="","",OFFSET(掉落_design!$E116,0,掉落_design!J$2,1,1)&amp;";"&amp;OFFSET(掉落_design!$E116,0,掉落_design!J$2+1,1,1)&amp;";"&amp;OFFSET(掉落_design!$E116,0,掉落_design!J$2+2,1,1)&amp;";"&amp;OFFSET(掉落_design!$E116,0,掉落_design!J$2+3,1,1))</f>
        <v/>
      </c>
      <c r="L116" s="16" t="str">
        <f ca="1">IF(OFFSET(掉落_design!$E116,0,掉落_design!K$2,1,1)="","",OFFSET(掉落_design!$E116,0,掉落_design!K$2,1,1)&amp;";"&amp;OFFSET(掉落_design!$E116,0,掉落_design!K$2+1,1,1)&amp;";"&amp;OFFSET(掉落_design!$E116,0,掉落_design!K$2+2,1,1)&amp;";"&amp;OFFSET(掉落_design!$E116,0,掉落_design!K$2+3,1,1))</f>
        <v/>
      </c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</row>
    <row r="117" spans="1:25" x14ac:dyDescent="0.15">
      <c r="A117" s="11" t="str">
        <f t="shared" si="31"/>
        <v/>
      </c>
      <c r="B117" s="25"/>
      <c r="C117" s="25"/>
      <c r="D117" s="15" t="str">
        <f>IF(掉落_design!C117="","",掉落_design!C117)</f>
        <v/>
      </c>
      <c r="E117" s="15" t="str">
        <f>IF(A117="","",掉落_design!D117)</f>
        <v/>
      </c>
      <c r="F117" s="16" t="str">
        <f ca="1">IF(OFFSET(掉落_design!$E117,0,掉落_design!E$2,1,1)="","",OFFSET(掉落_design!$E117,0,掉落_design!E$2,1,1)&amp;";"&amp;OFFSET(掉落_design!$E117,0,掉落_design!E$2+1,1,1)&amp;";"&amp;OFFSET(掉落_design!$E117,0,掉落_design!E$2+2,1,1)&amp;";"&amp;OFFSET(掉落_design!$E117,0,掉落_design!E$2+3,1,1))</f>
        <v/>
      </c>
      <c r="G117" s="16" t="str">
        <f ca="1">IF(OFFSET(掉落_design!$E117,0,掉落_design!F$2,1,1)="","",OFFSET(掉落_design!$E117,0,掉落_design!F$2,1,1)&amp;";"&amp;OFFSET(掉落_design!$E117,0,掉落_design!F$2+1,1,1)&amp;";"&amp;OFFSET(掉落_design!$E117,0,掉落_design!F$2+2,1,1)&amp;";"&amp;OFFSET(掉落_design!$E117,0,掉落_design!F$2+3,1,1))</f>
        <v/>
      </c>
      <c r="H117" s="16" t="str">
        <f ca="1">IF(OFFSET(掉落_design!$E117,0,掉落_design!G$2,1,1)="","",OFFSET(掉落_design!$E117,0,掉落_design!G$2,1,1)&amp;";"&amp;OFFSET(掉落_design!$E117,0,掉落_design!G$2+1,1,1)&amp;";"&amp;OFFSET(掉落_design!$E117,0,掉落_design!G$2+2,1,1)&amp;";"&amp;OFFSET(掉落_design!$E117,0,掉落_design!G$2+3,1,1))</f>
        <v/>
      </c>
      <c r="I117" s="16" t="str">
        <f ca="1">IF(OFFSET(掉落_design!$E117,0,掉落_design!H$2,1,1)="","",OFFSET(掉落_design!$E117,0,掉落_design!H$2,1,1)&amp;";"&amp;OFFSET(掉落_design!$E117,0,掉落_design!H$2+1,1,1)&amp;";"&amp;OFFSET(掉落_design!$E117,0,掉落_design!H$2+2,1,1)&amp;";"&amp;OFFSET(掉落_design!$E117,0,掉落_design!H$2+3,1,1))</f>
        <v/>
      </c>
      <c r="J117" s="16" t="str">
        <f ca="1">IF(OFFSET(掉落_design!$E117,0,掉落_design!I$2,1,1)="","",OFFSET(掉落_design!$E117,0,掉落_design!I$2,1,1)&amp;";"&amp;OFFSET(掉落_design!$E117,0,掉落_design!I$2+1,1,1)&amp;";"&amp;OFFSET(掉落_design!$E117,0,掉落_design!I$2+2,1,1)&amp;";"&amp;OFFSET(掉落_design!$E117,0,掉落_design!I$2+3,1,1))</f>
        <v/>
      </c>
      <c r="K117" s="16" t="str">
        <f ca="1">IF(OFFSET(掉落_design!$E117,0,掉落_design!J$2,1,1)="","",OFFSET(掉落_design!$E117,0,掉落_design!J$2,1,1)&amp;";"&amp;OFFSET(掉落_design!$E117,0,掉落_design!J$2+1,1,1)&amp;";"&amp;OFFSET(掉落_design!$E117,0,掉落_design!J$2+2,1,1)&amp;";"&amp;OFFSET(掉落_design!$E117,0,掉落_design!J$2+3,1,1))</f>
        <v/>
      </c>
      <c r="L117" s="16" t="str">
        <f ca="1">IF(OFFSET(掉落_design!$E117,0,掉落_design!K$2,1,1)="","",OFFSET(掉落_design!$E117,0,掉落_design!K$2,1,1)&amp;";"&amp;OFFSET(掉落_design!$E117,0,掉落_design!K$2+1,1,1)&amp;";"&amp;OFFSET(掉落_design!$E117,0,掉落_design!K$2+2,1,1)&amp;";"&amp;OFFSET(掉落_design!$E117,0,掉落_design!K$2+3,1,1))</f>
        <v/>
      </c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</row>
    <row r="118" spans="1:25" x14ac:dyDescent="0.15">
      <c r="A118" s="11" t="str">
        <f t="shared" si="31"/>
        <v/>
      </c>
      <c r="B118" s="25"/>
      <c r="C118" s="25"/>
      <c r="D118" s="15" t="str">
        <f>IF(掉落_design!C118="","",掉落_design!C118)</f>
        <v/>
      </c>
      <c r="E118" s="15" t="str">
        <f>IF(A118="","",掉落_design!D118)</f>
        <v/>
      </c>
      <c r="F118" s="16" t="str">
        <f ca="1">IF(OFFSET(掉落_design!$E118,0,掉落_design!E$2,1,1)="","",OFFSET(掉落_design!$E118,0,掉落_design!E$2,1,1)&amp;";"&amp;OFFSET(掉落_design!$E118,0,掉落_design!E$2+1,1,1)&amp;";"&amp;OFFSET(掉落_design!$E118,0,掉落_design!E$2+2,1,1)&amp;";"&amp;OFFSET(掉落_design!$E118,0,掉落_design!E$2+3,1,1))</f>
        <v/>
      </c>
      <c r="G118" s="16" t="str">
        <f ca="1">IF(OFFSET(掉落_design!$E118,0,掉落_design!F$2,1,1)="","",OFFSET(掉落_design!$E118,0,掉落_design!F$2,1,1)&amp;";"&amp;OFFSET(掉落_design!$E118,0,掉落_design!F$2+1,1,1)&amp;";"&amp;OFFSET(掉落_design!$E118,0,掉落_design!F$2+2,1,1)&amp;";"&amp;OFFSET(掉落_design!$E118,0,掉落_design!F$2+3,1,1))</f>
        <v/>
      </c>
      <c r="H118" s="16" t="str">
        <f ca="1">IF(OFFSET(掉落_design!$E118,0,掉落_design!G$2,1,1)="","",OFFSET(掉落_design!$E118,0,掉落_design!G$2,1,1)&amp;";"&amp;OFFSET(掉落_design!$E118,0,掉落_design!G$2+1,1,1)&amp;";"&amp;OFFSET(掉落_design!$E118,0,掉落_design!G$2+2,1,1)&amp;";"&amp;OFFSET(掉落_design!$E118,0,掉落_design!G$2+3,1,1))</f>
        <v/>
      </c>
      <c r="I118" s="16" t="str">
        <f ca="1">IF(OFFSET(掉落_design!$E118,0,掉落_design!H$2,1,1)="","",OFFSET(掉落_design!$E118,0,掉落_design!H$2,1,1)&amp;";"&amp;OFFSET(掉落_design!$E118,0,掉落_design!H$2+1,1,1)&amp;";"&amp;OFFSET(掉落_design!$E118,0,掉落_design!H$2+2,1,1)&amp;";"&amp;OFFSET(掉落_design!$E118,0,掉落_design!H$2+3,1,1))</f>
        <v/>
      </c>
      <c r="J118" s="16" t="str">
        <f ca="1">IF(OFFSET(掉落_design!$E118,0,掉落_design!I$2,1,1)="","",OFFSET(掉落_design!$E118,0,掉落_design!I$2,1,1)&amp;";"&amp;OFFSET(掉落_design!$E118,0,掉落_design!I$2+1,1,1)&amp;";"&amp;OFFSET(掉落_design!$E118,0,掉落_design!I$2+2,1,1)&amp;";"&amp;OFFSET(掉落_design!$E118,0,掉落_design!I$2+3,1,1))</f>
        <v/>
      </c>
      <c r="K118" s="16" t="str">
        <f ca="1">IF(OFFSET(掉落_design!$E118,0,掉落_design!J$2,1,1)="","",OFFSET(掉落_design!$E118,0,掉落_design!J$2,1,1)&amp;";"&amp;OFFSET(掉落_design!$E118,0,掉落_design!J$2+1,1,1)&amp;";"&amp;OFFSET(掉落_design!$E118,0,掉落_design!J$2+2,1,1)&amp;";"&amp;OFFSET(掉落_design!$E118,0,掉落_design!J$2+3,1,1))</f>
        <v/>
      </c>
      <c r="L118" s="16" t="str">
        <f ca="1">IF(OFFSET(掉落_design!$E118,0,掉落_design!K$2,1,1)="","",OFFSET(掉落_design!$E118,0,掉落_design!K$2,1,1)&amp;";"&amp;OFFSET(掉落_design!$E118,0,掉落_design!K$2+1,1,1)&amp;";"&amp;OFFSET(掉落_design!$E118,0,掉落_design!K$2+2,1,1)&amp;";"&amp;OFFSET(掉落_design!$E118,0,掉落_design!K$2+3,1,1))</f>
        <v/>
      </c>
      <c r="M118" s="16"/>
      <c r="N118" s="16"/>
      <c r="O118" s="16"/>
      <c r="P118" s="16"/>
      <c r="Q118" s="25"/>
      <c r="R118" s="25"/>
      <c r="S118" s="25"/>
    </row>
    <row r="119" spans="1:25" x14ac:dyDescent="0.15">
      <c r="A119" s="11" t="str">
        <f t="shared" si="31"/>
        <v/>
      </c>
      <c r="B119" s="25"/>
      <c r="C119" s="25"/>
      <c r="D119" s="15" t="str">
        <f>IF(掉落_design!C119="","",掉落_design!C119)</f>
        <v/>
      </c>
      <c r="E119" s="15" t="str">
        <f>IF(A119="","",掉落_design!D119)</f>
        <v/>
      </c>
      <c r="F119" s="16" t="str">
        <f ca="1">IF(OFFSET(掉落_design!$E119,0,掉落_design!E$2,1,1)="","",OFFSET(掉落_design!$E119,0,掉落_design!E$2,1,1)&amp;";"&amp;OFFSET(掉落_design!$E119,0,掉落_design!E$2+1,1,1)&amp;";"&amp;OFFSET(掉落_design!$E119,0,掉落_design!E$2+2,1,1)&amp;";"&amp;OFFSET(掉落_design!$E119,0,掉落_design!E$2+3,1,1))</f>
        <v/>
      </c>
      <c r="G119" s="16" t="str">
        <f ca="1">IF(OFFSET(掉落_design!$E119,0,掉落_design!F$2,1,1)="","",OFFSET(掉落_design!$E119,0,掉落_design!F$2,1,1)&amp;";"&amp;OFFSET(掉落_design!$E119,0,掉落_design!F$2+1,1,1)&amp;";"&amp;OFFSET(掉落_design!$E119,0,掉落_design!F$2+2,1,1)&amp;";"&amp;OFFSET(掉落_design!$E119,0,掉落_design!F$2+3,1,1))</f>
        <v/>
      </c>
      <c r="H119" s="16" t="str">
        <f ca="1">IF(OFFSET(掉落_design!$E119,0,掉落_design!G$2,1,1)="","",OFFSET(掉落_design!$E119,0,掉落_design!G$2,1,1)&amp;";"&amp;OFFSET(掉落_design!$E119,0,掉落_design!G$2+1,1,1)&amp;";"&amp;OFFSET(掉落_design!$E119,0,掉落_design!G$2+2,1,1)&amp;";"&amp;OFFSET(掉落_design!$E119,0,掉落_design!G$2+3,1,1))</f>
        <v/>
      </c>
      <c r="I119" s="16" t="str">
        <f ca="1">IF(OFFSET(掉落_design!$E119,0,掉落_design!H$2,1,1)="","",OFFSET(掉落_design!$E119,0,掉落_design!H$2,1,1)&amp;";"&amp;OFFSET(掉落_design!$E119,0,掉落_design!H$2+1,1,1)&amp;";"&amp;OFFSET(掉落_design!$E119,0,掉落_design!H$2+2,1,1)&amp;";"&amp;OFFSET(掉落_design!$E119,0,掉落_design!H$2+3,1,1))</f>
        <v/>
      </c>
      <c r="J119" s="16" t="str">
        <f ca="1">IF(OFFSET(掉落_design!$E119,0,掉落_design!I$2,1,1)="","",OFFSET(掉落_design!$E119,0,掉落_design!I$2,1,1)&amp;";"&amp;OFFSET(掉落_design!$E119,0,掉落_design!I$2+1,1,1)&amp;";"&amp;OFFSET(掉落_design!$E119,0,掉落_design!I$2+2,1,1)&amp;";"&amp;OFFSET(掉落_design!$E119,0,掉落_design!I$2+3,1,1))</f>
        <v/>
      </c>
      <c r="K119" s="16" t="str">
        <f ca="1">IF(OFFSET(掉落_design!$E119,0,掉落_design!J$2,1,1)="","",OFFSET(掉落_design!$E119,0,掉落_design!J$2,1,1)&amp;";"&amp;OFFSET(掉落_design!$E119,0,掉落_design!J$2+1,1,1)&amp;";"&amp;OFFSET(掉落_design!$E119,0,掉落_design!J$2+2,1,1)&amp;";"&amp;OFFSET(掉落_design!$E119,0,掉落_design!J$2+3,1,1))</f>
        <v/>
      </c>
      <c r="L119" s="16" t="str">
        <f ca="1">IF(OFFSET(掉落_design!$E119,0,掉落_design!K$2,1,1)="","",OFFSET(掉落_design!$E119,0,掉落_design!K$2,1,1)&amp;";"&amp;OFFSET(掉落_design!$E119,0,掉落_design!K$2+1,1,1)&amp;";"&amp;OFFSET(掉落_design!$E119,0,掉落_design!K$2+2,1,1)&amp;";"&amp;OFFSET(掉落_design!$E119,0,掉落_design!K$2+3,1,1))</f>
        <v/>
      </c>
      <c r="M119" s="16"/>
      <c r="N119" s="16"/>
      <c r="O119" s="16"/>
      <c r="P119" s="16"/>
      <c r="Q119" s="25"/>
      <c r="R119" s="25"/>
      <c r="S119" s="25"/>
    </row>
    <row r="120" spans="1:25" x14ac:dyDescent="0.15">
      <c r="A120" s="11" t="str">
        <f t="shared" si="31"/>
        <v/>
      </c>
      <c r="B120" s="25"/>
      <c r="C120" s="25"/>
      <c r="D120" s="15" t="str">
        <f>IF(掉落_design!C120="","",掉落_design!C120)</f>
        <v/>
      </c>
      <c r="E120" s="15" t="str">
        <f>IF(A120="","",掉落_design!D120)</f>
        <v/>
      </c>
      <c r="F120" s="16" t="str">
        <f ca="1">IF(OFFSET(掉落_design!$E120,0,掉落_design!E$2,1,1)="","",OFFSET(掉落_design!$E120,0,掉落_design!E$2,1,1)&amp;";"&amp;OFFSET(掉落_design!$E120,0,掉落_design!E$2+1,1,1)&amp;";"&amp;OFFSET(掉落_design!$E120,0,掉落_design!E$2+2,1,1)&amp;";"&amp;OFFSET(掉落_design!$E120,0,掉落_design!E$2+3,1,1))</f>
        <v/>
      </c>
      <c r="G120" s="16" t="str">
        <f ca="1">IF(OFFSET(掉落_design!$E120,0,掉落_design!F$2,1,1)="","",OFFSET(掉落_design!$E120,0,掉落_design!F$2,1,1)&amp;";"&amp;OFFSET(掉落_design!$E120,0,掉落_design!F$2+1,1,1)&amp;";"&amp;OFFSET(掉落_design!$E120,0,掉落_design!F$2+2,1,1)&amp;";"&amp;OFFSET(掉落_design!$E120,0,掉落_design!F$2+3,1,1))</f>
        <v/>
      </c>
      <c r="H120" s="16" t="str">
        <f ca="1">IF(OFFSET(掉落_design!$E120,0,掉落_design!G$2,1,1)="","",OFFSET(掉落_design!$E120,0,掉落_design!G$2,1,1)&amp;";"&amp;OFFSET(掉落_design!$E120,0,掉落_design!G$2+1,1,1)&amp;";"&amp;OFFSET(掉落_design!$E120,0,掉落_design!G$2+2,1,1)&amp;";"&amp;OFFSET(掉落_design!$E120,0,掉落_design!G$2+3,1,1))</f>
        <v/>
      </c>
      <c r="I120" s="16" t="str">
        <f ca="1">IF(OFFSET(掉落_design!$E120,0,掉落_design!H$2,1,1)="","",OFFSET(掉落_design!$E120,0,掉落_design!H$2,1,1)&amp;";"&amp;OFFSET(掉落_design!$E120,0,掉落_design!H$2+1,1,1)&amp;";"&amp;OFFSET(掉落_design!$E120,0,掉落_design!H$2+2,1,1)&amp;";"&amp;OFFSET(掉落_design!$E120,0,掉落_design!H$2+3,1,1))</f>
        <v/>
      </c>
      <c r="J120" s="16" t="str">
        <f ca="1">IF(OFFSET(掉落_design!$E120,0,掉落_design!I$2,1,1)="","",OFFSET(掉落_design!$E120,0,掉落_design!I$2,1,1)&amp;";"&amp;OFFSET(掉落_design!$E120,0,掉落_design!I$2+1,1,1)&amp;";"&amp;OFFSET(掉落_design!$E120,0,掉落_design!I$2+2,1,1)&amp;";"&amp;OFFSET(掉落_design!$E120,0,掉落_design!I$2+3,1,1))</f>
        <v/>
      </c>
      <c r="K120" s="16" t="str">
        <f ca="1">IF(OFFSET(掉落_design!$E120,0,掉落_design!J$2,1,1)="","",OFFSET(掉落_design!$E120,0,掉落_design!J$2,1,1)&amp;";"&amp;OFFSET(掉落_design!$E120,0,掉落_design!J$2+1,1,1)&amp;";"&amp;OFFSET(掉落_design!$E120,0,掉落_design!J$2+2,1,1)&amp;";"&amp;OFFSET(掉落_design!$E120,0,掉落_design!J$2+3,1,1))</f>
        <v/>
      </c>
      <c r="L120" s="16" t="str">
        <f ca="1">IF(OFFSET(掉落_design!$E120,0,掉落_design!K$2,1,1)="","",OFFSET(掉落_design!$E120,0,掉落_design!K$2,1,1)&amp;";"&amp;OFFSET(掉落_design!$E120,0,掉落_design!K$2+1,1,1)&amp;";"&amp;OFFSET(掉落_design!$E120,0,掉落_design!K$2+2,1,1)&amp;";"&amp;OFFSET(掉落_design!$E120,0,掉落_design!K$2+3,1,1))</f>
        <v/>
      </c>
      <c r="M120" s="16"/>
      <c r="N120" s="16"/>
      <c r="O120" s="16"/>
      <c r="P120" s="16"/>
      <c r="Q120" s="25"/>
      <c r="R120" s="25"/>
      <c r="S120" s="25"/>
    </row>
    <row r="121" spans="1:25" x14ac:dyDescent="0.15">
      <c r="A121" s="11" t="str">
        <f t="shared" si="31"/>
        <v/>
      </c>
      <c r="B121" s="25"/>
      <c r="C121" s="25"/>
      <c r="D121" s="15" t="str">
        <f>IF(掉落_design!C121="","",掉落_design!C121)</f>
        <v/>
      </c>
      <c r="E121" s="15" t="str">
        <f>IF(A121="","",掉落_design!D121)</f>
        <v/>
      </c>
      <c r="F121" s="16" t="str">
        <f ca="1">IF(OFFSET(掉落_design!$E121,0,掉落_design!E$2,1,1)="","",OFFSET(掉落_design!$E121,0,掉落_design!E$2,1,1)&amp;";"&amp;OFFSET(掉落_design!$E121,0,掉落_design!E$2+1,1,1)&amp;";"&amp;OFFSET(掉落_design!$E121,0,掉落_design!E$2+2,1,1)&amp;";"&amp;OFFSET(掉落_design!$E121,0,掉落_design!E$2+3,1,1))</f>
        <v/>
      </c>
      <c r="G121" s="16" t="str">
        <f ca="1">IF(OFFSET(掉落_design!$E121,0,掉落_design!F$2,1,1)="","",OFFSET(掉落_design!$E121,0,掉落_design!F$2,1,1)&amp;";"&amp;OFFSET(掉落_design!$E121,0,掉落_design!F$2+1,1,1)&amp;";"&amp;OFFSET(掉落_design!$E121,0,掉落_design!F$2+2,1,1)&amp;";"&amp;OFFSET(掉落_design!$E121,0,掉落_design!F$2+3,1,1))</f>
        <v/>
      </c>
      <c r="H121" s="16" t="str">
        <f ca="1">IF(OFFSET(掉落_design!$E121,0,掉落_design!G$2,1,1)="","",OFFSET(掉落_design!$E121,0,掉落_design!G$2,1,1)&amp;";"&amp;OFFSET(掉落_design!$E121,0,掉落_design!G$2+1,1,1)&amp;";"&amp;OFFSET(掉落_design!$E121,0,掉落_design!G$2+2,1,1)&amp;";"&amp;OFFSET(掉落_design!$E121,0,掉落_design!G$2+3,1,1))</f>
        <v/>
      </c>
      <c r="I121" s="16" t="str">
        <f ca="1">IF(OFFSET(掉落_design!$E121,0,掉落_design!H$2,1,1)="","",OFFSET(掉落_design!$E121,0,掉落_design!H$2,1,1)&amp;";"&amp;OFFSET(掉落_design!$E121,0,掉落_design!H$2+1,1,1)&amp;";"&amp;OFFSET(掉落_design!$E121,0,掉落_design!H$2+2,1,1)&amp;";"&amp;OFFSET(掉落_design!$E121,0,掉落_design!H$2+3,1,1))</f>
        <v/>
      </c>
      <c r="J121" s="16" t="str">
        <f ca="1">IF(OFFSET(掉落_design!$E121,0,掉落_design!I$2,1,1)="","",OFFSET(掉落_design!$E121,0,掉落_design!I$2,1,1)&amp;";"&amp;OFFSET(掉落_design!$E121,0,掉落_design!I$2+1,1,1)&amp;";"&amp;OFFSET(掉落_design!$E121,0,掉落_design!I$2+2,1,1)&amp;";"&amp;OFFSET(掉落_design!$E121,0,掉落_design!I$2+3,1,1))</f>
        <v/>
      </c>
      <c r="K121" s="16" t="str">
        <f ca="1">IF(OFFSET(掉落_design!$E121,0,掉落_design!J$2,1,1)="","",OFFSET(掉落_design!$E121,0,掉落_design!J$2,1,1)&amp;";"&amp;OFFSET(掉落_design!$E121,0,掉落_design!J$2+1,1,1)&amp;";"&amp;OFFSET(掉落_design!$E121,0,掉落_design!J$2+2,1,1)&amp;";"&amp;OFFSET(掉落_design!$E121,0,掉落_design!J$2+3,1,1))</f>
        <v/>
      </c>
      <c r="L121" s="16" t="str">
        <f ca="1">IF(OFFSET(掉落_design!$E121,0,掉落_design!K$2,1,1)="","",OFFSET(掉落_design!$E121,0,掉落_design!K$2,1,1)&amp;";"&amp;OFFSET(掉落_design!$E121,0,掉落_design!K$2+1,1,1)&amp;";"&amp;OFFSET(掉落_design!$E121,0,掉落_design!K$2+2,1,1)&amp;";"&amp;OFFSET(掉落_design!$E121,0,掉落_design!K$2+3,1,1))</f>
        <v/>
      </c>
      <c r="M121" s="16"/>
      <c r="N121" s="16"/>
      <c r="O121" s="16"/>
      <c r="P121" s="16"/>
      <c r="Q121" s="25"/>
      <c r="R121" s="25"/>
      <c r="S121" s="25"/>
    </row>
    <row r="122" spans="1:25" x14ac:dyDescent="0.15">
      <c r="A122" s="11" t="str">
        <f t="shared" si="31"/>
        <v/>
      </c>
      <c r="B122" s="25"/>
      <c r="C122" s="25"/>
      <c r="D122" s="15" t="str">
        <f>IF(掉落_design!C122="","",掉落_design!C122)</f>
        <v/>
      </c>
      <c r="E122" s="15" t="str">
        <f>IF(A122="","",掉落_design!D122)</f>
        <v/>
      </c>
      <c r="F122" s="16" t="str">
        <f ca="1">IF(OFFSET(掉落_design!$E122,0,掉落_design!E$2,1,1)="","",OFFSET(掉落_design!$E122,0,掉落_design!E$2,1,1)&amp;";"&amp;OFFSET(掉落_design!$E122,0,掉落_design!E$2+1,1,1)&amp;";"&amp;OFFSET(掉落_design!$E122,0,掉落_design!E$2+2,1,1)&amp;";"&amp;OFFSET(掉落_design!$E122,0,掉落_design!E$2+3,1,1))</f>
        <v/>
      </c>
      <c r="G122" s="16" t="str">
        <f ca="1">IF(OFFSET(掉落_design!$E122,0,掉落_design!F$2,1,1)="","",OFFSET(掉落_design!$E122,0,掉落_design!F$2,1,1)&amp;";"&amp;OFFSET(掉落_design!$E122,0,掉落_design!F$2+1,1,1)&amp;";"&amp;OFFSET(掉落_design!$E122,0,掉落_design!F$2+2,1,1)&amp;";"&amp;OFFSET(掉落_design!$E122,0,掉落_design!F$2+3,1,1))</f>
        <v/>
      </c>
      <c r="H122" s="16" t="str">
        <f ca="1">IF(OFFSET(掉落_design!$E122,0,掉落_design!G$2,1,1)="","",OFFSET(掉落_design!$E122,0,掉落_design!G$2,1,1)&amp;";"&amp;OFFSET(掉落_design!$E122,0,掉落_design!G$2+1,1,1)&amp;";"&amp;OFFSET(掉落_design!$E122,0,掉落_design!G$2+2,1,1)&amp;";"&amp;OFFSET(掉落_design!$E122,0,掉落_design!G$2+3,1,1))</f>
        <v/>
      </c>
      <c r="I122" s="16" t="str">
        <f ca="1">IF(OFFSET(掉落_design!$E122,0,掉落_design!H$2,1,1)="","",OFFSET(掉落_design!$E122,0,掉落_design!H$2,1,1)&amp;";"&amp;OFFSET(掉落_design!$E122,0,掉落_design!H$2+1,1,1)&amp;";"&amp;OFFSET(掉落_design!$E122,0,掉落_design!H$2+2,1,1)&amp;";"&amp;OFFSET(掉落_design!$E122,0,掉落_design!H$2+3,1,1))</f>
        <v/>
      </c>
      <c r="J122" s="16" t="str">
        <f ca="1">IF(OFFSET(掉落_design!$E122,0,掉落_design!I$2,1,1)="","",OFFSET(掉落_design!$E122,0,掉落_design!I$2,1,1)&amp;";"&amp;OFFSET(掉落_design!$E122,0,掉落_design!I$2+1,1,1)&amp;";"&amp;OFFSET(掉落_design!$E122,0,掉落_design!I$2+2,1,1)&amp;";"&amp;OFFSET(掉落_design!$E122,0,掉落_design!I$2+3,1,1))</f>
        <v/>
      </c>
      <c r="K122" s="16" t="str">
        <f ca="1">IF(OFFSET(掉落_design!$E122,0,掉落_design!J$2,1,1)="","",OFFSET(掉落_design!$E122,0,掉落_design!J$2,1,1)&amp;";"&amp;OFFSET(掉落_design!$E122,0,掉落_design!J$2+1,1,1)&amp;";"&amp;OFFSET(掉落_design!$E122,0,掉落_design!J$2+2,1,1)&amp;";"&amp;OFFSET(掉落_design!$E122,0,掉落_design!J$2+3,1,1))</f>
        <v/>
      </c>
      <c r="L122" s="16" t="str">
        <f ca="1">IF(OFFSET(掉落_design!$E122,0,掉落_design!K$2,1,1)="","",OFFSET(掉落_design!$E122,0,掉落_design!K$2,1,1)&amp;";"&amp;OFFSET(掉落_design!$E122,0,掉落_design!K$2+1,1,1)&amp;";"&amp;OFFSET(掉落_design!$E122,0,掉落_design!K$2+2,1,1)&amp;";"&amp;OFFSET(掉落_design!$E122,0,掉落_design!K$2+3,1,1))</f>
        <v/>
      </c>
      <c r="M122" s="16"/>
      <c r="N122" s="16"/>
      <c r="O122" s="16"/>
      <c r="P122" s="16"/>
      <c r="Q122" s="25"/>
      <c r="R122" s="25"/>
      <c r="S122" s="25"/>
    </row>
    <row r="123" spans="1:25" x14ac:dyDescent="0.15">
      <c r="A123" s="11" t="str">
        <f t="shared" si="31"/>
        <v/>
      </c>
      <c r="B123" s="25"/>
      <c r="C123" s="25"/>
      <c r="D123" s="15" t="str">
        <f>IF(掉落_design!C123="","",掉落_design!C123)</f>
        <v/>
      </c>
      <c r="E123" s="15" t="str">
        <f>IF(A123="","",掉落_design!D123)</f>
        <v/>
      </c>
      <c r="F123" s="16" t="str">
        <f ca="1">IF(OFFSET(掉落_design!$E123,0,掉落_design!E$2,1,1)="","",OFFSET(掉落_design!$E123,0,掉落_design!E$2,1,1)&amp;";"&amp;OFFSET(掉落_design!$E123,0,掉落_design!E$2+1,1,1)&amp;";"&amp;OFFSET(掉落_design!$E123,0,掉落_design!E$2+2,1,1)&amp;";"&amp;OFFSET(掉落_design!$E123,0,掉落_design!E$2+3,1,1))</f>
        <v/>
      </c>
      <c r="G123" s="16" t="str">
        <f ca="1">IF(OFFSET(掉落_design!$E123,0,掉落_design!F$2,1,1)="","",OFFSET(掉落_design!$E123,0,掉落_design!F$2,1,1)&amp;";"&amp;OFFSET(掉落_design!$E123,0,掉落_design!F$2+1,1,1)&amp;";"&amp;OFFSET(掉落_design!$E123,0,掉落_design!F$2+2,1,1)&amp;";"&amp;OFFSET(掉落_design!$E123,0,掉落_design!F$2+3,1,1))</f>
        <v/>
      </c>
      <c r="H123" s="16" t="str">
        <f ca="1">IF(OFFSET(掉落_design!$E123,0,掉落_design!G$2,1,1)="","",OFFSET(掉落_design!$E123,0,掉落_design!G$2,1,1)&amp;";"&amp;OFFSET(掉落_design!$E123,0,掉落_design!G$2+1,1,1)&amp;";"&amp;OFFSET(掉落_design!$E123,0,掉落_design!G$2+2,1,1)&amp;";"&amp;OFFSET(掉落_design!$E123,0,掉落_design!G$2+3,1,1))</f>
        <v/>
      </c>
      <c r="I123" s="16" t="str">
        <f ca="1">IF(OFFSET(掉落_design!$E123,0,掉落_design!H$2,1,1)="","",OFFSET(掉落_design!$E123,0,掉落_design!H$2,1,1)&amp;";"&amp;OFFSET(掉落_design!$E123,0,掉落_design!H$2+1,1,1)&amp;";"&amp;OFFSET(掉落_design!$E123,0,掉落_design!H$2+2,1,1)&amp;";"&amp;OFFSET(掉落_design!$E123,0,掉落_design!H$2+3,1,1))</f>
        <v/>
      </c>
      <c r="J123" s="16" t="str">
        <f ca="1">IF(OFFSET(掉落_design!$E123,0,掉落_design!I$2,1,1)="","",OFFSET(掉落_design!$E123,0,掉落_design!I$2,1,1)&amp;";"&amp;OFFSET(掉落_design!$E123,0,掉落_design!I$2+1,1,1)&amp;";"&amp;OFFSET(掉落_design!$E123,0,掉落_design!I$2+2,1,1)&amp;";"&amp;OFFSET(掉落_design!$E123,0,掉落_design!I$2+3,1,1))</f>
        <v/>
      </c>
      <c r="K123" s="16" t="str">
        <f ca="1">IF(OFFSET(掉落_design!$E123,0,掉落_design!J$2,1,1)="","",OFFSET(掉落_design!$E123,0,掉落_design!J$2,1,1)&amp;";"&amp;OFFSET(掉落_design!$E123,0,掉落_design!J$2+1,1,1)&amp;";"&amp;OFFSET(掉落_design!$E123,0,掉落_design!J$2+2,1,1)&amp;";"&amp;OFFSET(掉落_design!$E123,0,掉落_design!J$2+3,1,1))</f>
        <v/>
      </c>
      <c r="L123" s="16" t="str">
        <f ca="1">IF(OFFSET(掉落_design!$E123,0,掉落_design!K$2,1,1)="","",OFFSET(掉落_design!$E123,0,掉落_design!K$2,1,1)&amp;";"&amp;OFFSET(掉落_design!$E123,0,掉落_design!K$2+1,1,1)&amp;";"&amp;OFFSET(掉落_design!$E123,0,掉落_design!K$2+2,1,1)&amp;";"&amp;OFFSET(掉落_design!$E123,0,掉落_design!K$2+3,1,1))</f>
        <v/>
      </c>
      <c r="M123" s="16"/>
      <c r="N123" s="16"/>
      <c r="O123" s="16"/>
      <c r="P123" s="16"/>
      <c r="Q123" s="25"/>
      <c r="R123" s="25"/>
      <c r="S123" s="25"/>
    </row>
    <row r="124" spans="1:25" x14ac:dyDescent="0.15">
      <c r="A124" s="11" t="str">
        <f t="shared" si="31"/>
        <v/>
      </c>
      <c r="B124" s="25"/>
      <c r="C124" s="25"/>
      <c r="D124" s="15" t="str">
        <f>IF(掉落_design!C124="","",掉落_design!C124)</f>
        <v/>
      </c>
      <c r="E124" s="15" t="str">
        <f>IF(A124="","",掉落_design!D124)</f>
        <v/>
      </c>
      <c r="F124" s="16" t="str">
        <f ca="1">IF(OFFSET(掉落_design!$E124,0,掉落_design!E$2,1,1)="","",OFFSET(掉落_design!$E124,0,掉落_design!E$2,1,1)&amp;";"&amp;OFFSET(掉落_design!$E124,0,掉落_design!E$2+1,1,1)&amp;";"&amp;OFFSET(掉落_design!$E124,0,掉落_design!E$2+2,1,1)&amp;";"&amp;OFFSET(掉落_design!$E124,0,掉落_design!E$2+3,1,1))</f>
        <v/>
      </c>
      <c r="G124" s="16" t="str">
        <f ca="1">IF(OFFSET(掉落_design!$E124,0,掉落_design!F$2,1,1)="","",OFFSET(掉落_design!$E124,0,掉落_design!F$2,1,1)&amp;";"&amp;OFFSET(掉落_design!$E124,0,掉落_design!F$2+1,1,1)&amp;";"&amp;OFFSET(掉落_design!$E124,0,掉落_design!F$2+2,1,1)&amp;";"&amp;OFFSET(掉落_design!$E124,0,掉落_design!F$2+3,1,1))</f>
        <v/>
      </c>
      <c r="H124" s="16" t="str">
        <f ca="1">IF(OFFSET(掉落_design!$E124,0,掉落_design!G$2,1,1)="","",OFFSET(掉落_design!$E124,0,掉落_design!G$2,1,1)&amp;";"&amp;OFFSET(掉落_design!$E124,0,掉落_design!G$2+1,1,1)&amp;";"&amp;OFFSET(掉落_design!$E124,0,掉落_design!G$2+2,1,1)&amp;";"&amp;OFFSET(掉落_design!$E124,0,掉落_design!G$2+3,1,1))</f>
        <v/>
      </c>
      <c r="I124" s="16" t="str">
        <f ca="1">IF(OFFSET(掉落_design!$E124,0,掉落_design!H$2,1,1)="","",OFFSET(掉落_design!$E124,0,掉落_design!H$2,1,1)&amp;";"&amp;OFFSET(掉落_design!$E124,0,掉落_design!H$2+1,1,1)&amp;";"&amp;OFFSET(掉落_design!$E124,0,掉落_design!H$2+2,1,1)&amp;";"&amp;OFFSET(掉落_design!$E124,0,掉落_design!H$2+3,1,1))</f>
        <v/>
      </c>
      <c r="J124" s="16" t="str">
        <f ca="1">IF(OFFSET(掉落_design!$E124,0,掉落_design!I$2,1,1)="","",OFFSET(掉落_design!$E124,0,掉落_design!I$2,1,1)&amp;";"&amp;OFFSET(掉落_design!$E124,0,掉落_design!I$2+1,1,1)&amp;";"&amp;OFFSET(掉落_design!$E124,0,掉落_design!I$2+2,1,1)&amp;";"&amp;OFFSET(掉落_design!$E124,0,掉落_design!I$2+3,1,1))</f>
        <v/>
      </c>
      <c r="K124" s="16" t="str">
        <f ca="1">IF(OFFSET(掉落_design!$E124,0,掉落_design!J$2,1,1)="","",OFFSET(掉落_design!$E124,0,掉落_design!J$2,1,1)&amp;";"&amp;OFFSET(掉落_design!$E124,0,掉落_design!J$2+1,1,1)&amp;";"&amp;OFFSET(掉落_design!$E124,0,掉落_design!J$2+2,1,1)&amp;";"&amp;OFFSET(掉落_design!$E124,0,掉落_design!J$2+3,1,1))</f>
        <v/>
      </c>
      <c r="L124" s="16" t="str">
        <f ca="1">IF(OFFSET(掉落_design!$E124,0,掉落_design!K$2,1,1)="","",OFFSET(掉落_design!$E124,0,掉落_design!K$2,1,1)&amp;";"&amp;OFFSET(掉落_design!$E124,0,掉落_design!K$2+1,1,1)&amp;";"&amp;OFFSET(掉落_design!$E124,0,掉落_design!K$2+2,1,1)&amp;";"&amp;OFFSET(掉落_design!$E124,0,掉落_design!K$2+3,1,1))</f>
        <v/>
      </c>
      <c r="M124" s="16"/>
      <c r="N124" s="16"/>
      <c r="O124" s="16"/>
      <c r="P124" s="16"/>
      <c r="Q124" s="25"/>
      <c r="R124" s="25"/>
      <c r="S124" s="25"/>
    </row>
    <row r="125" spans="1:25" x14ac:dyDescent="0.15">
      <c r="A125" s="11" t="str">
        <f t="shared" si="31"/>
        <v/>
      </c>
      <c r="B125" s="25"/>
      <c r="C125" s="25"/>
      <c r="D125" s="15" t="str">
        <f>IF(掉落_design!C125="","",掉落_design!C125)</f>
        <v/>
      </c>
      <c r="E125" s="15" t="str">
        <f>IF(A125="","",掉落_design!D125)</f>
        <v/>
      </c>
      <c r="F125" s="16" t="str">
        <f ca="1">IF(OFFSET(掉落_design!$E125,0,掉落_design!E$2,1,1)="","",OFFSET(掉落_design!$E125,0,掉落_design!E$2,1,1)&amp;";"&amp;OFFSET(掉落_design!$E125,0,掉落_design!E$2+1,1,1)&amp;";"&amp;OFFSET(掉落_design!$E125,0,掉落_design!E$2+2,1,1)&amp;";"&amp;OFFSET(掉落_design!$E125,0,掉落_design!E$2+3,1,1))</f>
        <v/>
      </c>
      <c r="G125" s="16" t="str">
        <f ca="1">IF(OFFSET(掉落_design!$E125,0,掉落_design!F$2,1,1)="","",OFFSET(掉落_design!$E125,0,掉落_design!F$2,1,1)&amp;";"&amp;OFFSET(掉落_design!$E125,0,掉落_design!F$2+1,1,1)&amp;";"&amp;OFFSET(掉落_design!$E125,0,掉落_design!F$2+2,1,1)&amp;";"&amp;OFFSET(掉落_design!$E125,0,掉落_design!F$2+3,1,1))</f>
        <v/>
      </c>
      <c r="H125" s="16" t="str">
        <f ca="1">IF(OFFSET(掉落_design!$E125,0,掉落_design!G$2,1,1)="","",OFFSET(掉落_design!$E125,0,掉落_design!G$2,1,1)&amp;";"&amp;OFFSET(掉落_design!$E125,0,掉落_design!G$2+1,1,1)&amp;";"&amp;OFFSET(掉落_design!$E125,0,掉落_design!G$2+2,1,1)&amp;";"&amp;OFFSET(掉落_design!$E125,0,掉落_design!G$2+3,1,1))</f>
        <v/>
      </c>
      <c r="I125" s="16" t="str">
        <f ca="1">IF(OFFSET(掉落_design!$E125,0,掉落_design!H$2,1,1)="","",OFFSET(掉落_design!$E125,0,掉落_design!H$2,1,1)&amp;";"&amp;OFFSET(掉落_design!$E125,0,掉落_design!H$2+1,1,1)&amp;";"&amp;OFFSET(掉落_design!$E125,0,掉落_design!H$2+2,1,1)&amp;";"&amp;OFFSET(掉落_design!$E125,0,掉落_design!H$2+3,1,1))</f>
        <v/>
      </c>
      <c r="J125" s="16" t="str">
        <f ca="1">IF(OFFSET(掉落_design!$E125,0,掉落_design!I$2,1,1)="","",OFFSET(掉落_design!$E125,0,掉落_design!I$2,1,1)&amp;";"&amp;OFFSET(掉落_design!$E125,0,掉落_design!I$2+1,1,1)&amp;";"&amp;OFFSET(掉落_design!$E125,0,掉落_design!I$2+2,1,1)&amp;";"&amp;OFFSET(掉落_design!$E125,0,掉落_design!I$2+3,1,1))</f>
        <v/>
      </c>
      <c r="K125" s="16" t="str">
        <f ca="1">IF(OFFSET(掉落_design!$E125,0,掉落_design!J$2,1,1)="","",OFFSET(掉落_design!$E125,0,掉落_design!J$2,1,1)&amp;";"&amp;OFFSET(掉落_design!$E125,0,掉落_design!J$2+1,1,1)&amp;";"&amp;OFFSET(掉落_design!$E125,0,掉落_design!J$2+2,1,1)&amp;";"&amp;OFFSET(掉落_design!$E125,0,掉落_design!J$2+3,1,1))</f>
        <v/>
      </c>
      <c r="L125" s="16" t="str">
        <f ca="1">IF(OFFSET(掉落_design!$E125,0,掉落_design!K$2,1,1)="","",OFFSET(掉落_design!$E125,0,掉落_design!K$2,1,1)&amp;";"&amp;OFFSET(掉落_design!$E125,0,掉落_design!K$2+1,1,1)&amp;";"&amp;OFFSET(掉落_design!$E125,0,掉落_design!K$2+2,1,1)&amp;";"&amp;OFFSET(掉落_design!$E125,0,掉落_design!K$2+3,1,1))</f>
        <v/>
      </c>
      <c r="M125" s="16"/>
      <c r="N125" s="16"/>
      <c r="O125" s="16"/>
      <c r="P125" s="16"/>
      <c r="Q125" s="25"/>
      <c r="R125" s="25"/>
      <c r="S125" s="25"/>
    </row>
    <row r="126" spans="1:25" x14ac:dyDescent="0.15">
      <c r="A126" s="11" t="str">
        <f t="shared" si="31"/>
        <v/>
      </c>
      <c r="B126" s="25"/>
      <c r="C126" s="25"/>
      <c r="D126" s="15" t="str">
        <f>IF(掉落_design!C126="","",掉落_design!C126)</f>
        <v/>
      </c>
      <c r="E126" s="15" t="str">
        <f>IF(A126="","",掉落_design!D126)</f>
        <v/>
      </c>
      <c r="F126" s="16" t="str">
        <f ca="1">IF(OFFSET(掉落_design!$E126,0,掉落_design!E$2,1,1)="","",OFFSET(掉落_design!$E126,0,掉落_design!E$2,1,1)&amp;";"&amp;OFFSET(掉落_design!$E126,0,掉落_design!E$2+1,1,1)&amp;";"&amp;OFFSET(掉落_design!$E126,0,掉落_design!E$2+2,1,1)&amp;";"&amp;OFFSET(掉落_design!$E126,0,掉落_design!E$2+3,1,1))</f>
        <v/>
      </c>
      <c r="G126" s="16" t="str">
        <f ca="1">IF(OFFSET(掉落_design!$E126,0,掉落_design!F$2,1,1)="","",OFFSET(掉落_design!$E126,0,掉落_design!F$2,1,1)&amp;";"&amp;OFFSET(掉落_design!$E126,0,掉落_design!F$2+1,1,1)&amp;";"&amp;OFFSET(掉落_design!$E126,0,掉落_design!F$2+2,1,1)&amp;";"&amp;OFFSET(掉落_design!$E126,0,掉落_design!F$2+3,1,1))</f>
        <v/>
      </c>
      <c r="H126" s="16" t="str">
        <f ca="1">IF(OFFSET(掉落_design!$E126,0,掉落_design!G$2,1,1)="","",OFFSET(掉落_design!$E126,0,掉落_design!G$2,1,1)&amp;";"&amp;OFFSET(掉落_design!$E126,0,掉落_design!G$2+1,1,1)&amp;";"&amp;OFFSET(掉落_design!$E126,0,掉落_design!G$2+2,1,1)&amp;";"&amp;OFFSET(掉落_design!$E126,0,掉落_design!G$2+3,1,1))</f>
        <v/>
      </c>
      <c r="I126" s="16" t="str">
        <f ca="1">IF(OFFSET(掉落_design!$E126,0,掉落_design!H$2,1,1)="","",OFFSET(掉落_design!$E126,0,掉落_design!H$2,1,1)&amp;";"&amp;OFFSET(掉落_design!$E126,0,掉落_design!H$2+1,1,1)&amp;";"&amp;OFFSET(掉落_design!$E126,0,掉落_design!H$2+2,1,1)&amp;";"&amp;OFFSET(掉落_design!$E126,0,掉落_design!H$2+3,1,1))</f>
        <v/>
      </c>
      <c r="J126" s="16" t="str">
        <f ca="1">IF(OFFSET(掉落_design!$E126,0,掉落_design!I$2,1,1)="","",OFFSET(掉落_design!$E126,0,掉落_design!I$2,1,1)&amp;";"&amp;OFFSET(掉落_design!$E126,0,掉落_design!I$2+1,1,1)&amp;";"&amp;OFFSET(掉落_design!$E126,0,掉落_design!I$2+2,1,1)&amp;";"&amp;OFFSET(掉落_design!$E126,0,掉落_design!I$2+3,1,1))</f>
        <v/>
      </c>
      <c r="K126" s="16" t="str">
        <f ca="1">IF(OFFSET(掉落_design!$E126,0,掉落_design!J$2,1,1)="","",OFFSET(掉落_design!$E126,0,掉落_design!J$2,1,1)&amp;";"&amp;OFFSET(掉落_design!$E126,0,掉落_design!J$2+1,1,1)&amp;";"&amp;OFFSET(掉落_design!$E126,0,掉落_design!J$2+2,1,1)&amp;";"&amp;OFFSET(掉落_design!$E126,0,掉落_design!J$2+3,1,1))</f>
        <v/>
      </c>
      <c r="L126" s="16" t="str">
        <f ca="1">IF(OFFSET(掉落_design!$E126,0,掉落_design!K$2,1,1)="","",OFFSET(掉落_design!$E126,0,掉落_design!K$2,1,1)&amp;";"&amp;OFFSET(掉落_design!$E126,0,掉落_design!K$2+1,1,1)&amp;";"&amp;OFFSET(掉落_design!$E126,0,掉落_design!K$2+2,1,1)&amp;";"&amp;OFFSET(掉落_design!$E126,0,掉落_design!K$2+3,1,1))</f>
        <v/>
      </c>
      <c r="M126" s="16"/>
      <c r="N126" s="16"/>
      <c r="O126" s="16"/>
      <c r="P126" s="16"/>
      <c r="Q126" s="25"/>
      <c r="R126" s="25"/>
      <c r="S126" s="25"/>
    </row>
    <row r="127" spans="1:25" x14ac:dyDescent="0.15">
      <c r="A127" s="11" t="str">
        <f t="shared" si="31"/>
        <v/>
      </c>
      <c r="B127" s="25"/>
      <c r="C127" s="25"/>
      <c r="D127" s="15" t="str">
        <f>IF(掉落_design!C127="","",掉落_design!C127)</f>
        <v/>
      </c>
      <c r="E127" s="15" t="str">
        <f>IF(A127="","",掉落_design!D127)</f>
        <v/>
      </c>
      <c r="F127" s="16" t="str">
        <f ca="1">IF(OFFSET(掉落_design!$E127,0,掉落_design!E$2,1,1)="","",OFFSET(掉落_design!$E127,0,掉落_design!E$2,1,1)&amp;";"&amp;OFFSET(掉落_design!$E127,0,掉落_design!E$2+1,1,1)&amp;";"&amp;OFFSET(掉落_design!$E127,0,掉落_design!E$2+2,1,1)&amp;";"&amp;OFFSET(掉落_design!$E127,0,掉落_design!E$2+3,1,1))</f>
        <v/>
      </c>
      <c r="G127" s="16" t="str">
        <f ca="1">IF(OFFSET(掉落_design!$E127,0,掉落_design!F$2,1,1)="","",OFFSET(掉落_design!$E127,0,掉落_design!F$2,1,1)&amp;";"&amp;OFFSET(掉落_design!$E127,0,掉落_design!F$2+1,1,1)&amp;";"&amp;OFFSET(掉落_design!$E127,0,掉落_design!F$2+2,1,1)&amp;";"&amp;OFFSET(掉落_design!$E127,0,掉落_design!F$2+3,1,1))</f>
        <v/>
      </c>
      <c r="H127" s="16" t="str">
        <f ca="1">IF(OFFSET(掉落_design!$E127,0,掉落_design!G$2,1,1)="","",OFFSET(掉落_design!$E127,0,掉落_design!G$2,1,1)&amp;";"&amp;OFFSET(掉落_design!$E127,0,掉落_design!G$2+1,1,1)&amp;";"&amp;OFFSET(掉落_design!$E127,0,掉落_design!G$2+2,1,1)&amp;";"&amp;OFFSET(掉落_design!$E127,0,掉落_design!G$2+3,1,1))</f>
        <v/>
      </c>
      <c r="I127" s="16" t="str">
        <f ca="1">IF(OFFSET(掉落_design!$E127,0,掉落_design!H$2,1,1)="","",OFFSET(掉落_design!$E127,0,掉落_design!H$2,1,1)&amp;";"&amp;OFFSET(掉落_design!$E127,0,掉落_design!H$2+1,1,1)&amp;";"&amp;OFFSET(掉落_design!$E127,0,掉落_design!H$2+2,1,1)&amp;";"&amp;OFFSET(掉落_design!$E127,0,掉落_design!H$2+3,1,1))</f>
        <v/>
      </c>
      <c r="J127" s="16" t="str">
        <f ca="1">IF(OFFSET(掉落_design!$E127,0,掉落_design!I$2,1,1)="","",OFFSET(掉落_design!$E127,0,掉落_design!I$2,1,1)&amp;";"&amp;OFFSET(掉落_design!$E127,0,掉落_design!I$2+1,1,1)&amp;";"&amp;OFFSET(掉落_design!$E127,0,掉落_design!I$2+2,1,1)&amp;";"&amp;OFFSET(掉落_design!$E127,0,掉落_design!I$2+3,1,1))</f>
        <v/>
      </c>
      <c r="K127" s="16" t="str">
        <f ca="1">IF(OFFSET(掉落_design!$E127,0,掉落_design!J$2,1,1)="","",OFFSET(掉落_design!$E127,0,掉落_design!J$2,1,1)&amp;";"&amp;OFFSET(掉落_design!$E127,0,掉落_design!J$2+1,1,1)&amp;";"&amp;OFFSET(掉落_design!$E127,0,掉落_design!J$2+2,1,1)&amp;";"&amp;OFFSET(掉落_design!$E127,0,掉落_design!J$2+3,1,1))</f>
        <v/>
      </c>
      <c r="L127" s="16" t="str">
        <f ca="1">IF(OFFSET(掉落_design!$E127,0,掉落_design!K$2,1,1)="","",OFFSET(掉落_design!$E127,0,掉落_design!K$2,1,1)&amp;";"&amp;OFFSET(掉落_design!$E127,0,掉落_design!K$2+1,1,1)&amp;";"&amp;OFFSET(掉落_design!$E127,0,掉落_design!K$2+2,1,1)&amp;";"&amp;OFFSET(掉落_design!$E127,0,掉落_design!K$2+3,1,1))</f>
        <v/>
      </c>
      <c r="M127" s="16"/>
      <c r="N127" s="16"/>
      <c r="O127" s="16"/>
      <c r="P127" s="16"/>
      <c r="Q127" s="25"/>
      <c r="R127" s="25"/>
      <c r="S127" s="25"/>
    </row>
    <row r="128" spans="1:25" x14ac:dyDescent="0.15">
      <c r="A128" s="11" t="str">
        <f t="shared" si="31"/>
        <v/>
      </c>
      <c r="B128" s="25"/>
      <c r="C128" s="25"/>
      <c r="D128" s="15" t="str">
        <f>IF(掉落_design!C128="","",掉落_design!C128)</f>
        <v/>
      </c>
      <c r="E128" s="15" t="str">
        <f>IF(A128="","",掉落_design!D128)</f>
        <v/>
      </c>
      <c r="F128" s="16" t="str">
        <f ca="1">IF(OFFSET(掉落_design!$E128,0,掉落_design!E$2,1,1)="","",OFFSET(掉落_design!$E128,0,掉落_design!E$2,1,1)&amp;";"&amp;OFFSET(掉落_design!$E128,0,掉落_design!E$2+1,1,1)&amp;";"&amp;OFFSET(掉落_design!$E128,0,掉落_design!E$2+2,1,1)&amp;";"&amp;OFFSET(掉落_design!$E128,0,掉落_design!E$2+3,1,1))</f>
        <v/>
      </c>
      <c r="G128" s="16" t="str">
        <f ca="1">IF(OFFSET(掉落_design!$E128,0,掉落_design!F$2,1,1)="","",OFFSET(掉落_design!$E128,0,掉落_design!F$2,1,1)&amp;";"&amp;OFFSET(掉落_design!$E128,0,掉落_design!F$2+1,1,1)&amp;";"&amp;OFFSET(掉落_design!$E128,0,掉落_design!F$2+2,1,1)&amp;";"&amp;OFFSET(掉落_design!$E128,0,掉落_design!F$2+3,1,1))</f>
        <v/>
      </c>
      <c r="H128" s="16" t="str">
        <f ca="1">IF(OFFSET(掉落_design!$E128,0,掉落_design!G$2,1,1)="","",OFFSET(掉落_design!$E128,0,掉落_design!G$2,1,1)&amp;";"&amp;OFFSET(掉落_design!$E128,0,掉落_design!G$2+1,1,1)&amp;";"&amp;OFFSET(掉落_design!$E128,0,掉落_design!G$2+2,1,1)&amp;";"&amp;OFFSET(掉落_design!$E128,0,掉落_design!G$2+3,1,1))</f>
        <v/>
      </c>
      <c r="I128" s="16" t="str">
        <f ca="1">IF(OFFSET(掉落_design!$E128,0,掉落_design!H$2,1,1)="","",OFFSET(掉落_design!$E128,0,掉落_design!H$2,1,1)&amp;";"&amp;OFFSET(掉落_design!$E128,0,掉落_design!H$2+1,1,1)&amp;";"&amp;OFFSET(掉落_design!$E128,0,掉落_design!H$2+2,1,1)&amp;";"&amp;OFFSET(掉落_design!$E128,0,掉落_design!H$2+3,1,1))</f>
        <v/>
      </c>
      <c r="J128" s="16" t="str">
        <f ca="1">IF(OFFSET(掉落_design!$E128,0,掉落_design!I$2,1,1)="","",OFFSET(掉落_design!$E128,0,掉落_design!I$2,1,1)&amp;";"&amp;OFFSET(掉落_design!$E128,0,掉落_design!I$2+1,1,1)&amp;";"&amp;OFFSET(掉落_design!$E128,0,掉落_design!I$2+2,1,1)&amp;";"&amp;OFFSET(掉落_design!$E128,0,掉落_design!I$2+3,1,1))</f>
        <v/>
      </c>
      <c r="K128" s="16" t="str">
        <f ca="1">IF(OFFSET(掉落_design!$E128,0,掉落_design!J$2,1,1)="","",OFFSET(掉落_design!$E128,0,掉落_design!J$2,1,1)&amp;";"&amp;OFFSET(掉落_design!$E128,0,掉落_design!J$2+1,1,1)&amp;";"&amp;OFFSET(掉落_design!$E128,0,掉落_design!J$2+2,1,1)&amp;";"&amp;OFFSET(掉落_design!$E128,0,掉落_design!J$2+3,1,1))</f>
        <v/>
      </c>
      <c r="L128" s="16" t="str">
        <f ca="1">IF(OFFSET(掉落_design!$E128,0,掉落_design!K$2,1,1)="","",OFFSET(掉落_design!$E128,0,掉落_design!K$2,1,1)&amp;";"&amp;OFFSET(掉落_design!$E128,0,掉落_design!K$2+1,1,1)&amp;";"&amp;OFFSET(掉落_design!$E128,0,掉落_design!K$2+2,1,1)&amp;";"&amp;OFFSET(掉落_design!$E128,0,掉落_design!K$2+3,1,1))</f>
        <v/>
      </c>
      <c r="M128" s="16"/>
      <c r="N128" s="16"/>
      <c r="O128" s="16"/>
      <c r="P128" s="16"/>
      <c r="Q128" s="25"/>
      <c r="R128" s="25"/>
      <c r="S128" s="25"/>
    </row>
    <row r="129" spans="1:19" x14ac:dyDescent="0.15">
      <c r="A129" s="11" t="str">
        <f t="shared" si="31"/>
        <v/>
      </c>
      <c r="B129" s="25"/>
      <c r="C129" s="25"/>
      <c r="D129" s="15" t="str">
        <f>IF(掉落_design!C129="","",掉落_design!C129)</f>
        <v/>
      </c>
      <c r="E129" s="15" t="str">
        <f>IF(A129="","",掉落_design!D129)</f>
        <v/>
      </c>
      <c r="F129" s="16" t="str">
        <f ca="1">IF(OFFSET(掉落_design!$E129,0,掉落_design!E$2,1,1)="","",OFFSET(掉落_design!$E129,0,掉落_design!E$2,1,1)&amp;";"&amp;OFFSET(掉落_design!$E129,0,掉落_design!E$2+1,1,1)&amp;";"&amp;OFFSET(掉落_design!$E129,0,掉落_design!E$2+2,1,1)&amp;";"&amp;OFFSET(掉落_design!$E129,0,掉落_design!E$2+3,1,1))</f>
        <v/>
      </c>
      <c r="G129" s="16" t="str">
        <f ca="1">IF(OFFSET(掉落_design!$E129,0,掉落_design!F$2,1,1)="","",OFFSET(掉落_design!$E129,0,掉落_design!F$2,1,1)&amp;";"&amp;OFFSET(掉落_design!$E129,0,掉落_design!F$2+1,1,1)&amp;";"&amp;OFFSET(掉落_design!$E129,0,掉落_design!F$2+2,1,1)&amp;";"&amp;OFFSET(掉落_design!$E129,0,掉落_design!F$2+3,1,1))</f>
        <v/>
      </c>
      <c r="H129" s="16" t="str">
        <f ca="1">IF(OFFSET(掉落_design!$E129,0,掉落_design!G$2,1,1)="","",OFFSET(掉落_design!$E129,0,掉落_design!G$2,1,1)&amp;";"&amp;OFFSET(掉落_design!$E129,0,掉落_design!G$2+1,1,1)&amp;";"&amp;OFFSET(掉落_design!$E129,0,掉落_design!G$2+2,1,1)&amp;";"&amp;OFFSET(掉落_design!$E129,0,掉落_design!G$2+3,1,1))</f>
        <v/>
      </c>
      <c r="I129" s="16" t="str">
        <f ca="1">IF(OFFSET(掉落_design!$E129,0,掉落_design!H$2,1,1)="","",OFFSET(掉落_design!$E129,0,掉落_design!H$2,1,1)&amp;";"&amp;OFFSET(掉落_design!$E129,0,掉落_design!H$2+1,1,1)&amp;";"&amp;OFFSET(掉落_design!$E129,0,掉落_design!H$2+2,1,1)&amp;";"&amp;OFFSET(掉落_design!$E129,0,掉落_design!H$2+3,1,1))</f>
        <v/>
      </c>
      <c r="J129" s="16" t="str">
        <f ca="1">IF(OFFSET(掉落_design!$E129,0,掉落_design!I$2,1,1)="","",OFFSET(掉落_design!$E129,0,掉落_design!I$2,1,1)&amp;";"&amp;OFFSET(掉落_design!$E129,0,掉落_design!I$2+1,1,1)&amp;";"&amp;OFFSET(掉落_design!$E129,0,掉落_design!I$2+2,1,1)&amp;";"&amp;OFFSET(掉落_design!$E129,0,掉落_design!I$2+3,1,1))</f>
        <v/>
      </c>
      <c r="K129" s="16" t="str">
        <f ca="1">IF(OFFSET(掉落_design!$E129,0,掉落_design!J$2,1,1)="","",OFFSET(掉落_design!$E129,0,掉落_design!J$2,1,1)&amp;";"&amp;OFFSET(掉落_design!$E129,0,掉落_design!J$2+1,1,1)&amp;";"&amp;OFFSET(掉落_design!$E129,0,掉落_design!J$2+2,1,1)&amp;";"&amp;OFFSET(掉落_design!$E129,0,掉落_design!J$2+3,1,1))</f>
        <v/>
      </c>
      <c r="L129" s="16" t="str">
        <f ca="1">IF(OFFSET(掉落_design!$E129,0,掉落_design!K$2,1,1)="","",OFFSET(掉落_design!$E129,0,掉落_design!K$2,1,1)&amp;";"&amp;OFFSET(掉落_design!$E129,0,掉落_design!K$2+1,1,1)&amp;";"&amp;OFFSET(掉落_design!$E129,0,掉落_design!K$2+2,1,1)&amp;";"&amp;OFFSET(掉落_design!$E129,0,掉落_design!K$2+3,1,1))</f>
        <v/>
      </c>
      <c r="M129" s="16"/>
      <c r="N129" s="16"/>
      <c r="O129" s="16"/>
      <c r="P129" s="16"/>
      <c r="Q129" s="25"/>
      <c r="R129" s="25"/>
      <c r="S129" s="25"/>
    </row>
    <row r="130" spans="1:19" x14ac:dyDescent="0.15">
      <c r="A130" s="11" t="str">
        <f t="shared" si="31"/>
        <v/>
      </c>
      <c r="B130" s="25"/>
      <c r="C130" s="25"/>
      <c r="D130" s="15" t="str">
        <f>IF(掉落_design!C130="","",掉落_design!C130)</f>
        <v/>
      </c>
      <c r="E130" s="15" t="str">
        <f>IF(A130="","",掉落_design!D130)</f>
        <v/>
      </c>
      <c r="F130" s="16" t="str">
        <f ca="1">IF(OFFSET(掉落_design!$E130,0,掉落_design!E$2,1,1)="","",OFFSET(掉落_design!$E130,0,掉落_design!E$2,1,1)&amp;";"&amp;OFFSET(掉落_design!$E130,0,掉落_design!E$2+1,1,1)&amp;";"&amp;OFFSET(掉落_design!$E130,0,掉落_design!E$2+2,1,1)&amp;";"&amp;OFFSET(掉落_design!$E130,0,掉落_design!E$2+3,1,1))</f>
        <v/>
      </c>
      <c r="G130" s="16" t="str">
        <f ca="1">IF(OFFSET(掉落_design!$E130,0,掉落_design!F$2,1,1)="","",OFFSET(掉落_design!$E130,0,掉落_design!F$2,1,1)&amp;";"&amp;OFFSET(掉落_design!$E130,0,掉落_design!F$2+1,1,1)&amp;";"&amp;OFFSET(掉落_design!$E130,0,掉落_design!F$2+2,1,1)&amp;";"&amp;OFFSET(掉落_design!$E130,0,掉落_design!F$2+3,1,1))</f>
        <v/>
      </c>
      <c r="H130" s="16" t="str">
        <f ca="1">IF(OFFSET(掉落_design!$E130,0,掉落_design!G$2,1,1)="","",OFFSET(掉落_design!$E130,0,掉落_design!G$2,1,1)&amp;";"&amp;OFFSET(掉落_design!$E130,0,掉落_design!G$2+1,1,1)&amp;";"&amp;OFFSET(掉落_design!$E130,0,掉落_design!G$2+2,1,1)&amp;";"&amp;OFFSET(掉落_design!$E130,0,掉落_design!G$2+3,1,1))</f>
        <v/>
      </c>
      <c r="I130" s="16" t="str">
        <f ca="1">IF(OFFSET(掉落_design!$E130,0,掉落_design!H$2,1,1)="","",OFFSET(掉落_design!$E130,0,掉落_design!H$2,1,1)&amp;";"&amp;OFFSET(掉落_design!$E130,0,掉落_design!H$2+1,1,1)&amp;";"&amp;OFFSET(掉落_design!$E130,0,掉落_design!H$2+2,1,1)&amp;";"&amp;OFFSET(掉落_design!$E130,0,掉落_design!H$2+3,1,1))</f>
        <v/>
      </c>
      <c r="J130" s="16" t="str">
        <f ca="1">IF(OFFSET(掉落_design!$E130,0,掉落_design!I$2,1,1)="","",OFFSET(掉落_design!$E130,0,掉落_design!I$2,1,1)&amp;";"&amp;OFFSET(掉落_design!$E130,0,掉落_design!I$2+1,1,1)&amp;";"&amp;OFFSET(掉落_design!$E130,0,掉落_design!I$2+2,1,1)&amp;";"&amp;OFFSET(掉落_design!$E130,0,掉落_design!I$2+3,1,1))</f>
        <v/>
      </c>
      <c r="K130" s="16" t="str">
        <f ca="1">IF(OFFSET(掉落_design!$E130,0,掉落_design!J$2,1,1)="","",OFFSET(掉落_design!$E130,0,掉落_design!J$2,1,1)&amp;";"&amp;OFFSET(掉落_design!$E130,0,掉落_design!J$2+1,1,1)&amp;";"&amp;OFFSET(掉落_design!$E130,0,掉落_design!J$2+2,1,1)&amp;";"&amp;OFFSET(掉落_design!$E130,0,掉落_design!J$2+3,1,1))</f>
        <v/>
      </c>
      <c r="L130" s="16" t="str">
        <f ca="1">IF(OFFSET(掉落_design!$E130,0,掉落_design!K$2,1,1)="","",OFFSET(掉落_design!$E130,0,掉落_design!K$2,1,1)&amp;";"&amp;OFFSET(掉落_design!$E130,0,掉落_design!K$2+1,1,1)&amp;";"&amp;OFFSET(掉落_design!$E130,0,掉落_design!K$2+2,1,1)&amp;";"&amp;OFFSET(掉落_design!$E130,0,掉落_design!K$2+3,1,1))</f>
        <v/>
      </c>
      <c r="M130" s="16"/>
      <c r="N130" s="16"/>
      <c r="O130" s="16"/>
      <c r="P130" s="16"/>
      <c r="Q130" s="25"/>
      <c r="R130" s="25"/>
      <c r="S130" s="25"/>
    </row>
    <row r="131" spans="1:19" x14ac:dyDescent="0.15">
      <c r="A131" s="11" t="str">
        <f t="shared" si="31"/>
        <v/>
      </c>
      <c r="B131" s="25"/>
      <c r="C131" s="25"/>
      <c r="D131" s="15" t="str">
        <f>IF(掉落_design!C131="","",掉落_design!C131)</f>
        <v/>
      </c>
      <c r="E131" s="15" t="str">
        <f>IF(A131="","",掉落_design!D131)</f>
        <v/>
      </c>
      <c r="F131" s="16" t="str">
        <f ca="1">IF(OFFSET(掉落_design!$E131,0,掉落_design!E$2,1,1)="","",OFFSET(掉落_design!$E131,0,掉落_design!E$2,1,1)&amp;";"&amp;OFFSET(掉落_design!$E131,0,掉落_design!E$2+1,1,1)&amp;";"&amp;OFFSET(掉落_design!$E131,0,掉落_design!E$2+2,1,1)&amp;";"&amp;OFFSET(掉落_design!$E131,0,掉落_design!E$2+3,1,1))</f>
        <v/>
      </c>
      <c r="G131" s="16" t="str">
        <f ca="1">IF(OFFSET(掉落_design!$E131,0,掉落_design!F$2,1,1)="","",OFFSET(掉落_design!$E131,0,掉落_design!F$2,1,1)&amp;";"&amp;OFFSET(掉落_design!$E131,0,掉落_design!F$2+1,1,1)&amp;";"&amp;OFFSET(掉落_design!$E131,0,掉落_design!F$2+2,1,1)&amp;";"&amp;OFFSET(掉落_design!$E131,0,掉落_design!F$2+3,1,1))</f>
        <v/>
      </c>
      <c r="H131" s="16" t="str">
        <f ca="1">IF(OFFSET(掉落_design!$E131,0,掉落_design!G$2,1,1)="","",OFFSET(掉落_design!$E131,0,掉落_design!G$2,1,1)&amp;";"&amp;OFFSET(掉落_design!$E131,0,掉落_design!G$2+1,1,1)&amp;";"&amp;OFFSET(掉落_design!$E131,0,掉落_design!G$2+2,1,1)&amp;";"&amp;OFFSET(掉落_design!$E131,0,掉落_design!G$2+3,1,1))</f>
        <v/>
      </c>
      <c r="I131" s="16" t="str">
        <f ca="1">IF(OFFSET(掉落_design!$E131,0,掉落_design!H$2,1,1)="","",OFFSET(掉落_design!$E131,0,掉落_design!H$2,1,1)&amp;";"&amp;OFFSET(掉落_design!$E131,0,掉落_design!H$2+1,1,1)&amp;";"&amp;OFFSET(掉落_design!$E131,0,掉落_design!H$2+2,1,1)&amp;";"&amp;OFFSET(掉落_design!$E131,0,掉落_design!H$2+3,1,1))</f>
        <v/>
      </c>
      <c r="J131" s="16" t="str">
        <f ca="1">IF(OFFSET(掉落_design!$E131,0,掉落_design!I$2,1,1)="","",OFFSET(掉落_design!$E131,0,掉落_design!I$2,1,1)&amp;";"&amp;OFFSET(掉落_design!$E131,0,掉落_design!I$2+1,1,1)&amp;";"&amp;OFFSET(掉落_design!$E131,0,掉落_design!I$2+2,1,1)&amp;";"&amp;OFFSET(掉落_design!$E131,0,掉落_design!I$2+3,1,1))</f>
        <v/>
      </c>
      <c r="K131" s="16" t="str">
        <f ca="1">IF(OFFSET(掉落_design!$E131,0,掉落_design!J$2,1,1)="","",OFFSET(掉落_design!$E131,0,掉落_design!J$2,1,1)&amp;";"&amp;OFFSET(掉落_design!$E131,0,掉落_design!J$2+1,1,1)&amp;";"&amp;OFFSET(掉落_design!$E131,0,掉落_design!J$2+2,1,1)&amp;";"&amp;OFFSET(掉落_design!$E131,0,掉落_design!J$2+3,1,1))</f>
        <v/>
      </c>
      <c r="L131" s="16" t="str">
        <f ca="1">IF(OFFSET(掉落_design!$E131,0,掉落_design!K$2,1,1)="","",OFFSET(掉落_design!$E131,0,掉落_design!K$2,1,1)&amp;";"&amp;OFFSET(掉落_design!$E131,0,掉落_design!K$2+1,1,1)&amp;";"&amp;OFFSET(掉落_design!$E131,0,掉落_design!K$2+2,1,1)&amp;";"&amp;OFFSET(掉落_design!$E131,0,掉落_design!K$2+3,1,1))</f>
        <v/>
      </c>
      <c r="M131" s="16"/>
      <c r="N131" s="16"/>
      <c r="O131" s="16"/>
      <c r="P131" s="16"/>
      <c r="Q131" s="25"/>
      <c r="R131" s="25"/>
      <c r="S131" s="25"/>
    </row>
    <row r="132" spans="1:19" x14ac:dyDescent="0.15">
      <c r="A132" s="11" t="str">
        <f t="shared" si="31"/>
        <v/>
      </c>
      <c r="B132" s="25"/>
      <c r="C132" s="25"/>
      <c r="D132" s="15" t="str">
        <f>IF(掉落_design!C132="","",掉落_design!C132)</f>
        <v/>
      </c>
      <c r="E132" s="15" t="str">
        <f>IF(A132="","",掉落_design!D132)</f>
        <v/>
      </c>
      <c r="F132" s="16" t="str">
        <f ca="1">IF(OFFSET(掉落_design!$E132,0,掉落_design!E$2,1,1)="","",OFFSET(掉落_design!$E132,0,掉落_design!E$2,1,1)&amp;";"&amp;OFFSET(掉落_design!$E132,0,掉落_design!E$2+1,1,1)&amp;";"&amp;OFFSET(掉落_design!$E132,0,掉落_design!E$2+2,1,1)&amp;";"&amp;OFFSET(掉落_design!$E132,0,掉落_design!E$2+3,1,1))</f>
        <v/>
      </c>
      <c r="G132" s="16" t="str">
        <f ca="1">IF(OFFSET(掉落_design!$E132,0,掉落_design!F$2,1,1)="","",OFFSET(掉落_design!$E132,0,掉落_design!F$2,1,1)&amp;";"&amp;OFFSET(掉落_design!$E132,0,掉落_design!F$2+1,1,1)&amp;";"&amp;OFFSET(掉落_design!$E132,0,掉落_design!F$2+2,1,1)&amp;";"&amp;OFFSET(掉落_design!$E132,0,掉落_design!F$2+3,1,1))</f>
        <v/>
      </c>
      <c r="H132" s="16" t="str">
        <f ca="1">IF(OFFSET(掉落_design!$E132,0,掉落_design!G$2,1,1)="","",OFFSET(掉落_design!$E132,0,掉落_design!G$2,1,1)&amp;";"&amp;OFFSET(掉落_design!$E132,0,掉落_design!G$2+1,1,1)&amp;";"&amp;OFFSET(掉落_design!$E132,0,掉落_design!G$2+2,1,1)&amp;";"&amp;OFFSET(掉落_design!$E132,0,掉落_design!G$2+3,1,1))</f>
        <v/>
      </c>
      <c r="I132" s="16" t="str">
        <f ca="1">IF(OFFSET(掉落_design!$E132,0,掉落_design!H$2,1,1)="","",OFFSET(掉落_design!$E132,0,掉落_design!H$2,1,1)&amp;";"&amp;OFFSET(掉落_design!$E132,0,掉落_design!H$2+1,1,1)&amp;";"&amp;OFFSET(掉落_design!$E132,0,掉落_design!H$2+2,1,1)&amp;";"&amp;OFFSET(掉落_design!$E132,0,掉落_design!H$2+3,1,1))</f>
        <v/>
      </c>
      <c r="J132" s="16" t="str">
        <f ca="1">IF(OFFSET(掉落_design!$E132,0,掉落_design!I$2,1,1)="","",OFFSET(掉落_design!$E132,0,掉落_design!I$2,1,1)&amp;";"&amp;OFFSET(掉落_design!$E132,0,掉落_design!I$2+1,1,1)&amp;";"&amp;OFFSET(掉落_design!$E132,0,掉落_design!I$2+2,1,1)&amp;";"&amp;OFFSET(掉落_design!$E132,0,掉落_design!I$2+3,1,1))</f>
        <v/>
      </c>
      <c r="K132" s="16" t="str">
        <f ca="1">IF(OFFSET(掉落_design!$E132,0,掉落_design!J$2,1,1)="","",OFFSET(掉落_design!$E132,0,掉落_design!J$2,1,1)&amp;";"&amp;OFFSET(掉落_design!$E132,0,掉落_design!J$2+1,1,1)&amp;";"&amp;OFFSET(掉落_design!$E132,0,掉落_design!J$2+2,1,1)&amp;";"&amp;OFFSET(掉落_design!$E132,0,掉落_design!J$2+3,1,1))</f>
        <v/>
      </c>
      <c r="L132" s="16" t="str">
        <f ca="1">IF(OFFSET(掉落_design!$E132,0,掉落_design!K$2,1,1)="","",OFFSET(掉落_design!$E132,0,掉落_design!K$2,1,1)&amp;";"&amp;OFFSET(掉落_design!$E132,0,掉落_design!K$2+1,1,1)&amp;";"&amp;OFFSET(掉落_design!$E132,0,掉落_design!K$2+2,1,1)&amp;";"&amp;OFFSET(掉落_design!$E132,0,掉落_design!K$2+3,1,1))</f>
        <v/>
      </c>
      <c r="M132" s="16"/>
      <c r="N132" s="16"/>
      <c r="O132" s="16"/>
      <c r="P132" s="16"/>
      <c r="Q132" s="25"/>
      <c r="R132" s="25"/>
      <c r="S132" s="25"/>
    </row>
    <row r="133" spans="1:19" x14ac:dyDescent="0.15">
      <c r="A133" s="11" t="str">
        <f t="shared" si="31"/>
        <v/>
      </c>
      <c r="B133" s="25"/>
      <c r="C133" s="25"/>
      <c r="D133" s="15" t="str">
        <f>IF(掉落_design!C133="","",掉落_design!C133)</f>
        <v/>
      </c>
      <c r="E133" s="15" t="str">
        <f>IF(A133="","",掉落_design!D133)</f>
        <v/>
      </c>
      <c r="F133" s="16" t="str">
        <f ca="1">IF(OFFSET(掉落_design!$E133,0,掉落_design!E$2,1,1)="","",OFFSET(掉落_design!$E133,0,掉落_design!E$2,1,1)&amp;";"&amp;OFFSET(掉落_design!$E133,0,掉落_design!E$2+1,1,1)&amp;";"&amp;OFFSET(掉落_design!$E133,0,掉落_design!E$2+2,1,1)&amp;";"&amp;OFFSET(掉落_design!$E133,0,掉落_design!E$2+3,1,1))</f>
        <v/>
      </c>
      <c r="G133" s="16" t="str">
        <f ca="1">IF(OFFSET(掉落_design!$E133,0,掉落_design!F$2,1,1)="","",OFFSET(掉落_design!$E133,0,掉落_design!F$2,1,1)&amp;";"&amp;OFFSET(掉落_design!$E133,0,掉落_design!F$2+1,1,1)&amp;";"&amp;OFFSET(掉落_design!$E133,0,掉落_design!F$2+2,1,1)&amp;";"&amp;OFFSET(掉落_design!$E133,0,掉落_design!F$2+3,1,1))</f>
        <v/>
      </c>
      <c r="H133" s="16" t="str">
        <f ca="1">IF(OFFSET(掉落_design!$E133,0,掉落_design!G$2,1,1)="","",OFFSET(掉落_design!$E133,0,掉落_design!G$2,1,1)&amp;";"&amp;OFFSET(掉落_design!$E133,0,掉落_design!G$2+1,1,1)&amp;";"&amp;OFFSET(掉落_design!$E133,0,掉落_design!G$2+2,1,1)&amp;";"&amp;OFFSET(掉落_design!$E133,0,掉落_design!G$2+3,1,1))</f>
        <v/>
      </c>
      <c r="I133" s="16" t="str">
        <f ca="1">IF(OFFSET(掉落_design!$E133,0,掉落_design!H$2,1,1)="","",OFFSET(掉落_design!$E133,0,掉落_design!H$2,1,1)&amp;";"&amp;OFFSET(掉落_design!$E133,0,掉落_design!H$2+1,1,1)&amp;";"&amp;OFFSET(掉落_design!$E133,0,掉落_design!H$2+2,1,1)&amp;";"&amp;OFFSET(掉落_design!$E133,0,掉落_design!H$2+3,1,1))</f>
        <v/>
      </c>
      <c r="J133" s="16" t="str">
        <f ca="1">IF(OFFSET(掉落_design!$E133,0,掉落_design!I$2,1,1)="","",OFFSET(掉落_design!$E133,0,掉落_design!I$2,1,1)&amp;";"&amp;OFFSET(掉落_design!$E133,0,掉落_design!I$2+1,1,1)&amp;";"&amp;OFFSET(掉落_design!$E133,0,掉落_design!I$2+2,1,1)&amp;";"&amp;OFFSET(掉落_design!$E133,0,掉落_design!I$2+3,1,1))</f>
        <v/>
      </c>
      <c r="K133" s="16" t="str">
        <f ca="1">IF(OFFSET(掉落_design!$E133,0,掉落_design!J$2,1,1)="","",OFFSET(掉落_design!$E133,0,掉落_design!J$2,1,1)&amp;";"&amp;OFFSET(掉落_design!$E133,0,掉落_design!J$2+1,1,1)&amp;";"&amp;OFFSET(掉落_design!$E133,0,掉落_design!J$2+2,1,1)&amp;";"&amp;OFFSET(掉落_design!$E133,0,掉落_design!J$2+3,1,1))</f>
        <v/>
      </c>
      <c r="L133" s="16" t="str">
        <f ca="1">IF(OFFSET(掉落_design!$E133,0,掉落_design!K$2,1,1)="","",OFFSET(掉落_design!$E133,0,掉落_design!K$2,1,1)&amp;";"&amp;OFFSET(掉落_design!$E133,0,掉落_design!K$2+1,1,1)&amp;";"&amp;OFFSET(掉落_design!$E133,0,掉落_design!K$2+2,1,1)&amp;";"&amp;OFFSET(掉落_design!$E133,0,掉落_design!K$2+3,1,1))</f>
        <v/>
      </c>
      <c r="M133" s="16"/>
      <c r="N133" s="16"/>
      <c r="O133" s="16"/>
      <c r="P133" s="16"/>
      <c r="Q133" s="25"/>
      <c r="R133" s="25"/>
      <c r="S133" s="25"/>
    </row>
    <row r="134" spans="1:19" x14ac:dyDescent="0.15">
      <c r="A134" s="11" t="str">
        <f t="shared" si="31"/>
        <v/>
      </c>
      <c r="B134" s="25"/>
      <c r="C134" s="25"/>
      <c r="D134" s="15" t="str">
        <f>IF(掉落_design!C134="","",掉落_design!C134)</f>
        <v/>
      </c>
      <c r="E134" s="15" t="str">
        <f>IF(A134="","",掉落_design!D134)</f>
        <v/>
      </c>
      <c r="F134" s="16" t="str">
        <f ca="1">IF(OFFSET(掉落_design!$E134,0,掉落_design!E$2,1,1)="","",OFFSET(掉落_design!$E134,0,掉落_design!E$2,1,1)&amp;";"&amp;OFFSET(掉落_design!$E134,0,掉落_design!E$2+1,1,1)&amp;";"&amp;OFFSET(掉落_design!$E134,0,掉落_design!E$2+2,1,1)&amp;";"&amp;OFFSET(掉落_design!$E134,0,掉落_design!E$2+3,1,1))</f>
        <v/>
      </c>
      <c r="G134" s="16" t="str">
        <f ca="1">IF(OFFSET(掉落_design!$E134,0,掉落_design!F$2,1,1)="","",OFFSET(掉落_design!$E134,0,掉落_design!F$2,1,1)&amp;";"&amp;OFFSET(掉落_design!$E134,0,掉落_design!F$2+1,1,1)&amp;";"&amp;OFFSET(掉落_design!$E134,0,掉落_design!F$2+2,1,1)&amp;";"&amp;OFFSET(掉落_design!$E134,0,掉落_design!F$2+3,1,1))</f>
        <v/>
      </c>
      <c r="H134" s="16" t="str">
        <f ca="1">IF(OFFSET(掉落_design!$E134,0,掉落_design!G$2,1,1)="","",OFFSET(掉落_design!$E134,0,掉落_design!G$2,1,1)&amp;";"&amp;OFFSET(掉落_design!$E134,0,掉落_design!G$2+1,1,1)&amp;";"&amp;OFFSET(掉落_design!$E134,0,掉落_design!G$2+2,1,1)&amp;";"&amp;OFFSET(掉落_design!$E134,0,掉落_design!G$2+3,1,1))</f>
        <v/>
      </c>
      <c r="I134" s="16" t="str">
        <f ca="1">IF(OFFSET(掉落_design!$E134,0,掉落_design!H$2,1,1)="","",OFFSET(掉落_design!$E134,0,掉落_design!H$2,1,1)&amp;";"&amp;OFFSET(掉落_design!$E134,0,掉落_design!H$2+1,1,1)&amp;";"&amp;OFFSET(掉落_design!$E134,0,掉落_design!H$2+2,1,1)&amp;";"&amp;OFFSET(掉落_design!$E134,0,掉落_design!H$2+3,1,1))</f>
        <v/>
      </c>
      <c r="J134" s="16" t="str">
        <f ca="1">IF(OFFSET(掉落_design!$E134,0,掉落_design!I$2,1,1)="","",OFFSET(掉落_design!$E134,0,掉落_design!I$2,1,1)&amp;";"&amp;OFFSET(掉落_design!$E134,0,掉落_design!I$2+1,1,1)&amp;";"&amp;OFFSET(掉落_design!$E134,0,掉落_design!I$2+2,1,1)&amp;";"&amp;OFFSET(掉落_design!$E134,0,掉落_design!I$2+3,1,1))</f>
        <v/>
      </c>
      <c r="K134" s="16" t="str">
        <f ca="1">IF(OFFSET(掉落_design!$E134,0,掉落_design!J$2,1,1)="","",OFFSET(掉落_design!$E134,0,掉落_design!J$2,1,1)&amp;";"&amp;OFFSET(掉落_design!$E134,0,掉落_design!J$2+1,1,1)&amp;";"&amp;OFFSET(掉落_design!$E134,0,掉落_design!J$2+2,1,1)&amp;";"&amp;OFFSET(掉落_design!$E134,0,掉落_design!J$2+3,1,1))</f>
        <v/>
      </c>
      <c r="L134" s="16" t="str">
        <f ca="1">IF(OFFSET(掉落_design!$E134,0,掉落_design!K$2,1,1)="","",OFFSET(掉落_design!$E134,0,掉落_design!K$2,1,1)&amp;";"&amp;OFFSET(掉落_design!$E134,0,掉落_design!K$2+1,1,1)&amp;";"&amp;OFFSET(掉落_design!$E134,0,掉落_design!K$2+2,1,1)&amp;";"&amp;OFFSET(掉落_design!$E134,0,掉落_design!K$2+3,1,1))</f>
        <v/>
      </c>
      <c r="M134" s="16"/>
      <c r="N134" s="16"/>
      <c r="O134" s="16"/>
      <c r="P134" s="16"/>
      <c r="Q134" s="25"/>
      <c r="R134" s="25"/>
      <c r="S134" s="25"/>
    </row>
    <row r="135" spans="1:19" x14ac:dyDescent="0.15">
      <c r="A135" s="11" t="str">
        <f t="shared" si="31"/>
        <v/>
      </c>
      <c r="B135" s="25"/>
      <c r="C135" s="25"/>
      <c r="D135" s="15" t="str">
        <f>IF(掉落_design!C135="","",掉落_design!C135)</f>
        <v/>
      </c>
      <c r="E135" s="15" t="str">
        <f>IF(A135="","",掉落_design!D135)</f>
        <v/>
      </c>
      <c r="F135" s="16" t="str">
        <f ca="1">IF(OFFSET(掉落_design!$E135,0,掉落_design!E$2,1,1)="","",OFFSET(掉落_design!$E135,0,掉落_design!E$2,1,1)&amp;";"&amp;OFFSET(掉落_design!$E135,0,掉落_design!E$2+1,1,1)&amp;";"&amp;OFFSET(掉落_design!$E135,0,掉落_design!E$2+2,1,1)&amp;";"&amp;OFFSET(掉落_design!$E135,0,掉落_design!E$2+3,1,1))</f>
        <v/>
      </c>
      <c r="G135" s="16" t="str">
        <f ca="1">IF(OFFSET(掉落_design!$E135,0,掉落_design!F$2,1,1)="","",OFFSET(掉落_design!$E135,0,掉落_design!F$2,1,1)&amp;";"&amp;OFFSET(掉落_design!$E135,0,掉落_design!F$2+1,1,1)&amp;";"&amp;OFFSET(掉落_design!$E135,0,掉落_design!F$2+2,1,1)&amp;";"&amp;OFFSET(掉落_design!$E135,0,掉落_design!F$2+3,1,1))</f>
        <v/>
      </c>
      <c r="H135" s="16" t="str">
        <f ca="1">IF(OFFSET(掉落_design!$E135,0,掉落_design!G$2,1,1)="","",OFFSET(掉落_design!$E135,0,掉落_design!G$2,1,1)&amp;";"&amp;OFFSET(掉落_design!$E135,0,掉落_design!G$2+1,1,1)&amp;";"&amp;OFFSET(掉落_design!$E135,0,掉落_design!G$2+2,1,1)&amp;";"&amp;OFFSET(掉落_design!$E135,0,掉落_design!G$2+3,1,1))</f>
        <v/>
      </c>
      <c r="I135" s="16" t="str">
        <f ca="1">IF(OFFSET(掉落_design!$E135,0,掉落_design!H$2,1,1)="","",OFFSET(掉落_design!$E135,0,掉落_design!H$2,1,1)&amp;";"&amp;OFFSET(掉落_design!$E135,0,掉落_design!H$2+1,1,1)&amp;";"&amp;OFFSET(掉落_design!$E135,0,掉落_design!H$2+2,1,1)&amp;";"&amp;OFFSET(掉落_design!$E135,0,掉落_design!H$2+3,1,1))</f>
        <v/>
      </c>
      <c r="J135" s="16" t="str">
        <f ca="1">IF(OFFSET(掉落_design!$E135,0,掉落_design!I$2,1,1)="","",OFFSET(掉落_design!$E135,0,掉落_design!I$2,1,1)&amp;";"&amp;OFFSET(掉落_design!$E135,0,掉落_design!I$2+1,1,1)&amp;";"&amp;OFFSET(掉落_design!$E135,0,掉落_design!I$2+2,1,1)&amp;";"&amp;OFFSET(掉落_design!$E135,0,掉落_design!I$2+3,1,1))</f>
        <v/>
      </c>
      <c r="K135" s="16" t="str">
        <f ca="1">IF(OFFSET(掉落_design!$E135,0,掉落_design!J$2,1,1)="","",OFFSET(掉落_design!$E135,0,掉落_design!J$2,1,1)&amp;";"&amp;OFFSET(掉落_design!$E135,0,掉落_design!J$2+1,1,1)&amp;";"&amp;OFFSET(掉落_design!$E135,0,掉落_design!J$2+2,1,1)&amp;";"&amp;OFFSET(掉落_design!$E135,0,掉落_design!J$2+3,1,1))</f>
        <v/>
      </c>
      <c r="L135" s="16" t="str">
        <f ca="1">IF(OFFSET(掉落_design!$E135,0,掉落_design!K$2,1,1)="","",OFFSET(掉落_design!$E135,0,掉落_design!K$2,1,1)&amp;";"&amp;OFFSET(掉落_design!$E135,0,掉落_design!K$2+1,1,1)&amp;";"&amp;OFFSET(掉落_design!$E135,0,掉落_design!K$2+2,1,1)&amp;";"&amp;OFFSET(掉落_design!$E135,0,掉落_design!K$2+3,1,1))</f>
        <v/>
      </c>
      <c r="M135" s="16"/>
      <c r="N135" s="16"/>
      <c r="O135" s="16"/>
      <c r="P135" s="16"/>
      <c r="Q135" s="25"/>
      <c r="R135" s="25"/>
      <c r="S135" s="25"/>
    </row>
    <row r="136" spans="1:19" x14ac:dyDescent="0.15">
      <c r="A136" s="11" t="str">
        <f t="shared" si="31"/>
        <v/>
      </c>
      <c r="B136" s="25"/>
      <c r="C136" s="25"/>
      <c r="D136" s="15" t="str">
        <f>IF(掉落_design!C136="","",掉落_design!C136)</f>
        <v/>
      </c>
      <c r="E136" s="15" t="str">
        <f>IF(A136="","",掉落_design!D136)</f>
        <v/>
      </c>
      <c r="F136" s="16" t="str">
        <f ca="1">IF(OFFSET(掉落_design!$E136,0,掉落_design!E$2,1,1)="","",OFFSET(掉落_design!$E136,0,掉落_design!E$2,1,1)&amp;";"&amp;OFFSET(掉落_design!$E136,0,掉落_design!E$2+1,1,1)&amp;";"&amp;OFFSET(掉落_design!$E136,0,掉落_design!E$2+2,1,1)&amp;";"&amp;OFFSET(掉落_design!$E136,0,掉落_design!E$2+3,1,1))</f>
        <v/>
      </c>
      <c r="G136" s="16" t="str">
        <f ca="1">IF(OFFSET(掉落_design!$E136,0,掉落_design!F$2,1,1)="","",OFFSET(掉落_design!$E136,0,掉落_design!F$2,1,1)&amp;";"&amp;OFFSET(掉落_design!$E136,0,掉落_design!F$2+1,1,1)&amp;";"&amp;OFFSET(掉落_design!$E136,0,掉落_design!F$2+2,1,1)&amp;";"&amp;OFFSET(掉落_design!$E136,0,掉落_design!F$2+3,1,1))</f>
        <v/>
      </c>
      <c r="H136" s="16" t="str">
        <f ca="1">IF(OFFSET(掉落_design!$E136,0,掉落_design!G$2,1,1)="","",OFFSET(掉落_design!$E136,0,掉落_design!G$2,1,1)&amp;";"&amp;OFFSET(掉落_design!$E136,0,掉落_design!G$2+1,1,1)&amp;";"&amp;OFFSET(掉落_design!$E136,0,掉落_design!G$2+2,1,1)&amp;";"&amp;OFFSET(掉落_design!$E136,0,掉落_design!G$2+3,1,1))</f>
        <v/>
      </c>
      <c r="I136" s="16" t="str">
        <f ca="1">IF(OFFSET(掉落_design!$E136,0,掉落_design!H$2,1,1)="","",OFFSET(掉落_design!$E136,0,掉落_design!H$2,1,1)&amp;";"&amp;OFFSET(掉落_design!$E136,0,掉落_design!H$2+1,1,1)&amp;";"&amp;OFFSET(掉落_design!$E136,0,掉落_design!H$2+2,1,1)&amp;";"&amp;OFFSET(掉落_design!$E136,0,掉落_design!H$2+3,1,1))</f>
        <v/>
      </c>
      <c r="J136" s="16" t="str">
        <f ca="1">IF(OFFSET(掉落_design!$E136,0,掉落_design!I$2,1,1)="","",OFFSET(掉落_design!$E136,0,掉落_design!I$2,1,1)&amp;";"&amp;OFFSET(掉落_design!$E136,0,掉落_design!I$2+1,1,1)&amp;";"&amp;OFFSET(掉落_design!$E136,0,掉落_design!I$2+2,1,1)&amp;";"&amp;OFFSET(掉落_design!$E136,0,掉落_design!I$2+3,1,1))</f>
        <v/>
      </c>
      <c r="K136" s="16" t="str">
        <f ca="1">IF(OFFSET(掉落_design!$E136,0,掉落_design!J$2,1,1)="","",OFFSET(掉落_design!$E136,0,掉落_design!J$2,1,1)&amp;";"&amp;OFFSET(掉落_design!$E136,0,掉落_design!J$2+1,1,1)&amp;";"&amp;OFFSET(掉落_design!$E136,0,掉落_design!J$2+2,1,1)&amp;";"&amp;OFFSET(掉落_design!$E136,0,掉落_design!J$2+3,1,1))</f>
        <v/>
      </c>
      <c r="L136" s="16" t="str">
        <f ca="1">IF(OFFSET(掉落_design!$E136,0,掉落_design!K$2,1,1)="","",OFFSET(掉落_design!$E136,0,掉落_design!K$2,1,1)&amp;";"&amp;OFFSET(掉落_design!$E136,0,掉落_design!K$2+1,1,1)&amp;";"&amp;OFFSET(掉落_design!$E136,0,掉落_design!K$2+2,1,1)&amp;";"&amp;OFFSET(掉落_design!$E136,0,掉落_design!K$2+3,1,1))</f>
        <v/>
      </c>
      <c r="M136" s="16"/>
      <c r="N136" s="16"/>
      <c r="O136" s="16"/>
      <c r="P136" s="16"/>
      <c r="Q136" s="25"/>
      <c r="R136" s="25"/>
      <c r="S136" s="25"/>
    </row>
    <row r="137" spans="1:19" x14ac:dyDescent="0.15">
      <c r="A137" s="11" t="str">
        <f t="shared" si="31"/>
        <v/>
      </c>
      <c r="B137" s="25"/>
      <c r="C137" s="25"/>
      <c r="D137" s="15" t="str">
        <f>IF(掉落_design!C137="","",掉落_design!C137)</f>
        <v/>
      </c>
      <c r="E137" s="15" t="str">
        <f>IF(A137="","",掉落_design!D137)</f>
        <v/>
      </c>
      <c r="F137" s="16" t="str">
        <f ca="1">IF(OFFSET(掉落_design!$E137,0,掉落_design!E$2,1,1)="","",OFFSET(掉落_design!$E137,0,掉落_design!E$2,1,1)&amp;";"&amp;OFFSET(掉落_design!$E137,0,掉落_design!E$2+1,1,1)&amp;";"&amp;OFFSET(掉落_design!$E137,0,掉落_design!E$2+2,1,1)&amp;";"&amp;OFFSET(掉落_design!$E137,0,掉落_design!E$2+3,1,1))</f>
        <v/>
      </c>
      <c r="G137" s="16" t="str">
        <f ca="1">IF(OFFSET(掉落_design!$E137,0,掉落_design!F$2,1,1)="","",OFFSET(掉落_design!$E137,0,掉落_design!F$2,1,1)&amp;";"&amp;OFFSET(掉落_design!$E137,0,掉落_design!F$2+1,1,1)&amp;";"&amp;OFFSET(掉落_design!$E137,0,掉落_design!F$2+2,1,1)&amp;";"&amp;OFFSET(掉落_design!$E137,0,掉落_design!F$2+3,1,1))</f>
        <v/>
      </c>
      <c r="H137" s="16" t="str">
        <f ca="1">IF(OFFSET(掉落_design!$E137,0,掉落_design!G$2,1,1)="","",OFFSET(掉落_design!$E137,0,掉落_design!G$2,1,1)&amp;";"&amp;OFFSET(掉落_design!$E137,0,掉落_design!G$2+1,1,1)&amp;";"&amp;OFFSET(掉落_design!$E137,0,掉落_design!G$2+2,1,1)&amp;";"&amp;OFFSET(掉落_design!$E137,0,掉落_design!G$2+3,1,1))</f>
        <v/>
      </c>
      <c r="I137" s="16" t="str">
        <f ca="1">IF(OFFSET(掉落_design!$E137,0,掉落_design!H$2,1,1)="","",OFFSET(掉落_design!$E137,0,掉落_design!H$2,1,1)&amp;";"&amp;OFFSET(掉落_design!$E137,0,掉落_design!H$2+1,1,1)&amp;";"&amp;OFFSET(掉落_design!$E137,0,掉落_design!H$2+2,1,1)&amp;";"&amp;OFFSET(掉落_design!$E137,0,掉落_design!H$2+3,1,1))</f>
        <v/>
      </c>
      <c r="J137" s="16" t="str">
        <f ca="1">IF(OFFSET(掉落_design!$E137,0,掉落_design!I$2,1,1)="","",OFFSET(掉落_design!$E137,0,掉落_design!I$2,1,1)&amp;";"&amp;OFFSET(掉落_design!$E137,0,掉落_design!I$2+1,1,1)&amp;";"&amp;OFFSET(掉落_design!$E137,0,掉落_design!I$2+2,1,1)&amp;";"&amp;OFFSET(掉落_design!$E137,0,掉落_design!I$2+3,1,1))</f>
        <v/>
      </c>
      <c r="K137" s="16" t="str">
        <f ca="1">IF(OFFSET(掉落_design!$E137,0,掉落_design!J$2,1,1)="","",OFFSET(掉落_design!$E137,0,掉落_design!J$2,1,1)&amp;";"&amp;OFFSET(掉落_design!$E137,0,掉落_design!J$2+1,1,1)&amp;";"&amp;OFFSET(掉落_design!$E137,0,掉落_design!J$2+2,1,1)&amp;";"&amp;OFFSET(掉落_design!$E137,0,掉落_design!J$2+3,1,1))</f>
        <v/>
      </c>
      <c r="L137" s="16" t="str">
        <f ca="1">IF(OFFSET(掉落_design!$E137,0,掉落_design!K$2,1,1)="","",OFFSET(掉落_design!$E137,0,掉落_design!K$2,1,1)&amp;";"&amp;OFFSET(掉落_design!$E137,0,掉落_design!K$2+1,1,1)&amp;";"&amp;OFFSET(掉落_design!$E137,0,掉落_design!K$2+2,1,1)&amp;";"&amp;OFFSET(掉落_design!$E137,0,掉落_design!K$2+3,1,1))</f>
        <v/>
      </c>
      <c r="M137" s="16"/>
      <c r="N137" s="16"/>
      <c r="O137" s="16"/>
      <c r="P137" s="16"/>
      <c r="Q137" s="25"/>
      <c r="R137" s="25"/>
      <c r="S137" s="25"/>
    </row>
    <row r="138" spans="1:19" x14ac:dyDescent="0.15">
      <c r="A138" s="11" t="str">
        <f t="shared" si="31"/>
        <v/>
      </c>
      <c r="B138" s="25"/>
      <c r="C138" s="25"/>
      <c r="D138" s="15" t="str">
        <f>IF(掉落_design!C138="","",掉落_design!C138)</f>
        <v/>
      </c>
      <c r="E138" s="15" t="str">
        <f>IF(A138="","",掉落_design!D138)</f>
        <v/>
      </c>
      <c r="F138" s="16" t="str">
        <f ca="1">IF(OFFSET(掉落_design!$E138,0,掉落_design!E$2,1,1)="","",OFFSET(掉落_design!$E138,0,掉落_design!E$2,1,1)&amp;";"&amp;OFFSET(掉落_design!$E138,0,掉落_design!E$2+1,1,1)&amp;";"&amp;OFFSET(掉落_design!$E138,0,掉落_design!E$2+2,1,1)&amp;";"&amp;OFFSET(掉落_design!$E138,0,掉落_design!E$2+3,1,1))</f>
        <v/>
      </c>
      <c r="G138" s="16" t="str">
        <f ca="1">IF(OFFSET(掉落_design!$E138,0,掉落_design!F$2,1,1)="","",OFFSET(掉落_design!$E138,0,掉落_design!F$2,1,1)&amp;";"&amp;OFFSET(掉落_design!$E138,0,掉落_design!F$2+1,1,1)&amp;";"&amp;OFFSET(掉落_design!$E138,0,掉落_design!F$2+2,1,1)&amp;";"&amp;OFFSET(掉落_design!$E138,0,掉落_design!F$2+3,1,1))</f>
        <v/>
      </c>
      <c r="H138" s="16" t="str">
        <f ca="1">IF(OFFSET(掉落_design!$E138,0,掉落_design!G$2,1,1)="","",OFFSET(掉落_design!$E138,0,掉落_design!G$2,1,1)&amp;";"&amp;OFFSET(掉落_design!$E138,0,掉落_design!G$2+1,1,1)&amp;";"&amp;OFFSET(掉落_design!$E138,0,掉落_design!G$2+2,1,1)&amp;";"&amp;OFFSET(掉落_design!$E138,0,掉落_design!G$2+3,1,1))</f>
        <v/>
      </c>
      <c r="I138" s="16" t="str">
        <f ca="1">IF(OFFSET(掉落_design!$E138,0,掉落_design!H$2,1,1)="","",OFFSET(掉落_design!$E138,0,掉落_design!H$2,1,1)&amp;";"&amp;OFFSET(掉落_design!$E138,0,掉落_design!H$2+1,1,1)&amp;";"&amp;OFFSET(掉落_design!$E138,0,掉落_design!H$2+2,1,1)&amp;";"&amp;OFFSET(掉落_design!$E138,0,掉落_design!H$2+3,1,1))</f>
        <v/>
      </c>
      <c r="J138" s="16" t="str">
        <f ca="1">IF(OFFSET(掉落_design!$E138,0,掉落_design!I$2,1,1)="","",OFFSET(掉落_design!$E138,0,掉落_design!I$2,1,1)&amp;";"&amp;OFFSET(掉落_design!$E138,0,掉落_design!I$2+1,1,1)&amp;";"&amp;OFFSET(掉落_design!$E138,0,掉落_design!I$2+2,1,1)&amp;";"&amp;OFFSET(掉落_design!$E138,0,掉落_design!I$2+3,1,1))</f>
        <v/>
      </c>
      <c r="K138" s="16" t="str">
        <f ca="1">IF(OFFSET(掉落_design!$E138,0,掉落_design!J$2,1,1)="","",OFFSET(掉落_design!$E138,0,掉落_design!J$2,1,1)&amp;";"&amp;OFFSET(掉落_design!$E138,0,掉落_design!J$2+1,1,1)&amp;";"&amp;OFFSET(掉落_design!$E138,0,掉落_design!J$2+2,1,1)&amp;";"&amp;OFFSET(掉落_design!$E138,0,掉落_design!J$2+3,1,1))</f>
        <v/>
      </c>
      <c r="L138" s="16" t="str">
        <f ca="1">IF(OFFSET(掉落_design!$E138,0,掉落_design!K$2,1,1)="","",OFFSET(掉落_design!$E138,0,掉落_design!K$2,1,1)&amp;";"&amp;OFFSET(掉落_design!$E138,0,掉落_design!K$2+1,1,1)&amp;";"&amp;OFFSET(掉落_design!$E138,0,掉落_design!K$2+2,1,1)&amp;";"&amp;OFFSET(掉落_design!$E138,0,掉落_design!K$2+3,1,1))</f>
        <v/>
      </c>
      <c r="M138" s="16"/>
      <c r="N138" s="16"/>
      <c r="O138" s="16"/>
      <c r="P138" s="16"/>
      <c r="Q138" s="25"/>
      <c r="R138" s="25"/>
      <c r="S138" s="25"/>
    </row>
    <row r="139" spans="1:19" x14ac:dyDescent="0.15">
      <c r="A139" s="11" t="str">
        <f t="shared" si="31"/>
        <v/>
      </c>
      <c r="B139" s="25"/>
      <c r="C139" s="25"/>
      <c r="D139" s="15" t="str">
        <f>IF(掉落_design!C139="","",掉落_design!C139)</f>
        <v/>
      </c>
      <c r="E139" s="15" t="str">
        <f>IF(A139="","",掉落_design!D139)</f>
        <v/>
      </c>
      <c r="F139" s="16" t="str">
        <f ca="1">IF(OFFSET(掉落_design!$E139,0,掉落_design!E$2,1,1)="","",OFFSET(掉落_design!$E139,0,掉落_design!E$2,1,1)&amp;";"&amp;OFFSET(掉落_design!$E139,0,掉落_design!E$2+1,1,1)&amp;";"&amp;OFFSET(掉落_design!$E139,0,掉落_design!E$2+2,1,1)&amp;";"&amp;OFFSET(掉落_design!$E139,0,掉落_design!E$2+3,1,1))</f>
        <v/>
      </c>
      <c r="G139" s="16" t="str">
        <f ca="1">IF(OFFSET(掉落_design!$E139,0,掉落_design!F$2,1,1)="","",OFFSET(掉落_design!$E139,0,掉落_design!F$2,1,1)&amp;";"&amp;OFFSET(掉落_design!$E139,0,掉落_design!F$2+1,1,1)&amp;";"&amp;OFFSET(掉落_design!$E139,0,掉落_design!F$2+2,1,1)&amp;";"&amp;OFFSET(掉落_design!$E139,0,掉落_design!F$2+3,1,1))</f>
        <v/>
      </c>
      <c r="H139" s="16" t="str">
        <f ca="1">IF(OFFSET(掉落_design!$E139,0,掉落_design!G$2,1,1)="","",OFFSET(掉落_design!$E139,0,掉落_design!G$2,1,1)&amp;";"&amp;OFFSET(掉落_design!$E139,0,掉落_design!G$2+1,1,1)&amp;";"&amp;OFFSET(掉落_design!$E139,0,掉落_design!G$2+2,1,1)&amp;";"&amp;OFFSET(掉落_design!$E139,0,掉落_design!G$2+3,1,1))</f>
        <v/>
      </c>
      <c r="I139" s="16" t="str">
        <f ca="1">IF(OFFSET(掉落_design!$E139,0,掉落_design!H$2,1,1)="","",OFFSET(掉落_design!$E139,0,掉落_design!H$2,1,1)&amp;";"&amp;OFFSET(掉落_design!$E139,0,掉落_design!H$2+1,1,1)&amp;";"&amp;OFFSET(掉落_design!$E139,0,掉落_design!H$2+2,1,1)&amp;";"&amp;OFFSET(掉落_design!$E139,0,掉落_design!H$2+3,1,1))</f>
        <v/>
      </c>
      <c r="J139" s="16" t="str">
        <f ca="1">IF(OFFSET(掉落_design!$E139,0,掉落_design!I$2,1,1)="","",OFFSET(掉落_design!$E139,0,掉落_design!I$2,1,1)&amp;";"&amp;OFFSET(掉落_design!$E139,0,掉落_design!I$2+1,1,1)&amp;";"&amp;OFFSET(掉落_design!$E139,0,掉落_design!I$2+2,1,1)&amp;";"&amp;OFFSET(掉落_design!$E139,0,掉落_design!I$2+3,1,1))</f>
        <v/>
      </c>
      <c r="K139" s="16" t="str">
        <f ca="1">IF(OFFSET(掉落_design!$E139,0,掉落_design!J$2,1,1)="","",OFFSET(掉落_design!$E139,0,掉落_design!J$2,1,1)&amp;";"&amp;OFFSET(掉落_design!$E139,0,掉落_design!J$2+1,1,1)&amp;";"&amp;OFFSET(掉落_design!$E139,0,掉落_design!J$2+2,1,1)&amp;";"&amp;OFFSET(掉落_design!$E139,0,掉落_design!J$2+3,1,1))</f>
        <v/>
      </c>
      <c r="L139" s="16" t="str">
        <f ca="1">IF(OFFSET(掉落_design!$E139,0,掉落_design!K$2,1,1)="","",OFFSET(掉落_design!$E139,0,掉落_design!K$2,1,1)&amp;";"&amp;OFFSET(掉落_design!$E139,0,掉落_design!K$2+1,1,1)&amp;";"&amp;OFFSET(掉落_design!$E139,0,掉落_design!K$2+2,1,1)&amp;";"&amp;OFFSET(掉落_design!$E139,0,掉落_design!K$2+3,1,1))</f>
        <v/>
      </c>
      <c r="M139" s="16"/>
      <c r="N139" s="16"/>
      <c r="O139" s="16"/>
      <c r="P139" s="16"/>
      <c r="Q139" s="25"/>
      <c r="R139" s="25"/>
      <c r="S139" s="25"/>
    </row>
    <row r="140" spans="1:19" x14ac:dyDescent="0.15">
      <c r="A140" s="11" t="str">
        <f t="shared" si="31"/>
        <v/>
      </c>
      <c r="B140" s="25"/>
      <c r="C140" s="25"/>
      <c r="D140" s="15" t="str">
        <f>IF(掉落_design!C140="","",掉落_design!C140)</f>
        <v/>
      </c>
      <c r="E140" s="15" t="str">
        <f>IF(A140="","",掉落_design!D140)</f>
        <v/>
      </c>
      <c r="F140" s="16" t="str">
        <f ca="1">IF(OFFSET(掉落_design!$E140,0,掉落_design!E$2,1,1)="","",OFFSET(掉落_design!$E140,0,掉落_design!E$2,1,1)&amp;";"&amp;OFFSET(掉落_design!$E140,0,掉落_design!E$2+1,1,1)&amp;";"&amp;OFFSET(掉落_design!$E140,0,掉落_design!E$2+2,1,1)&amp;";"&amp;OFFSET(掉落_design!$E140,0,掉落_design!E$2+3,1,1))</f>
        <v/>
      </c>
      <c r="G140" s="16" t="str">
        <f ca="1">IF(OFFSET(掉落_design!$E140,0,掉落_design!F$2,1,1)="","",OFFSET(掉落_design!$E140,0,掉落_design!F$2,1,1)&amp;";"&amp;OFFSET(掉落_design!$E140,0,掉落_design!F$2+1,1,1)&amp;";"&amp;OFFSET(掉落_design!$E140,0,掉落_design!F$2+2,1,1)&amp;";"&amp;OFFSET(掉落_design!$E140,0,掉落_design!F$2+3,1,1))</f>
        <v/>
      </c>
      <c r="H140" s="16" t="str">
        <f ca="1">IF(OFFSET(掉落_design!$E140,0,掉落_design!G$2,1,1)="","",OFFSET(掉落_design!$E140,0,掉落_design!G$2,1,1)&amp;";"&amp;OFFSET(掉落_design!$E140,0,掉落_design!G$2+1,1,1)&amp;";"&amp;OFFSET(掉落_design!$E140,0,掉落_design!G$2+2,1,1)&amp;";"&amp;OFFSET(掉落_design!$E140,0,掉落_design!G$2+3,1,1))</f>
        <v/>
      </c>
      <c r="I140" s="16" t="str">
        <f ca="1">IF(OFFSET(掉落_design!$E140,0,掉落_design!H$2,1,1)="","",OFFSET(掉落_design!$E140,0,掉落_design!H$2,1,1)&amp;";"&amp;OFFSET(掉落_design!$E140,0,掉落_design!H$2+1,1,1)&amp;";"&amp;OFFSET(掉落_design!$E140,0,掉落_design!H$2+2,1,1)&amp;";"&amp;OFFSET(掉落_design!$E140,0,掉落_design!H$2+3,1,1))</f>
        <v/>
      </c>
      <c r="J140" s="16" t="str">
        <f ca="1">IF(OFFSET(掉落_design!$E140,0,掉落_design!I$2,1,1)="","",OFFSET(掉落_design!$E140,0,掉落_design!I$2,1,1)&amp;";"&amp;OFFSET(掉落_design!$E140,0,掉落_design!I$2+1,1,1)&amp;";"&amp;OFFSET(掉落_design!$E140,0,掉落_design!I$2+2,1,1)&amp;";"&amp;OFFSET(掉落_design!$E140,0,掉落_design!I$2+3,1,1))</f>
        <v/>
      </c>
      <c r="K140" s="16" t="str">
        <f ca="1">IF(OFFSET(掉落_design!$E140,0,掉落_design!J$2,1,1)="","",OFFSET(掉落_design!$E140,0,掉落_design!J$2,1,1)&amp;";"&amp;OFFSET(掉落_design!$E140,0,掉落_design!J$2+1,1,1)&amp;";"&amp;OFFSET(掉落_design!$E140,0,掉落_design!J$2+2,1,1)&amp;";"&amp;OFFSET(掉落_design!$E140,0,掉落_design!J$2+3,1,1))</f>
        <v/>
      </c>
      <c r="L140" s="16" t="str">
        <f ca="1">IF(OFFSET(掉落_design!$E140,0,掉落_design!K$2,1,1)="","",OFFSET(掉落_design!$E140,0,掉落_design!K$2,1,1)&amp;";"&amp;OFFSET(掉落_design!$E140,0,掉落_design!K$2+1,1,1)&amp;";"&amp;OFFSET(掉落_design!$E140,0,掉落_design!K$2+2,1,1)&amp;";"&amp;OFFSET(掉落_design!$E140,0,掉落_design!K$2+3,1,1))</f>
        <v/>
      </c>
      <c r="M140" s="16"/>
      <c r="N140" s="16"/>
      <c r="O140" s="16"/>
      <c r="P140" s="16"/>
      <c r="Q140" s="25"/>
      <c r="R140" s="25"/>
      <c r="S140" s="25"/>
    </row>
    <row r="141" spans="1:19" x14ac:dyDescent="0.15">
      <c r="A141" s="11" t="str">
        <f t="shared" si="31"/>
        <v/>
      </c>
      <c r="B141" s="25"/>
      <c r="C141" s="25"/>
      <c r="D141" s="15" t="str">
        <f>IF(掉落_design!C141="","",掉落_design!C141)</f>
        <v/>
      </c>
      <c r="E141" s="15" t="str">
        <f>IF(A141="","",掉落_design!D141)</f>
        <v/>
      </c>
      <c r="F141" s="16" t="str">
        <f ca="1">IF(OFFSET(掉落_design!$E141,0,掉落_design!E$2,1,1)="","",OFFSET(掉落_design!$E141,0,掉落_design!E$2,1,1)&amp;";"&amp;OFFSET(掉落_design!$E141,0,掉落_design!E$2+1,1,1)&amp;";"&amp;OFFSET(掉落_design!$E141,0,掉落_design!E$2+2,1,1)&amp;";"&amp;OFFSET(掉落_design!$E141,0,掉落_design!E$2+3,1,1))</f>
        <v/>
      </c>
      <c r="G141" s="16" t="str">
        <f ca="1">IF(OFFSET(掉落_design!$E141,0,掉落_design!F$2,1,1)="","",OFFSET(掉落_design!$E141,0,掉落_design!F$2,1,1)&amp;";"&amp;OFFSET(掉落_design!$E141,0,掉落_design!F$2+1,1,1)&amp;";"&amp;OFFSET(掉落_design!$E141,0,掉落_design!F$2+2,1,1)&amp;";"&amp;OFFSET(掉落_design!$E141,0,掉落_design!F$2+3,1,1))</f>
        <v/>
      </c>
      <c r="H141" s="16" t="str">
        <f ca="1">IF(OFFSET(掉落_design!$E141,0,掉落_design!G$2,1,1)="","",OFFSET(掉落_design!$E141,0,掉落_design!G$2,1,1)&amp;";"&amp;OFFSET(掉落_design!$E141,0,掉落_design!G$2+1,1,1)&amp;";"&amp;OFFSET(掉落_design!$E141,0,掉落_design!G$2+2,1,1)&amp;";"&amp;OFFSET(掉落_design!$E141,0,掉落_design!G$2+3,1,1))</f>
        <v/>
      </c>
      <c r="I141" s="16" t="str">
        <f ca="1">IF(OFFSET(掉落_design!$E141,0,掉落_design!H$2,1,1)="","",OFFSET(掉落_design!$E141,0,掉落_design!H$2,1,1)&amp;";"&amp;OFFSET(掉落_design!$E141,0,掉落_design!H$2+1,1,1)&amp;";"&amp;OFFSET(掉落_design!$E141,0,掉落_design!H$2+2,1,1)&amp;";"&amp;OFFSET(掉落_design!$E141,0,掉落_design!H$2+3,1,1))</f>
        <v/>
      </c>
      <c r="J141" s="16" t="str">
        <f ca="1">IF(OFFSET(掉落_design!$E141,0,掉落_design!I$2,1,1)="","",OFFSET(掉落_design!$E141,0,掉落_design!I$2,1,1)&amp;";"&amp;OFFSET(掉落_design!$E141,0,掉落_design!I$2+1,1,1)&amp;";"&amp;OFFSET(掉落_design!$E141,0,掉落_design!I$2+2,1,1)&amp;";"&amp;OFFSET(掉落_design!$E141,0,掉落_design!I$2+3,1,1))</f>
        <v/>
      </c>
      <c r="K141" s="16" t="str">
        <f ca="1">IF(OFFSET(掉落_design!$E141,0,掉落_design!J$2,1,1)="","",OFFSET(掉落_design!$E141,0,掉落_design!J$2,1,1)&amp;";"&amp;OFFSET(掉落_design!$E141,0,掉落_design!J$2+1,1,1)&amp;";"&amp;OFFSET(掉落_design!$E141,0,掉落_design!J$2+2,1,1)&amp;";"&amp;OFFSET(掉落_design!$E141,0,掉落_design!J$2+3,1,1))</f>
        <v/>
      </c>
      <c r="L141" s="16" t="str">
        <f ca="1">IF(OFFSET(掉落_design!$E141,0,掉落_design!K$2,1,1)="","",OFFSET(掉落_design!$E141,0,掉落_design!K$2,1,1)&amp;";"&amp;OFFSET(掉落_design!$E141,0,掉落_design!K$2+1,1,1)&amp;";"&amp;OFFSET(掉落_design!$E141,0,掉落_design!K$2+2,1,1)&amp;";"&amp;OFFSET(掉落_design!$E141,0,掉落_design!K$2+3,1,1))</f>
        <v/>
      </c>
      <c r="M141" s="16"/>
      <c r="N141" s="16"/>
      <c r="O141" s="16"/>
      <c r="P141" s="16"/>
      <c r="Q141" s="25"/>
      <c r="R141" s="25"/>
      <c r="S141" s="25"/>
    </row>
    <row r="142" spans="1:19" x14ac:dyDescent="0.15">
      <c r="A142" s="11" t="str">
        <f t="shared" si="31"/>
        <v/>
      </c>
      <c r="B142" s="25"/>
      <c r="C142" s="25"/>
      <c r="D142" s="15" t="str">
        <f>IF(掉落_design!C142="","",掉落_design!C142)</f>
        <v/>
      </c>
      <c r="E142" s="15" t="str">
        <f>IF(A142="","",掉落_design!D142)</f>
        <v/>
      </c>
      <c r="F142" s="16" t="str">
        <f ca="1">IF(OFFSET(掉落_design!$E142,0,掉落_design!E$2,1,1)="","",OFFSET(掉落_design!$E142,0,掉落_design!E$2,1,1)&amp;";"&amp;OFFSET(掉落_design!$E142,0,掉落_design!E$2+1,1,1)&amp;";"&amp;OFFSET(掉落_design!$E142,0,掉落_design!E$2+2,1,1)&amp;";"&amp;OFFSET(掉落_design!$E142,0,掉落_design!E$2+3,1,1))</f>
        <v/>
      </c>
      <c r="G142" s="16" t="str">
        <f ca="1">IF(OFFSET(掉落_design!$E142,0,掉落_design!F$2,1,1)="","",OFFSET(掉落_design!$E142,0,掉落_design!F$2,1,1)&amp;";"&amp;OFFSET(掉落_design!$E142,0,掉落_design!F$2+1,1,1)&amp;";"&amp;OFFSET(掉落_design!$E142,0,掉落_design!F$2+2,1,1)&amp;";"&amp;OFFSET(掉落_design!$E142,0,掉落_design!F$2+3,1,1))</f>
        <v/>
      </c>
      <c r="H142" s="16" t="str">
        <f ca="1">IF(OFFSET(掉落_design!$E142,0,掉落_design!G$2,1,1)="","",OFFSET(掉落_design!$E142,0,掉落_design!G$2,1,1)&amp;";"&amp;OFFSET(掉落_design!$E142,0,掉落_design!G$2+1,1,1)&amp;";"&amp;OFFSET(掉落_design!$E142,0,掉落_design!G$2+2,1,1)&amp;";"&amp;OFFSET(掉落_design!$E142,0,掉落_design!G$2+3,1,1))</f>
        <v/>
      </c>
      <c r="I142" s="16" t="str">
        <f ca="1">IF(OFFSET(掉落_design!$E142,0,掉落_design!H$2,1,1)="","",OFFSET(掉落_design!$E142,0,掉落_design!H$2,1,1)&amp;";"&amp;OFFSET(掉落_design!$E142,0,掉落_design!H$2+1,1,1)&amp;";"&amp;OFFSET(掉落_design!$E142,0,掉落_design!H$2+2,1,1)&amp;";"&amp;OFFSET(掉落_design!$E142,0,掉落_design!H$2+3,1,1))</f>
        <v/>
      </c>
      <c r="J142" s="16" t="str">
        <f ca="1">IF(OFFSET(掉落_design!$E142,0,掉落_design!I$2,1,1)="","",OFFSET(掉落_design!$E142,0,掉落_design!I$2,1,1)&amp;";"&amp;OFFSET(掉落_design!$E142,0,掉落_design!I$2+1,1,1)&amp;";"&amp;OFFSET(掉落_design!$E142,0,掉落_design!I$2+2,1,1)&amp;";"&amp;OFFSET(掉落_design!$E142,0,掉落_design!I$2+3,1,1))</f>
        <v/>
      </c>
      <c r="K142" s="16" t="str">
        <f ca="1">IF(OFFSET(掉落_design!$E142,0,掉落_design!J$2,1,1)="","",OFFSET(掉落_design!$E142,0,掉落_design!J$2,1,1)&amp;";"&amp;OFFSET(掉落_design!$E142,0,掉落_design!J$2+1,1,1)&amp;";"&amp;OFFSET(掉落_design!$E142,0,掉落_design!J$2+2,1,1)&amp;";"&amp;OFFSET(掉落_design!$E142,0,掉落_design!J$2+3,1,1))</f>
        <v/>
      </c>
      <c r="L142" s="16" t="str">
        <f ca="1">IF(OFFSET(掉落_design!$E142,0,掉落_design!K$2,1,1)="","",OFFSET(掉落_design!$E142,0,掉落_design!K$2,1,1)&amp;";"&amp;OFFSET(掉落_design!$E142,0,掉落_design!K$2+1,1,1)&amp;";"&amp;OFFSET(掉落_design!$E142,0,掉落_design!K$2+2,1,1)&amp;";"&amp;OFFSET(掉落_design!$E142,0,掉落_design!K$2+3,1,1))</f>
        <v/>
      </c>
      <c r="M142" s="16"/>
      <c r="N142" s="16"/>
      <c r="O142" s="16"/>
      <c r="P142" s="16"/>
      <c r="Q142" s="25"/>
      <c r="R142" s="25"/>
      <c r="S142" s="25"/>
    </row>
    <row r="143" spans="1:19" x14ac:dyDescent="0.15">
      <c r="A143" s="11" t="str">
        <f t="shared" si="31"/>
        <v/>
      </c>
      <c r="B143" s="25"/>
      <c r="C143" s="25"/>
      <c r="D143" s="15" t="str">
        <f>IF(掉落_design!C143="","",掉落_design!C143)</f>
        <v/>
      </c>
      <c r="E143" s="15" t="str">
        <f>IF(A143="","",掉落_design!D143)</f>
        <v/>
      </c>
      <c r="F143" s="16" t="str">
        <f ca="1">IF(OFFSET(掉落_design!$E143,0,掉落_design!E$2,1,1)="","",OFFSET(掉落_design!$E143,0,掉落_design!E$2,1,1)&amp;";"&amp;OFFSET(掉落_design!$E143,0,掉落_design!E$2+1,1,1)&amp;";"&amp;OFFSET(掉落_design!$E143,0,掉落_design!E$2+2,1,1)&amp;";"&amp;OFFSET(掉落_design!$E143,0,掉落_design!E$2+3,1,1))</f>
        <v/>
      </c>
      <c r="G143" s="16" t="str">
        <f ca="1">IF(OFFSET(掉落_design!$E143,0,掉落_design!F$2,1,1)="","",OFFSET(掉落_design!$E143,0,掉落_design!F$2,1,1)&amp;";"&amp;OFFSET(掉落_design!$E143,0,掉落_design!F$2+1,1,1)&amp;";"&amp;OFFSET(掉落_design!$E143,0,掉落_design!F$2+2,1,1)&amp;";"&amp;OFFSET(掉落_design!$E143,0,掉落_design!F$2+3,1,1))</f>
        <v/>
      </c>
      <c r="H143" s="16" t="str">
        <f ca="1">IF(OFFSET(掉落_design!$E143,0,掉落_design!G$2,1,1)="","",OFFSET(掉落_design!$E143,0,掉落_design!G$2,1,1)&amp;";"&amp;OFFSET(掉落_design!$E143,0,掉落_design!G$2+1,1,1)&amp;";"&amp;OFFSET(掉落_design!$E143,0,掉落_design!G$2+2,1,1)&amp;";"&amp;OFFSET(掉落_design!$E143,0,掉落_design!G$2+3,1,1))</f>
        <v/>
      </c>
      <c r="I143" s="16" t="str">
        <f ca="1">IF(OFFSET(掉落_design!$E143,0,掉落_design!H$2,1,1)="","",OFFSET(掉落_design!$E143,0,掉落_design!H$2,1,1)&amp;";"&amp;OFFSET(掉落_design!$E143,0,掉落_design!H$2+1,1,1)&amp;";"&amp;OFFSET(掉落_design!$E143,0,掉落_design!H$2+2,1,1)&amp;";"&amp;OFFSET(掉落_design!$E143,0,掉落_design!H$2+3,1,1))</f>
        <v/>
      </c>
      <c r="J143" s="16" t="str">
        <f ca="1">IF(OFFSET(掉落_design!$E143,0,掉落_design!I$2,1,1)="","",OFFSET(掉落_design!$E143,0,掉落_design!I$2,1,1)&amp;";"&amp;OFFSET(掉落_design!$E143,0,掉落_design!I$2+1,1,1)&amp;";"&amp;OFFSET(掉落_design!$E143,0,掉落_design!I$2+2,1,1)&amp;";"&amp;OFFSET(掉落_design!$E143,0,掉落_design!I$2+3,1,1))</f>
        <v/>
      </c>
      <c r="K143" s="16" t="str">
        <f ca="1">IF(OFFSET(掉落_design!$E143,0,掉落_design!J$2,1,1)="","",OFFSET(掉落_design!$E143,0,掉落_design!J$2,1,1)&amp;";"&amp;OFFSET(掉落_design!$E143,0,掉落_design!J$2+1,1,1)&amp;";"&amp;OFFSET(掉落_design!$E143,0,掉落_design!J$2+2,1,1)&amp;";"&amp;OFFSET(掉落_design!$E143,0,掉落_design!J$2+3,1,1))</f>
        <v/>
      </c>
      <c r="L143" s="16" t="str">
        <f ca="1">IF(OFFSET(掉落_design!$E143,0,掉落_design!K$2,1,1)="","",OFFSET(掉落_design!$E143,0,掉落_design!K$2,1,1)&amp;";"&amp;OFFSET(掉落_design!$E143,0,掉落_design!K$2+1,1,1)&amp;";"&amp;OFFSET(掉落_design!$E143,0,掉落_design!K$2+2,1,1)&amp;";"&amp;OFFSET(掉落_design!$E143,0,掉落_design!K$2+3,1,1))</f>
        <v/>
      </c>
      <c r="M143" s="16"/>
      <c r="N143" s="16"/>
      <c r="O143" s="16"/>
      <c r="P143" s="16"/>
      <c r="Q143" s="25"/>
      <c r="R143" s="25"/>
      <c r="S143" s="25"/>
    </row>
    <row r="144" spans="1:19" x14ac:dyDescent="0.15">
      <c r="B144" s="25"/>
      <c r="C144" s="25"/>
      <c r="J144" s="16"/>
      <c r="K144" s="16"/>
      <c r="L144" s="16"/>
      <c r="M144" s="16"/>
      <c r="N144" s="16"/>
      <c r="O144" s="16"/>
      <c r="P144" s="16"/>
      <c r="Q144" s="25"/>
      <c r="R144" s="25"/>
      <c r="S144" s="25"/>
    </row>
    <row r="145" spans="1:19" x14ac:dyDescent="0.15">
      <c r="A145" s="9" t="s">
        <v>3</v>
      </c>
      <c r="B145" s="25"/>
      <c r="C145" s="25"/>
      <c r="D145" s="15" t="str">
        <f>IF(掉落_design!C116="","",掉落_design!C116)</f>
        <v/>
      </c>
      <c r="F145" s="16" t="str">
        <f ca="1">IF(OFFSET(掉落_design!$E116,0,掉落_design!E$2,1,1)="","",OFFSET(掉落_design!$E116,0,掉落_design!E$2,1,1)&amp;";"&amp;OFFSET(掉落_design!$E116,0,掉落_design!E$2+1,1,1)&amp;";"&amp;OFFSET(掉落_design!$E116,0,掉落_design!E$2+2,1,1)&amp;";"&amp;OFFSET(掉落_design!$E116,0,掉落_design!E$2+3,1,1))</f>
        <v/>
      </c>
      <c r="G145" s="16" t="str">
        <f ca="1">IF(OFFSET(掉落_design!$E116,0,掉落_design!F$2,1,1)="","",OFFSET(掉落_design!$E116,0,掉落_design!F$2,1,1)&amp;";"&amp;OFFSET(掉落_design!$E116,0,掉落_design!F$2+1,1,1)&amp;";"&amp;OFFSET(掉落_design!$E116,0,掉落_design!F$2+2,1,1)&amp;";"&amp;OFFSET(掉落_design!$E116,0,掉落_design!F$2+3,1,1))</f>
        <v/>
      </c>
      <c r="H145" s="16" t="str">
        <f ca="1">IF(OFFSET(掉落_design!$E116,0,掉落_design!G$2,1,1)="","",OFFSET(掉落_design!$E116,0,掉落_design!G$2,1,1)&amp;";"&amp;OFFSET(掉落_design!$E116,0,掉落_design!G$2+1,1,1)&amp;";"&amp;OFFSET(掉落_design!$E116,0,掉落_design!G$2+2,1,1)&amp;";"&amp;OFFSET(掉落_design!$E116,0,掉落_design!G$2+3,1,1))</f>
        <v/>
      </c>
      <c r="I145" s="16" t="str">
        <f ca="1">IF(OFFSET(掉落_design!$E116,0,掉落_design!H$2,1,1)="","",OFFSET(掉落_design!$E116,0,掉落_design!H$2,1,1)&amp;";"&amp;OFFSET(掉落_design!$E116,0,掉落_design!H$2+1,1,1)&amp;";"&amp;OFFSET(掉落_design!$E116,0,掉落_design!H$2+2,1,1)&amp;";"&amp;OFFSET(掉落_design!$E116,0,掉落_design!H$2+3,1,1))</f>
        <v/>
      </c>
      <c r="J145" s="16" t="str">
        <f ca="1">IF(OFFSET(掉落_design!$E116,0,掉落_design!I$2,1,1)="","",OFFSET(掉落_design!$E116,0,掉落_design!I$2,1,1)&amp;";"&amp;OFFSET(掉落_design!$E116,0,掉落_design!I$2+1,1,1)&amp;";"&amp;OFFSET(掉落_design!$E116,0,掉落_design!I$2+2,1,1)&amp;";"&amp;OFFSET(掉落_design!$E116,0,掉落_design!I$2+3,1,1))</f>
        <v/>
      </c>
      <c r="K145" s="16" t="str">
        <f ca="1">IF(OFFSET(掉落_design!$E116,0,掉落_design!J$2,1,1)="","",OFFSET(掉落_design!$E116,0,掉落_design!J$2,1,1)&amp;";"&amp;OFFSET(掉落_design!$E116,0,掉落_design!J$2+1,1,1)&amp;";"&amp;OFFSET(掉落_design!$E116,0,掉落_design!J$2+2,1,1)&amp;";"&amp;OFFSET(掉落_design!$E116,0,掉落_design!J$2+3,1,1))</f>
        <v/>
      </c>
      <c r="L145" s="16" t="str">
        <f ca="1">IF(OFFSET(掉落_design!$E116,0,掉落_design!K$2,1,1)="","",OFFSET(掉落_design!$E116,0,掉落_design!K$2,1,1)&amp;";"&amp;OFFSET(掉落_design!$E116,0,掉落_design!K$2+1,1,1)&amp;";"&amp;OFFSET(掉落_design!$E116,0,掉落_design!K$2+2,1,1)&amp;";"&amp;OFFSET(掉落_design!$E116,0,掉落_design!K$2+3,1,1))</f>
        <v/>
      </c>
      <c r="M145" s="16" t="str">
        <f ca="1">IF(OFFSET(掉落_design!$E116,0,掉落_design!L$2,1,1)="","",OFFSET(掉落_design!$E116,0,掉落_design!L$2,1,1)&amp;";"&amp;OFFSET(掉落_design!$E116,0,掉落_design!L$2+1,1,1)&amp;";"&amp;OFFSET(掉落_design!$E116,0,掉落_design!L$2+2,1,1)&amp;";"&amp;OFFSET(掉落_design!$E116,0,掉落_design!L$2+3,1,1))</f>
        <v/>
      </c>
      <c r="N145" s="16" t="str">
        <f ca="1">IF(OFFSET(掉落_design!$E116,0,掉落_design!M$2,1,1)="","",OFFSET(掉落_design!$E116,0,掉落_design!M$2,1,1)&amp;";"&amp;OFFSET(掉落_design!$E116,0,掉落_design!M$2+1,1,1)&amp;";"&amp;OFFSET(掉落_design!$E116,0,掉落_design!M$2+2,1,1)&amp;";"&amp;OFFSET(掉落_design!$E116,0,掉落_design!M$2+3,1,1))</f>
        <v/>
      </c>
      <c r="O145" s="16" t="str">
        <f ca="1">IF(OFFSET(掉落_design!$E116,0,掉落_design!N$2,1,1)="","",OFFSET(掉落_design!$E116,0,掉落_design!N$2,1,1)&amp;";"&amp;OFFSET(掉落_design!$E116,0,掉落_design!N$2+1,1,1)&amp;";"&amp;OFFSET(掉落_design!$E116,0,掉落_design!N$2+2,1,1)&amp;";"&amp;OFFSET(掉落_design!$E116,0,掉落_design!N$2+3,1,1))</f>
        <v/>
      </c>
      <c r="P145" s="16" t="str">
        <f ca="1">IF(OFFSET(掉落_design!$E116,0,掉落_design!O$2,1,1)="","",OFFSET(掉落_design!$E116,0,掉落_design!O$2,1,1)&amp;";"&amp;OFFSET(掉落_design!$E116,0,掉落_design!O$2+1,1,1)&amp;";"&amp;OFFSET(掉落_design!$E116,0,掉落_design!O$2+2,1,1)&amp;";"&amp;OFFSET(掉落_design!$E116,0,掉落_design!O$2+3,1,1))</f>
        <v/>
      </c>
      <c r="Q145" s="25"/>
      <c r="R145" s="25"/>
      <c r="S145" s="25"/>
    </row>
    <row r="146" spans="1:19" x14ac:dyDescent="0.15">
      <c r="A146" s="9" t="s">
        <v>28</v>
      </c>
      <c r="B146" s="25"/>
      <c r="C146" s="25"/>
      <c r="D146" s="15" t="str">
        <f>IF(掉落_design!C117="","",掉落_design!C117)</f>
        <v/>
      </c>
      <c r="F146" s="16" t="str">
        <f ca="1">IF(OFFSET(掉落_design!$E117,0,掉落_design!E$2,1,1)="","",OFFSET(掉落_design!$E117,0,掉落_design!E$2,1,1)&amp;";"&amp;OFFSET(掉落_design!$E117,0,掉落_design!E$2+1,1,1)&amp;";"&amp;OFFSET(掉落_design!$E117,0,掉落_design!E$2+2,1,1)&amp;";"&amp;OFFSET(掉落_design!$E117,0,掉落_design!E$2+3,1,1))</f>
        <v/>
      </c>
      <c r="G146" s="16" t="str">
        <f ca="1">IF(OFFSET(掉落_design!$E117,0,掉落_design!F$2,1,1)="","",OFFSET(掉落_design!$E117,0,掉落_design!F$2,1,1)&amp;";"&amp;OFFSET(掉落_design!$E117,0,掉落_design!F$2+1,1,1)&amp;";"&amp;OFFSET(掉落_design!$E117,0,掉落_design!F$2+2,1,1)&amp;";"&amp;OFFSET(掉落_design!$E117,0,掉落_design!F$2+3,1,1))</f>
        <v/>
      </c>
      <c r="H146" s="16" t="str">
        <f ca="1">IF(OFFSET(掉落_design!$E117,0,掉落_design!G$2,1,1)="","",OFFSET(掉落_design!$E117,0,掉落_design!G$2,1,1)&amp;";"&amp;OFFSET(掉落_design!$E117,0,掉落_design!G$2+1,1,1)&amp;";"&amp;OFFSET(掉落_design!$E117,0,掉落_design!G$2+2,1,1)&amp;";"&amp;OFFSET(掉落_design!$E117,0,掉落_design!G$2+3,1,1))</f>
        <v/>
      </c>
      <c r="I146" s="16" t="str">
        <f ca="1">IF(OFFSET(掉落_design!$E117,0,掉落_design!H$2,1,1)="","",OFFSET(掉落_design!$E117,0,掉落_design!H$2,1,1)&amp;";"&amp;OFFSET(掉落_design!$E117,0,掉落_design!H$2+1,1,1)&amp;";"&amp;OFFSET(掉落_design!$E117,0,掉落_design!H$2+2,1,1)&amp;";"&amp;OFFSET(掉落_design!$E117,0,掉落_design!H$2+3,1,1))</f>
        <v/>
      </c>
      <c r="J146" s="16" t="str">
        <f ca="1">IF(OFFSET(掉落_design!$E117,0,掉落_design!I$2,1,1)="","",OFFSET(掉落_design!$E117,0,掉落_design!I$2,1,1)&amp;";"&amp;OFFSET(掉落_design!$E117,0,掉落_design!I$2+1,1,1)&amp;";"&amp;OFFSET(掉落_design!$E117,0,掉落_design!I$2+2,1,1)&amp;";"&amp;OFFSET(掉落_design!$E117,0,掉落_design!I$2+3,1,1))</f>
        <v/>
      </c>
      <c r="K146" s="16" t="str">
        <f ca="1">IF(OFFSET(掉落_design!$E117,0,掉落_design!J$2,1,1)="","",OFFSET(掉落_design!$E117,0,掉落_design!J$2,1,1)&amp;";"&amp;OFFSET(掉落_design!$E117,0,掉落_design!J$2+1,1,1)&amp;";"&amp;OFFSET(掉落_design!$E117,0,掉落_design!J$2+2,1,1)&amp;";"&amp;OFFSET(掉落_design!$E117,0,掉落_design!J$2+3,1,1))</f>
        <v/>
      </c>
      <c r="L146" s="16" t="str">
        <f ca="1">IF(OFFSET(掉落_design!$E117,0,掉落_design!K$2,1,1)="","",OFFSET(掉落_design!$E117,0,掉落_design!K$2,1,1)&amp;";"&amp;OFFSET(掉落_design!$E117,0,掉落_design!K$2+1,1,1)&amp;";"&amp;OFFSET(掉落_design!$E117,0,掉落_design!K$2+2,1,1)&amp;";"&amp;OFFSET(掉落_design!$E117,0,掉落_design!K$2+3,1,1))</f>
        <v/>
      </c>
      <c r="M146" s="16" t="str">
        <f ca="1">IF(OFFSET(掉落_design!$E117,0,掉落_design!L$2,1,1)="","",OFFSET(掉落_design!$E117,0,掉落_design!L$2,1,1)&amp;";"&amp;OFFSET(掉落_design!$E117,0,掉落_design!L$2+1,1,1)&amp;";"&amp;OFFSET(掉落_design!$E117,0,掉落_design!L$2+2,1,1)&amp;";"&amp;OFFSET(掉落_design!$E117,0,掉落_design!L$2+3,1,1))</f>
        <v/>
      </c>
      <c r="N146" s="16" t="str">
        <f ca="1">IF(OFFSET(掉落_design!$E117,0,掉落_design!M$2,1,1)="","",OFFSET(掉落_design!$E117,0,掉落_design!M$2,1,1)&amp;";"&amp;OFFSET(掉落_design!$E117,0,掉落_design!M$2+1,1,1)&amp;";"&amp;OFFSET(掉落_design!$E117,0,掉落_design!M$2+2,1,1)&amp;";"&amp;OFFSET(掉落_design!$E117,0,掉落_design!M$2+3,1,1))</f>
        <v/>
      </c>
      <c r="O146" s="16" t="str">
        <f ca="1">IF(OFFSET(掉落_design!$E117,0,掉落_design!N$2,1,1)="","",OFFSET(掉落_design!$E117,0,掉落_design!N$2,1,1)&amp;";"&amp;OFFSET(掉落_design!$E117,0,掉落_design!N$2+1,1,1)&amp;";"&amp;OFFSET(掉落_design!$E117,0,掉落_design!N$2+2,1,1)&amp;";"&amp;OFFSET(掉落_design!$E117,0,掉落_design!N$2+3,1,1))</f>
        <v/>
      </c>
      <c r="P146" s="16" t="str">
        <f ca="1">IF(OFFSET(掉落_design!$E117,0,掉落_design!O$2,1,1)="","",OFFSET(掉落_design!$E117,0,掉落_design!O$2,1,1)&amp;";"&amp;OFFSET(掉落_design!$E117,0,掉落_design!O$2+1,1,1)&amp;";"&amp;OFFSET(掉落_design!$E117,0,掉落_design!O$2+2,1,1)&amp;";"&amp;OFFSET(掉落_design!$E117,0,掉落_design!O$2+3,1,1))</f>
        <v/>
      </c>
      <c r="Q146" s="25"/>
      <c r="R146" s="25"/>
      <c r="S146" s="25"/>
    </row>
    <row r="147" spans="1:19" x14ac:dyDescent="0.15">
      <c r="A147" s="11" t="str">
        <f t="shared" ref="A147:A193" si="32">IF(D147="","","DATA")</f>
        <v/>
      </c>
      <c r="B147" s="25"/>
      <c r="C147" s="25"/>
      <c r="D147" s="15" t="str">
        <f>IF(掉落_design!C118="","",掉落_design!C118)</f>
        <v/>
      </c>
      <c r="E147" s="15" t="str">
        <f>IF(A147="","",掉落_design!D118)</f>
        <v/>
      </c>
      <c r="F147" s="16" t="str">
        <f ca="1">IF(OFFSET(掉落_design!$E118,0,掉落_design!E$2,1,1)="","",OFFSET(掉落_design!$E118,0,掉落_design!E$2,1,1)&amp;";"&amp;OFFSET(掉落_design!$E118,0,掉落_design!E$2+1,1,1)&amp;";"&amp;OFFSET(掉落_design!$E118,0,掉落_design!E$2+2,1,1)&amp;";"&amp;OFFSET(掉落_design!$E118,0,掉落_design!E$2+3,1,1))</f>
        <v/>
      </c>
      <c r="G147" s="16" t="str">
        <f ca="1">IF(OFFSET(掉落_design!$E118,0,掉落_design!F$2,1,1)="","",OFFSET(掉落_design!$E118,0,掉落_design!F$2,1,1)&amp;";"&amp;OFFSET(掉落_design!$E118,0,掉落_design!F$2+1,1,1)&amp;";"&amp;OFFSET(掉落_design!$E118,0,掉落_design!F$2+2,1,1)&amp;";"&amp;OFFSET(掉落_design!$E118,0,掉落_design!F$2+3,1,1))</f>
        <v/>
      </c>
      <c r="H147" s="16" t="str">
        <f ca="1">IF(OFFSET(掉落_design!$E118,0,掉落_design!G$2,1,1)="","",OFFSET(掉落_design!$E118,0,掉落_design!G$2,1,1)&amp;";"&amp;OFFSET(掉落_design!$E118,0,掉落_design!G$2+1,1,1)&amp;";"&amp;OFFSET(掉落_design!$E118,0,掉落_design!G$2+2,1,1)&amp;";"&amp;OFFSET(掉落_design!$E118,0,掉落_design!G$2+3,1,1))</f>
        <v/>
      </c>
      <c r="I147" s="16" t="str">
        <f ca="1">IF(OFFSET(掉落_design!$E118,0,掉落_design!H$2,1,1)="","",OFFSET(掉落_design!$E118,0,掉落_design!H$2,1,1)&amp;";"&amp;OFFSET(掉落_design!$E118,0,掉落_design!H$2+1,1,1)&amp;";"&amp;OFFSET(掉落_design!$E118,0,掉落_design!H$2+2,1,1)&amp;";"&amp;OFFSET(掉落_design!$E118,0,掉落_design!H$2+3,1,1))</f>
        <v/>
      </c>
      <c r="J147" s="16" t="str">
        <f ca="1">IF(OFFSET(掉落_design!$E118,0,掉落_design!I$2,1,1)="","",OFFSET(掉落_design!$E118,0,掉落_design!I$2,1,1)&amp;";"&amp;OFFSET(掉落_design!$E118,0,掉落_design!I$2+1,1,1)&amp;";"&amp;OFFSET(掉落_design!$E118,0,掉落_design!I$2+2,1,1)&amp;";"&amp;OFFSET(掉落_design!$E118,0,掉落_design!I$2+3,1,1))</f>
        <v/>
      </c>
      <c r="K147" s="16" t="str">
        <f ca="1">IF(OFFSET(掉落_design!$E118,0,掉落_design!J$2,1,1)="","",OFFSET(掉落_design!$E118,0,掉落_design!J$2,1,1)&amp;";"&amp;OFFSET(掉落_design!$E118,0,掉落_design!J$2+1,1,1)&amp;";"&amp;OFFSET(掉落_design!$E118,0,掉落_design!J$2+2,1,1)&amp;";"&amp;OFFSET(掉落_design!$E118,0,掉落_design!J$2+3,1,1))</f>
        <v/>
      </c>
      <c r="L147" s="16" t="str">
        <f ca="1">IF(OFFSET(掉落_design!$E118,0,掉落_design!K$2,1,1)="","",OFFSET(掉落_design!$E118,0,掉落_design!K$2,1,1)&amp;";"&amp;OFFSET(掉落_design!$E118,0,掉落_design!K$2+1,1,1)&amp;";"&amp;OFFSET(掉落_design!$E118,0,掉落_design!K$2+2,1,1)&amp;";"&amp;OFFSET(掉落_design!$E118,0,掉落_design!K$2+3,1,1))</f>
        <v/>
      </c>
      <c r="M147" s="16" t="str">
        <f ca="1">IF(OFFSET(掉落_design!$E118,0,掉落_design!L$2,1,1)="","",OFFSET(掉落_design!$E118,0,掉落_design!L$2,1,1)&amp;";"&amp;OFFSET(掉落_design!$E118,0,掉落_design!L$2+1,1,1)&amp;";"&amp;OFFSET(掉落_design!$E118,0,掉落_design!L$2+2,1,1)&amp;";"&amp;OFFSET(掉落_design!$E118,0,掉落_design!L$2+3,1,1))</f>
        <v/>
      </c>
      <c r="N147" s="16" t="str">
        <f ca="1">IF(OFFSET(掉落_design!$E118,0,掉落_design!M$2,1,1)="","",OFFSET(掉落_design!$E118,0,掉落_design!M$2,1,1)&amp;";"&amp;OFFSET(掉落_design!$E118,0,掉落_design!M$2+1,1,1)&amp;";"&amp;OFFSET(掉落_design!$E118,0,掉落_design!M$2+2,1,1)&amp;";"&amp;OFFSET(掉落_design!$E118,0,掉落_design!M$2+3,1,1))</f>
        <v/>
      </c>
      <c r="O147" s="16" t="str">
        <f ca="1">IF(OFFSET(掉落_design!$E118,0,掉落_design!N$2,1,1)="","",OFFSET(掉落_design!$E118,0,掉落_design!N$2,1,1)&amp;";"&amp;OFFSET(掉落_design!$E118,0,掉落_design!N$2+1,1,1)&amp;";"&amp;OFFSET(掉落_design!$E118,0,掉落_design!N$2+2,1,1)&amp;";"&amp;OFFSET(掉落_design!$E118,0,掉落_design!N$2+3,1,1))</f>
        <v/>
      </c>
      <c r="P147" s="16" t="str">
        <f ca="1">IF(OFFSET(掉落_design!$E118,0,掉落_design!O$2,1,1)="","",OFFSET(掉落_design!$E118,0,掉落_design!O$2,1,1)&amp;";"&amp;OFFSET(掉落_design!$E118,0,掉落_design!O$2+1,1,1)&amp;";"&amp;OFFSET(掉落_design!$E118,0,掉落_design!O$2+2,1,1)&amp;";"&amp;OFFSET(掉落_design!$E118,0,掉落_design!O$2+3,1,1))</f>
        <v/>
      </c>
      <c r="Q147" s="25"/>
      <c r="R147" s="25"/>
      <c r="S147" s="25"/>
    </row>
    <row r="148" spans="1:19" x14ac:dyDescent="0.15">
      <c r="A148" s="11" t="str">
        <f t="shared" si="32"/>
        <v/>
      </c>
      <c r="B148" s="25"/>
      <c r="C148" s="25"/>
      <c r="D148" s="15" t="str">
        <f>IF(掉落_design!C119="","",掉落_design!C119)</f>
        <v/>
      </c>
      <c r="E148" s="15" t="str">
        <f>IF(A148="","",掉落_design!D119)</f>
        <v/>
      </c>
      <c r="F148" s="16" t="str">
        <f ca="1">IF(OFFSET(掉落_design!$E119,0,掉落_design!E$2,1,1)="","",OFFSET(掉落_design!$E119,0,掉落_design!E$2,1,1)&amp;";"&amp;OFFSET(掉落_design!$E119,0,掉落_design!E$2+1,1,1)&amp;";"&amp;OFFSET(掉落_design!$E119,0,掉落_design!E$2+2,1,1)&amp;";"&amp;OFFSET(掉落_design!$E119,0,掉落_design!E$2+3,1,1))</f>
        <v/>
      </c>
      <c r="G148" s="16" t="str">
        <f ca="1">IF(OFFSET(掉落_design!$E119,0,掉落_design!F$2,1,1)="","",OFFSET(掉落_design!$E119,0,掉落_design!F$2,1,1)&amp;";"&amp;OFFSET(掉落_design!$E119,0,掉落_design!F$2+1,1,1)&amp;";"&amp;OFFSET(掉落_design!$E119,0,掉落_design!F$2+2,1,1)&amp;";"&amp;OFFSET(掉落_design!$E119,0,掉落_design!F$2+3,1,1))</f>
        <v/>
      </c>
      <c r="H148" s="16" t="str">
        <f ca="1">IF(OFFSET(掉落_design!$E119,0,掉落_design!G$2,1,1)="","",OFFSET(掉落_design!$E119,0,掉落_design!G$2,1,1)&amp;";"&amp;OFFSET(掉落_design!$E119,0,掉落_design!G$2+1,1,1)&amp;";"&amp;OFFSET(掉落_design!$E119,0,掉落_design!G$2+2,1,1)&amp;";"&amp;OFFSET(掉落_design!$E119,0,掉落_design!G$2+3,1,1))</f>
        <v/>
      </c>
      <c r="I148" s="16" t="str">
        <f ca="1">IF(OFFSET(掉落_design!$E119,0,掉落_design!H$2,1,1)="","",OFFSET(掉落_design!$E119,0,掉落_design!H$2,1,1)&amp;";"&amp;OFFSET(掉落_design!$E119,0,掉落_design!H$2+1,1,1)&amp;";"&amp;OFFSET(掉落_design!$E119,0,掉落_design!H$2+2,1,1)&amp;";"&amp;OFFSET(掉落_design!$E119,0,掉落_design!H$2+3,1,1))</f>
        <v/>
      </c>
      <c r="J148" s="16" t="str">
        <f ca="1">IF(OFFSET(掉落_design!$E119,0,掉落_design!I$2,1,1)="","",OFFSET(掉落_design!$E119,0,掉落_design!I$2,1,1)&amp;";"&amp;OFFSET(掉落_design!$E119,0,掉落_design!I$2+1,1,1)&amp;";"&amp;OFFSET(掉落_design!$E119,0,掉落_design!I$2+2,1,1)&amp;";"&amp;OFFSET(掉落_design!$E119,0,掉落_design!I$2+3,1,1))</f>
        <v/>
      </c>
      <c r="K148" s="16" t="str">
        <f ca="1">IF(OFFSET(掉落_design!$E119,0,掉落_design!J$2,1,1)="","",OFFSET(掉落_design!$E119,0,掉落_design!J$2,1,1)&amp;";"&amp;OFFSET(掉落_design!$E119,0,掉落_design!J$2+1,1,1)&amp;";"&amp;OFFSET(掉落_design!$E119,0,掉落_design!J$2+2,1,1)&amp;";"&amp;OFFSET(掉落_design!$E119,0,掉落_design!J$2+3,1,1))</f>
        <v/>
      </c>
      <c r="L148" s="16" t="str">
        <f ca="1">IF(OFFSET(掉落_design!$E119,0,掉落_design!K$2,1,1)="","",OFFSET(掉落_design!$E119,0,掉落_design!K$2,1,1)&amp;";"&amp;OFFSET(掉落_design!$E119,0,掉落_design!K$2+1,1,1)&amp;";"&amp;OFFSET(掉落_design!$E119,0,掉落_design!K$2+2,1,1)&amp;";"&amp;OFFSET(掉落_design!$E119,0,掉落_design!K$2+3,1,1))</f>
        <v/>
      </c>
      <c r="M148" s="16" t="str">
        <f ca="1">IF(OFFSET(掉落_design!$E119,0,掉落_design!L$2,1,1)="","",OFFSET(掉落_design!$E119,0,掉落_design!L$2,1,1)&amp;";"&amp;OFFSET(掉落_design!$E119,0,掉落_design!L$2+1,1,1)&amp;";"&amp;OFFSET(掉落_design!$E119,0,掉落_design!L$2+2,1,1)&amp;";"&amp;OFFSET(掉落_design!$E119,0,掉落_design!L$2+3,1,1))</f>
        <v/>
      </c>
      <c r="N148" s="16" t="str">
        <f ca="1">IF(OFFSET(掉落_design!$E119,0,掉落_design!M$2,1,1)="","",OFFSET(掉落_design!$E119,0,掉落_design!M$2,1,1)&amp;";"&amp;OFFSET(掉落_design!$E119,0,掉落_design!M$2+1,1,1)&amp;";"&amp;OFFSET(掉落_design!$E119,0,掉落_design!M$2+2,1,1)&amp;";"&amp;OFFSET(掉落_design!$E119,0,掉落_design!M$2+3,1,1))</f>
        <v/>
      </c>
      <c r="O148" s="16" t="str">
        <f ca="1">IF(OFFSET(掉落_design!$E119,0,掉落_design!N$2,1,1)="","",OFFSET(掉落_design!$E119,0,掉落_design!N$2,1,1)&amp;";"&amp;OFFSET(掉落_design!$E119,0,掉落_design!N$2+1,1,1)&amp;";"&amp;OFFSET(掉落_design!$E119,0,掉落_design!N$2+2,1,1)&amp;";"&amp;OFFSET(掉落_design!$E119,0,掉落_design!N$2+3,1,1))</f>
        <v/>
      </c>
      <c r="P148" s="16" t="str">
        <f ca="1">IF(OFFSET(掉落_design!$E119,0,掉落_design!O$2,1,1)="","",OFFSET(掉落_design!$E119,0,掉落_design!O$2,1,1)&amp;";"&amp;OFFSET(掉落_design!$E119,0,掉落_design!O$2+1,1,1)&amp;";"&amp;OFFSET(掉落_design!$E119,0,掉落_design!O$2+2,1,1)&amp;";"&amp;OFFSET(掉落_design!$E119,0,掉落_design!O$2+3,1,1))</f>
        <v/>
      </c>
      <c r="Q148" s="25"/>
      <c r="R148" s="25"/>
      <c r="S148" s="25"/>
    </row>
    <row r="149" spans="1:19" x14ac:dyDescent="0.15">
      <c r="A149" s="11" t="str">
        <f t="shared" si="32"/>
        <v/>
      </c>
      <c r="B149" s="25"/>
      <c r="C149" s="25"/>
      <c r="D149" s="15" t="str">
        <f>IF(掉落_design!C120="","",掉落_design!C120)</f>
        <v/>
      </c>
      <c r="E149" s="15" t="str">
        <f>IF(A149="","",掉落_design!D120)</f>
        <v/>
      </c>
      <c r="F149" s="16" t="str">
        <f ca="1">IF(OFFSET(掉落_design!$E120,0,掉落_design!E$2,1,1)="","",OFFSET(掉落_design!$E120,0,掉落_design!E$2,1,1)&amp;";"&amp;OFFSET(掉落_design!$E120,0,掉落_design!E$2+1,1,1)&amp;";"&amp;OFFSET(掉落_design!$E120,0,掉落_design!E$2+2,1,1)&amp;";"&amp;OFFSET(掉落_design!$E120,0,掉落_design!E$2+3,1,1))</f>
        <v/>
      </c>
      <c r="G149" s="16" t="str">
        <f ca="1">IF(OFFSET(掉落_design!$E120,0,掉落_design!F$2,1,1)="","",OFFSET(掉落_design!$E120,0,掉落_design!F$2,1,1)&amp;";"&amp;OFFSET(掉落_design!$E120,0,掉落_design!F$2+1,1,1)&amp;";"&amp;OFFSET(掉落_design!$E120,0,掉落_design!F$2+2,1,1)&amp;";"&amp;OFFSET(掉落_design!$E120,0,掉落_design!F$2+3,1,1))</f>
        <v/>
      </c>
      <c r="H149" s="16" t="str">
        <f ca="1">IF(OFFSET(掉落_design!$E120,0,掉落_design!G$2,1,1)="","",OFFSET(掉落_design!$E120,0,掉落_design!G$2,1,1)&amp;";"&amp;OFFSET(掉落_design!$E120,0,掉落_design!G$2+1,1,1)&amp;";"&amp;OFFSET(掉落_design!$E120,0,掉落_design!G$2+2,1,1)&amp;";"&amp;OFFSET(掉落_design!$E120,0,掉落_design!G$2+3,1,1))</f>
        <v/>
      </c>
      <c r="I149" s="16" t="str">
        <f ca="1">IF(OFFSET(掉落_design!$E120,0,掉落_design!H$2,1,1)="","",OFFSET(掉落_design!$E120,0,掉落_design!H$2,1,1)&amp;";"&amp;OFFSET(掉落_design!$E120,0,掉落_design!H$2+1,1,1)&amp;";"&amp;OFFSET(掉落_design!$E120,0,掉落_design!H$2+2,1,1)&amp;";"&amp;OFFSET(掉落_design!$E120,0,掉落_design!H$2+3,1,1))</f>
        <v/>
      </c>
      <c r="J149" s="16" t="str">
        <f ca="1">IF(OFFSET(掉落_design!$E120,0,掉落_design!I$2,1,1)="","",OFFSET(掉落_design!$E120,0,掉落_design!I$2,1,1)&amp;";"&amp;OFFSET(掉落_design!$E120,0,掉落_design!I$2+1,1,1)&amp;";"&amp;OFFSET(掉落_design!$E120,0,掉落_design!I$2+2,1,1)&amp;";"&amp;OFFSET(掉落_design!$E120,0,掉落_design!I$2+3,1,1))</f>
        <v/>
      </c>
      <c r="K149" s="16" t="str">
        <f ca="1">IF(OFFSET(掉落_design!$E120,0,掉落_design!J$2,1,1)="","",OFFSET(掉落_design!$E120,0,掉落_design!J$2,1,1)&amp;";"&amp;OFFSET(掉落_design!$E120,0,掉落_design!J$2+1,1,1)&amp;";"&amp;OFFSET(掉落_design!$E120,0,掉落_design!J$2+2,1,1)&amp;";"&amp;OFFSET(掉落_design!$E120,0,掉落_design!J$2+3,1,1))</f>
        <v/>
      </c>
      <c r="L149" s="16" t="str">
        <f ca="1">IF(OFFSET(掉落_design!$E120,0,掉落_design!K$2,1,1)="","",OFFSET(掉落_design!$E120,0,掉落_design!K$2,1,1)&amp;";"&amp;OFFSET(掉落_design!$E120,0,掉落_design!K$2+1,1,1)&amp;";"&amp;OFFSET(掉落_design!$E120,0,掉落_design!K$2+2,1,1)&amp;";"&amp;OFFSET(掉落_design!$E120,0,掉落_design!K$2+3,1,1))</f>
        <v/>
      </c>
      <c r="M149" s="16" t="str">
        <f ca="1">IF(OFFSET(掉落_design!$E120,0,掉落_design!L$2,1,1)="","",OFFSET(掉落_design!$E120,0,掉落_design!L$2,1,1)&amp;";"&amp;OFFSET(掉落_design!$E120,0,掉落_design!L$2+1,1,1)&amp;";"&amp;OFFSET(掉落_design!$E120,0,掉落_design!L$2+2,1,1)&amp;";"&amp;OFFSET(掉落_design!$E120,0,掉落_design!L$2+3,1,1))</f>
        <v/>
      </c>
      <c r="N149" s="16" t="str">
        <f ca="1">IF(OFFSET(掉落_design!$E120,0,掉落_design!M$2,1,1)="","",OFFSET(掉落_design!$E120,0,掉落_design!M$2,1,1)&amp;";"&amp;OFFSET(掉落_design!$E120,0,掉落_design!M$2+1,1,1)&amp;";"&amp;OFFSET(掉落_design!$E120,0,掉落_design!M$2+2,1,1)&amp;";"&amp;OFFSET(掉落_design!$E120,0,掉落_design!M$2+3,1,1))</f>
        <v/>
      </c>
      <c r="O149" s="16" t="str">
        <f ca="1">IF(OFFSET(掉落_design!$E120,0,掉落_design!N$2,1,1)="","",OFFSET(掉落_design!$E120,0,掉落_design!N$2,1,1)&amp;";"&amp;OFFSET(掉落_design!$E120,0,掉落_design!N$2+1,1,1)&amp;";"&amp;OFFSET(掉落_design!$E120,0,掉落_design!N$2+2,1,1)&amp;";"&amp;OFFSET(掉落_design!$E120,0,掉落_design!N$2+3,1,1))</f>
        <v/>
      </c>
      <c r="P149" s="16" t="str">
        <f ca="1">IF(OFFSET(掉落_design!$E120,0,掉落_design!O$2,1,1)="","",OFFSET(掉落_design!$E120,0,掉落_design!O$2,1,1)&amp;";"&amp;OFFSET(掉落_design!$E120,0,掉落_design!O$2+1,1,1)&amp;";"&amp;OFFSET(掉落_design!$E120,0,掉落_design!O$2+2,1,1)&amp;";"&amp;OFFSET(掉落_design!$E120,0,掉落_design!O$2+3,1,1))</f>
        <v/>
      </c>
      <c r="Q149" s="25"/>
      <c r="R149" s="25"/>
      <c r="S149" s="25"/>
    </row>
    <row r="150" spans="1:19" x14ac:dyDescent="0.15">
      <c r="A150" s="11" t="str">
        <f t="shared" si="32"/>
        <v/>
      </c>
      <c r="B150" s="25"/>
      <c r="C150" s="25"/>
      <c r="D150" s="15" t="str">
        <f>IF(掉落_design!C121="","",掉落_design!C121)</f>
        <v/>
      </c>
      <c r="E150" s="15" t="str">
        <f>IF(A150="","",掉落_design!D121)</f>
        <v/>
      </c>
      <c r="F150" s="16" t="str">
        <f ca="1">IF(OFFSET(掉落_design!$E121,0,掉落_design!E$2,1,1)="","",OFFSET(掉落_design!$E121,0,掉落_design!E$2,1,1)&amp;";"&amp;OFFSET(掉落_design!$E121,0,掉落_design!E$2+1,1,1)&amp;";"&amp;OFFSET(掉落_design!$E121,0,掉落_design!E$2+2,1,1)&amp;";"&amp;OFFSET(掉落_design!$E121,0,掉落_design!E$2+3,1,1))</f>
        <v/>
      </c>
      <c r="G150" s="16" t="str">
        <f ca="1">IF(OFFSET(掉落_design!$E121,0,掉落_design!F$2,1,1)="","",OFFSET(掉落_design!$E121,0,掉落_design!F$2,1,1)&amp;";"&amp;OFFSET(掉落_design!$E121,0,掉落_design!F$2+1,1,1)&amp;";"&amp;OFFSET(掉落_design!$E121,0,掉落_design!F$2+2,1,1)&amp;";"&amp;OFFSET(掉落_design!$E121,0,掉落_design!F$2+3,1,1))</f>
        <v/>
      </c>
      <c r="H150" s="16" t="str">
        <f ca="1">IF(OFFSET(掉落_design!$E121,0,掉落_design!G$2,1,1)="","",OFFSET(掉落_design!$E121,0,掉落_design!G$2,1,1)&amp;";"&amp;OFFSET(掉落_design!$E121,0,掉落_design!G$2+1,1,1)&amp;";"&amp;OFFSET(掉落_design!$E121,0,掉落_design!G$2+2,1,1)&amp;";"&amp;OFFSET(掉落_design!$E121,0,掉落_design!G$2+3,1,1))</f>
        <v/>
      </c>
      <c r="I150" s="16" t="str">
        <f ca="1">IF(OFFSET(掉落_design!$E121,0,掉落_design!H$2,1,1)="","",OFFSET(掉落_design!$E121,0,掉落_design!H$2,1,1)&amp;";"&amp;OFFSET(掉落_design!$E121,0,掉落_design!H$2+1,1,1)&amp;";"&amp;OFFSET(掉落_design!$E121,0,掉落_design!H$2+2,1,1)&amp;";"&amp;OFFSET(掉落_design!$E121,0,掉落_design!H$2+3,1,1))</f>
        <v/>
      </c>
      <c r="J150" s="16" t="str">
        <f ca="1">IF(OFFSET(掉落_design!$E121,0,掉落_design!I$2,1,1)="","",OFFSET(掉落_design!$E121,0,掉落_design!I$2,1,1)&amp;";"&amp;OFFSET(掉落_design!$E121,0,掉落_design!I$2+1,1,1)&amp;";"&amp;OFFSET(掉落_design!$E121,0,掉落_design!I$2+2,1,1)&amp;";"&amp;OFFSET(掉落_design!$E121,0,掉落_design!I$2+3,1,1))</f>
        <v/>
      </c>
      <c r="K150" s="16" t="str">
        <f ca="1">IF(OFFSET(掉落_design!$E121,0,掉落_design!J$2,1,1)="","",OFFSET(掉落_design!$E121,0,掉落_design!J$2,1,1)&amp;";"&amp;OFFSET(掉落_design!$E121,0,掉落_design!J$2+1,1,1)&amp;";"&amp;OFFSET(掉落_design!$E121,0,掉落_design!J$2+2,1,1)&amp;";"&amp;OFFSET(掉落_design!$E121,0,掉落_design!J$2+3,1,1))</f>
        <v/>
      </c>
      <c r="L150" s="16" t="str">
        <f ca="1">IF(OFFSET(掉落_design!$E121,0,掉落_design!K$2,1,1)="","",OFFSET(掉落_design!$E121,0,掉落_design!K$2,1,1)&amp;";"&amp;OFFSET(掉落_design!$E121,0,掉落_design!K$2+1,1,1)&amp;";"&amp;OFFSET(掉落_design!$E121,0,掉落_design!K$2+2,1,1)&amp;";"&amp;OFFSET(掉落_design!$E121,0,掉落_design!K$2+3,1,1))</f>
        <v/>
      </c>
      <c r="M150" s="16" t="str">
        <f ca="1">IF(OFFSET(掉落_design!$E121,0,掉落_design!L$2,1,1)="","",OFFSET(掉落_design!$E121,0,掉落_design!L$2,1,1)&amp;";"&amp;OFFSET(掉落_design!$E121,0,掉落_design!L$2+1,1,1)&amp;";"&amp;OFFSET(掉落_design!$E121,0,掉落_design!L$2+2,1,1)&amp;";"&amp;OFFSET(掉落_design!$E121,0,掉落_design!L$2+3,1,1))</f>
        <v/>
      </c>
      <c r="N150" s="16" t="str">
        <f ca="1">IF(OFFSET(掉落_design!$E121,0,掉落_design!M$2,1,1)="","",OFFSET(掉落_design!$E121,0,掉落_design!M$2,1,1)&amp;";"&amp;OFFSET(掉落_design!$E121,0,掉落_design!M$2+1,1,1)&amp;";"&amp;OFFSET(掉落_design!$E121,0,掉落_design!M$2+2,1,1)&amp;";"&amp;OFFSET(掉落_design!$E121,0,掉落_design!M$2+3,1,1))</f>
        <v/>
      </c>
      <c r="O150" s="16" t="str">
        <f ca="1">IF(OFFSET(掉落_design!$E121,0,掉落_design!N$2,1,1)="","",OFFSET(掉落_design!$E121,0,掉落_design!N$2,1,1)&amp;";"&amp;OFFSET(掉落_design!$E121,0,掉落_design!N$2+1,1,1)&amp;";"&amp;OFFSET(掉落_design!$E121,0,掉落_design!N$2+2,1,1)&amp;";"&amp;OFFSET(掉落_design!$E121,0,掉落_design!N$2+3,1,1))</f>
        <v/>
      </c>
      <c r="P150" s="16" t="str">
        <f ca="1">IF(OFFSET(掉落_design!$E121,0,掉落_design!O$2,1,1)="","",OFFSET(掉落_design!$E121,0,掉落_design!O$2,1,1)&amp;";"&amp;OFFSET(掉落_design!$E121,0,掉落_design!O$2+1,1,1)&amp;";"&amp;OFFSET(掉落_design!$E121,0,掉落_design!O$2+2,1,1)&amp;";"&amp;OFFSET(掉落_design!$E121,0,掉落_design!O$2+3,1,1))</f>
        <v/>
      </c>
      <c r="Q150" s="25"/>
      <c r="R150" s="25"/>
      <c r="S150" s="25"/>
    </row>
    <row r="151" spans="1:19" x14ac:dyDescent="0.15">
      <c r="A151" s="11" t="str">
        <f t="shared" si="32"/>
        <v/>
      </c>
      <c r="B151" s="25"/>
      <c r="C151" s="25"/>
      <c r="D151" s="15" t="str">
        <f>IF(掉落_design!C122="","",掉落_design!C122)</f>
        <v/>
      </c>
      <c r="E151" s="15" t="str">
        <f>IF(A151="","",掉落_design!D122)</f>
        <v/>
      </c>
      <c r="F151" s="16" t="str">
        <f ca="1">IF(OFFSET(掉落_design!$E122,0,掉落_design!E$2,1,1)="","",OFFSET(掉落_design!$E122,0,掉落_design!E$2,1,1)&amp;";"&amp;OFFSET(掉落_design!$E122,0,掉落_design!E$2+1,1,1)&amp;";"&amp;OFFSET(掉落_design!$E122,0,掉落_design!E$2+2,1,1)&amp;";"&amp;OFFSET(掉落_design!$E122,0,掉落_design!E$2+3,1,1))</f>
        <v/>
      </c>
      <c r="G151" s="16" t="str">
        <f ca="1">IF(OFFSET(掉落_design!$E122,0,掉落_design!F$2,1,1)="","",OFFSET(掉落_design!$E122,0,掉落_design!F$2,1,1)&amp;";"&amp;OFFSET(掉落_design!$E122,0,掉落_design!F$2+1,1,1)&amp;";"&amp;OFFSET(掉落_design!$E122,0,掉落_design!F$2+2,1,1)&amp;";"&amp;OFFSET(掉落_design!$E122,0,掉落_design!F$2+3,1,1))</f>
        <v/>
      </c>
      <c r="H151" s="16" t="str">
        <f ca="1">IF(OFFSET(掉落_design!$E122,0,掉落_design!G$2,1,1)="","",OFFSET(掉落_design!$E122,0,掉落_design!G$2,1,1)&amp;";"&amp;OFFSET(掉落_design!$E122,0,掉落_design!G$2+1,1,1)&amp;";"&amp;OFFSET(掉落_design!$E122,0,掉落_design!G$2+2,1,1)&amp;";"&amp;OFFSET(掉落_design!$E122,0,掉落_design!G$2+3,1,1))</f>
        <v/>
      </c>
      <c r="I151" s="16" t="str">
        <f ca="1">IF(OFFSET(掉落_design!$E122,0,掉落_design!H$2,1,1)="","",OFFSET(掉落_design!$E122,0,掉落_design!H$2,1,1)&amp;";"&amp;OFFSET(掉落_design!$E122,0,掉落_design!H$2+1,1,1)&amp;";"&amp;OFFSET(掉落_design!$E122,0,掉落_design!H$2+2,1,1)&amp;";"&amp;OFFSET(掉落_design!$E122,0,掉落_design!H$2+3,1,1))</f>
        <v/>
      </c>
      <c r="J151" s="16" t="str">
        <f ca="1">IF(OFFSET(掉落_design!$E122,0,掉落_design!I$2,1,1)="","",OFFSET(掉落_design!$E122,0,掉落_design!I$2,1,1)&amp;";"&amp;OFFSET(掉落_design!$E122,0,掉落_design!I$2+1,1,1)&amp;";"&amp;OFFSET(掉落_design!$E122,0,掉落_design!I$2+2,1,1)&amp;";"&amp;OFFSET(掉落_design!$E122,0,掉落_design!I$2+3,1,1))</f>
        <v/>
      </c>
      <c r="K151" s="16" t="str">
        <f ca="1">IF(OFFSET(掉落_design!$E122,0,掉落_design!J$2,1,1)="","",OFFSET(掉落_design!$E122,0,掉落_design!J$2,1,1)&amp;";"&amp;OFFSET(掉落_design!$E122,0,掉落_design!J$2+1,1,1)&amp;";"&amp;OFFSET(掉落_design!$E122,0,掉落_design!J$2+2,1,1)&amp;";"&amp;OFFSET(掉落_design!$E122,0,掉落_design!J$2+3,1,1))</f>
        <v/>
      </c>
      <c r="L151" s="16" t="str">
        <f ca="1">IF(OFFSET(掉落_design!$E122,0,掉落_design!K$2,1,1)="","",OFFSET(掉落_design!$E122,0,掉落_design!K$2,1,1)&amp;";"&amp;OFFSET(掉落_design!$E122,0,掉落_design!K$2+1,1,1)&amp;";"&amp;OFFSET(掉落_design!$E122,0,掉落_design!K$2+2,1,1)&amp;";"&amp;OFFSET(掉落_design!$E122,0,掉落_design!K$2+3,1,1))</f>
        <v/>
      </c>
      <c r="M151" s="16" t="str">
        <f ca="1">IF(OFFSET(掉落_design!$E122,0,掉落_design!L$2,1,1)="","",OFFSET(掉落_design!$E122,0,掉落_design!L$2,1,1)&amp;";"&amp;OFFSET(掉落_design!$E122,0,掉落_design!L$2+1,1,1)&amp;";"&amp;OFFSET(掉落_design!$E122,0,掉落_design!L$2+2,1,1)&amp;";"&amp;OFFSET(掉落_design!$E122,0,掉落_design!L$2+3,1,1))</f>
        <v/>
      </c>
      <c r="N151" s="16" t="str">
        <f ca="1">IF(OFFSET(掉落_design!$E122,0,掉落_design!M$2,1,1)="","",OFFSET(掉落_design!$E122,0,掉落_design!M$2,1,1)&amp;";"&amp;OFFSET(掉落_design!$E122,0,掉落_design!M$2+1,1,1)&amp;";"&amp;OFFSET(掉落_design!$E122,0,掉落_design!M$2+2,1,1)&amp;";"&amp;OFFSET(掉落_design!$E122,0,掉落_design!M$2+3,1,1))</f>
        <v/>
      </c>
      <c r="O151" s="16" t="str">
        <f ca="1">IF(OFFSET(掉落_design!$E122,0,掉落_design!N$2,1,1)="","",OFFSET(掉落_design!$E122,0,掉落_design!N$2,1,1)&amp;";"&amp;OFFSET(掉落_design!$E122,0,掉落_design!N$2+1,1,1)&amp;";"&amp;OFFSET(掉落_design!$E122,0,掉落_design!N$2+2,1,1)&amp;";"&amp;OFFSET(掉落_design!$E122,0,掉落_design!N$2+3,1,1))</f>
        <v/>
      </c>
      <c r="P151" s="16" t="str">
        <f ca="1">IF(OFFSET(掉落_design!$E122,0,掉落_design!O$2,1,1)="","",OFFSET(掉落_design!$E122,0,掉落_design!O$2,1,1)&amp;";"&amp;OFFSET(掉落_design!$E122,0,掉落_design!O$2+1,1,1)&amp;";"&amp;OFFSET(掉落_design!$E122,0,掉落_design!O$2+2,1,1)&amp;";"&amp;OFFSET(掉落_design!$E122,0,掉落_design!O$2+3,1,1))</f>
        <v/>
      </c>
      <c r="Q151" s="25"/>
      <c r="R151" s="25"/>
      <c r="S151" s="25"/>
    </row>
    <row r="152" spans="1:19" x14ac:dyDescent="0.15">
      <c r="A152" s="11" t="str">
        <f t="shared" si="32"/>
        <v/>
      </c>
      <c r="B152" s="25"/>
      <c r="C152" s="25"/>
      <c r="D152" s="15" t="str">
        <f>IF(掉落_design!C123="","",掉落_design!C123)</f>
        <v/>
      </c>
      <c r="E152" s="15" t="str">
        <f>IF(A152="","",掉落_design!D123)</f>
        <v/>
      </c>
      <c r="F152" s="16" t="str">
        <f ca="1">IF(OFFSET(掉落_design!$E123,0,掉落_design!E$2,1,1)="","",OFFSET(掉落_design!$E123,0,掉落_design!E$2,1,1)&amp;";"&amp;OFFSET(掉落_design!$E123,0,掉落_design!E$2+1,1,1)&amp;";"&amp;OFFSET(掉落_design!$E123,0,掉落_design!E$2+2,1,1)&amp;";"&amp;OFFSET(掉落_design!$E123,0,掉落_design!E$2+3,1,1))</f>
        <v/>
      </c>
      <c r="G152" s="16" t="str">
        <f ca="1">IF(OFFSET(掉落_design!$E123,0,掉落_design!F$2,1,1)="","",OFFSET(掉落_design!$E123,0,掉落_design!F$2,1,1)&amp;";"&amp;OFFSET(掉落_design!$E123,0,掉落_design!F$2+1,1,1)&amp;";"&amp;OFFSET(掉落_design!$E123,0,掉落_design!F$2+2,1,1)&amp;";"&amp;OFFSET(掉落_design!$E123,0,掉落_design!F$2+3,1,1))</f>
        <v/>
      </c>
      <c r="H152" s="16" t="str">
        <f ca="1">IF(OFFSET(掉落_design!$E123,0,掉落_design!G$2,1,1)="","",OFFSET(掉落_design!$E123,0,掉落_design!G$2,1,1)&amp;";"&amp;OFFSET(掉落_design!$E123,0,掉落_design!G$2+1,1,1)&amp;";"&amp;OFFSET(掉落_design!$E123,0,掉落_design!G$2+2,1,1)&amp;";"&amp;OFFSET(掉落_design!$E123,0,掉落_design!G$2+3,1,1))</f>
        <v/>
      </c>
      <c r="I152" s="16" t="str">
        <f ca="1">IF(OFFSET(掉落_design!$E123,0,掉落_design!H$2,1,1)="","",OFFSET(掉落_design!$E123,0,掉落_design!H$2,1,1)&amp;";"&amp;OFFSET(掉落_design!$E123,0,掉落_design!H$2+1,1,1)&amp;";"&amp;OFFSET(掉落_design!$E123,0,掉落_design!H$2+2,1,1)&amp;";"&amp;OFFSET(掉落_design!$E123,0,掉落_design!H$2+3,1,1))</f>
        <v/>
      </c>
      <c r="J152" s="16" t="str">
        <f ca="1">IF(OFFSET(掉落_design!$E123,0,掉落_design!I$2,1,1)="","",OFFSET(掉落_design!$E123,0,掉落_design!I$2,1,1)&amp;";"&amp;OFFSET(掉落_design!$E123,0,掉落_design!I$2+1,1,1)&amp;";"&amp;OFFSET(掉落_design!$E123,0,掉落_design!I$2+2,1,1)&amp;";"&amp;OFFSET(掉落_design!$E123,0,掉落_design!I$2+3,1,1))</f>
        <v/>
      </c>
      <c r="K152" s="16" t="str">
        <f ca="1">IF(OFFSET(掉落_design!$E123,0,掉落_design!J$2,1,1)="","",OFFSET(掉落_design!$E123,0,掉落_design!J$2,1,1)&amp;";"&amp;OFFSET(掉落_design!$E123,0,掉落_design!J$2+1,1,1)&amp;";"&amp;OFFSET(掉落_design!$E123,0,掉落_design!J$2+2,1,1)&amp;";"&amp;OFFSET(掉落_design!$E123,0,掉落_design!J$2+3,1,1))</f>
        <v/>
      </c>
      <c r="L152" s="16" t="str">
        <f ca="1">IF(OFFSET(掉落_design!$E123,0,掉落_design!K$2,1,1)="","",OFFSET(掉落_design!$E123,0,掉落_design!K$2,1,1)&amp;";"&amp;OFFSET(掉落_design!$E123,0,掉落_design!K$2+1,1,1)&amp;";"&amp;OFFSET(掉落_design!$E123,0,掉落_design!K$2+2,1,1)&amp;";"&amp;OFFSET(掉落_design!$E123,0,掉落_design!K$2+3,1,1))</f>
        <v/>
      </c>
      <c r="M152" s="16" t="str">
        <f ca="1">IF(OFFSET(掉落_design!$E123,0,掉落_design!L$2,1,1)="","",OFFSET(掉落_design!$E123,0,掉落_design!L$2,1,1)&amp;";"&amp;OFFSET(掉落_design!$E123,0,掉落_design!L$2+1,1,1)&amp;";"&amp;OFFSET(掉落_design!$E123,0,掉落_design!L$2+2,1,1)&amp;";"&amp;OFFSET(掉落_design!$E123,0,掉落_design!L$2+3,1,1))</f>
        <v/>
      </c>
      <c r="N152" s="16" t="str">
        <f ca="1">IF(OFFSET(掉落_design!$E123,0,掉落_design!M$2,1,1)="","",OFFSET(掉落_design!$E123,0,掉落_design!M$2,1,1)&amp;";"&amp;OFFSET(掉落_design!$E123,0,掉落_design!M$2+1,1,1)&amp;";"&amp;OFFSET(掉落_design!$E123,0,掉落_design!M$2+2,1,1)&amp;";"&amp;OFFSET(掉落_design!$E123,0,掉落_design!M$2+3,1,1))</f>
        <v/>
      </c>
      <c r="O152" s="16" t="str">
        <f ca="1">IF(OFFSET(掉落_design!$E123,0,掉落_design!N$2,1,1)="","",OFFSET(掉落_design!$E123,0,掉落_design!N$2,1,1)&amp;";"&amp;OFFSET(掉落_design!$E123,0,掉落_design!N$2+1,1,1)&amp;";"&amp;OFFSET(掉落_design!$E123,0,掉落_design!N$2+2,1,1)&amp;";"&amp;OFFSET(掉落_design!$E123,0,掉落_design!N$2+3,1,1))</f>
        <v/>
      </c>
      <c r="P152" s="16" t="str">
        <f ca="1">IF(OFFSET(掉落_design!$E123,0,掉落_design!O$2,1,1)="","",OFFSET(掉落_design!$E123,0,掉落_design!O$2,1,1)&amp;";"&amp;OFFSET(掉落_design!$E123,0,掉落_design!O$2+1,1,1)&amp;";"&amp;OFFSET(掉落_design!$E123,0,掉落_design!O$2+2,1,1)&amp;";"&amp;OFFSET(掉落_design!$E123,0,掉落_design!O$2+3,1,1))</f>
        <v/>
      </c>
      <c r="Q152" s="25"/>
      <c r="R152" s="25"/>
      <c r="S152" s="25"/>
    </row>
    <row r="153" spans="1:19" x14ac:dyDescent="0.15">
      <c r="A153" s="11" t="str">
        <f t="shared" si="32"/>
        <v/>
      </c>
      <c r="B153" s="25"/>
      <c r="C153" s="25"/>
      <c r="D153" s="15" t="str">
        <f>IF(掉落_design!C124="","",掉落_design!C124)</f>
        <v/>
      </c>
      <c r="E153" s="15" t="str">
        <f>IF(A153="","",掉落_design!D124)</f>
        <v/>
      </c>
      <c r="F153" s="16" t="str">
        <f ca="1">IF(OFFSET(掉落_design!$E124,0,掉落_design!E$2,1,1)="","",OFFSET(掉落_design!$E124,0,掉落_design!E$2,1,1)&amp;";"&amp;OFFSET(掉落_design!$E124,0,掉落_design!E$2+1,1,1)&amp;";"&amp;OFFSET(掉落_design!$E124,0,掉落_design!E$2+2,1,1)&amp;";"&amp;OFFSET(掉落_design!$E124,0,掉落_design!E$2+3,1,1))</f>
        <v/>
      </c>
      <c r="G153" s="16" t="str">
        <f ca="1">IF(OFFSET(掉落_design!$E124,0,掉落_design!F$2,1,1)="","",OFFSET(掉落_design!$E124,0,掉落_design!F$2,1,1)&amp;";"&amp;OFFSET(掉落_design!$E124,0,掉落_design!F$2+1,1,1)&amp;";"&amp;OFFSET(掉落_design!$E124,0,掉落_design!F$2+2,1,1)&amp;";"&amp;OFFSET(掉落_design!$E124,0,掉落_design!F$2+3,1,1))</f>
        <v/>
      </c>
      <c r="H153" s="16" t="str">
        <f ca="1">IF(OFFSET(掉落_design!$E124,0,掉落_design!G$2,1,1)="","",OFFSET(掉落_design!$E124,0,掉落_design!G$2,1,1)&amp;";"&amp;OFFSET(掉落_design!$E124,0,掉落_design!G$2+1,1,1)&amp;";"&amp;OFFSET(掉落_design!$E124,0,掉落_design!G$2+2,1,1)&amp;";"&amp;OFFSET(掉落_design!$E124,0,掉落_design!G$2+3,1,1))</f>
        <v/>
      </c>
      <c r="I153" s="16" t="str">
        <f ca="1">IF(OFFSET(掉落_design!$E124,0,掉落_design!H$2,1,1)="","",OFFSET(掉落_design!$E124,0,掉落_design!H$2,1,1)&amp;";"&amp;OFFSET(掉落_design!$E124,0,掉落_design!H$2+1,1,1)&amp;";"&amp;OFFSET(掉落_design!$E124,0,掉落_design!H$2+2,1,1)&amp;";"&amp;OFFSET(掉落_design!$E124,0,掉落_design!H$2+3,1,1))</f>
        <v/>
      </c>
      <c r="J153" s="16" t="str">
        <f ca="1">IF(OFFSET(掉落_design!$E124,0,掉落_design!I$2,1,1)="","",OFFSET(掉落_design!$E124,0,掉落_design!I$2,1,1)&amp;";"&amp;OFFSET(掉落_design!$E124,0,掉落_design!I$2+1,1,1)&amp;";"&amp;OFFSET(掉落_design!$E124,0,掉落_design!I$2+2,1,1)&amp;";"&amp;OFFSET(掉落_design!$E124,0,掉落_design!I$2+3,1,1))</f>
        <v/>
      </c>
      <c r="K153" s="16" t="str">
        <f ca="1">IF(OFFSET(掉落_design!$E124,0,掉落_design!J$2,1,1)="","",OFFSET(掉落_design!$E124,0,掉落_design!J$2,1,1)&amp;";"&amp;OFFSET(掉落_design!$E124,0,掉落_design!J$2+1,1,1)&amp;";"&amp;OFFSET(掉落_design!$E124,0,掉落_design!J$2+2,1,1)&amp;";"&amp;OFFSET(掉落_design!$E124,0,掉落_design!J$2+3,1,1))</f>
        <v/>
      </c>
      <c r="L153" s="16" t="str">
        <f ca="1">IF(OFFSET(掉落_design!$E124,0,掉落_design!K$2,1,1)="","",OFFSET(掉落_design!$E124,0,掉落_design!K$2,1,1)&amp;";"&amp;OFFSET(掉落_design!$E124,0,掉落_design!K$2+1,1,1)&amp;";"&amp;OFFSET(掉落_design!$E124,0,掉落_design!K$2+2,1,1)&amp;";"&amp;OFFSET(掉落_design!$E124,0,掉落_design!K$2+3,1,1))</f>
        <v/>
      </c>
      <c r="M153" s="16" t="str">
        <f ca="1">IF(OFFSET(掉落_design!$E124,0,掉落_design!L$2,1,1)="","",OFFSET(掉落_design!$E124,0,掉落_design!L$2,1,1)&amp;";"&amp;OFFSET(掉落_design!$E124,0,掉落_design!L$2+1,1,1)&amp;";"&amp;OFFSET(掉落_design!$E124,0,掉落_design!L$2+2,1,1)&amp;";"&amp;OFFSET(掉落_design!$E124,0,掉落_design!L$2+3,1,1))</f>
        <v/>
      </c>
      <c r="N153" s="16" t="str">
        <f ca="1">IF(OFFSET(掉落_design!$E124,0,掉落_design!M$2,1,1)="","",OFFSET(掉落_design!$E124,0,掉落_design!M$2,1,1)&amp;";"&amp;OFFSET(掉落_design!$E124,0,掉落_design!M$2+1,1,1)&amp;";"&amp;OFFSET(掉落_design!$E124,0,掉落_design!M$2+2,1,1)&amp;";"&amp;OFFSET(掉落_design!$E124,0,掉落_design!M$2+3,1,1))</f>
        <v/>
      </c>
      <c r="O153" s="16" t="str">
        <f ca="1">IF(OFFSET(掉落_design!$E124,0,掉落_design!N$2,1,1)="","",OFFSET(掉落_design!$E124,0,掉落_design!N$2,1,1)&amp;";"&amp;OFFSET(掉落_design!$E124,0,掉落_design!N$2+1,1,1)&amp;";"&amp;OFFSET(掉落_design!$E124,0,掉落_design!N$2+2,1,1)&amp;";"&amp;OFFSET(掉落_design!$E124,0,掉落_design!N$2+3,1,1))</f>
        <v/>
      </c>
      <c r="P153" s="16" t="str">
        <f ca="1">IF(OFFSET(掉落_design!$E124,0,掉落_design!O$2,1,1)="","",OFFSET(掉落_design!$E124,0,掉落_design!O$2,1,1)&amp;";"&amp;OFFSET(掉落_design!$E124,0,掉落_design!O$2+1,1,1)&amp;";"&amp;OFFSET(掉落_design!$E124,0,掉落_design!O$2+2,1,1)&amp;";"&amp;OFFSET(掉落_design!$E124,0,掉落_design!O$2+3,1,1))</f>
        <v/>
      </c>
      <c r="Q153" s="25"/>
      <c r="R153" s="25"/>
      <c r="S153" s="25"/>
    </row>
    <row r="154" spans="1:19" x14ac:dyDescent="0.15">
      <c r="A154" s="11" t="str">
        <f t="shared" si="32"/>
        <v/>
      </c>
      <c r="B154" s="25"/>
      <c r="C154" s="25"/>
      <c r="D154" s="15" t="str">
        <f>IF(掉落_design!C125="","",掉落_design!C125)</f>
        <v/>
      </c>
      <c r="E154" s="15" t="str">
        <f>IF(A154="","",掉落_design!D125)</f>
        <v/>
      </c>
      <c r="F154" s="16" t="str">
        <f ca="1">IF(OFFSET(掉落_design!$E125,0,掉落_design!E$2,1,1)="","",OFFSET(掉落_design!$E125,0,掉落_design!E$2,1,1)&amp;";"&amp;OFFSET(掉落_design!$E125,0,掉落_design!E$2+1,1,1)&amp;";"&amp;OFFSET(掉落_design!$E125,0,掉落_design!E$2+2,1,1)&amp;";"&amp;OFFSET(掉落_design!$E125,0,掉落_design!E$2+3,1,1))</f>
        <v/>
      </c>
      <c r="G154" s="16" t="str">
        <f ca="1">IF(OFFSET(掉落_design!$E125,0,掉落_design!F$2,1,1)="","",OFFSET(掉落_design!$E125,0,掉落_design!F$2,1,1)&amp;";"&amp;OFFSET(掉落_design!$E125,0,掉落_design!F$2+1,1,1)&amp;";"&amp;OFFSET(掉落_design!$E125,0,掉落_design!F$2+2,1,1)&amp;";"&amp;OFFSET(掉落_design!$E125,0,掉落_design!F$2+3,1,1))</f>
        <v/>
      </c>
      <c r="H154" s="16" t="str">
        <f ca="1">IF(OFFSET(掉落_design!$E125,0,掉落_design!G$2,1,1)="","",OFFSET(掉落_design!$E125,0,掉落_design!G$2,1,1)&amp;";"&amp;OFFSET(掉落_design!$E125,0,掉落_design!G$2+1,1,1)&amp;";"&amp;OFFSET(掉落_design!$E125,0,掉落_design!G$2+2,1,1)&amp;";"&amp;OFFSET(掉落_design!$E125,0,掉落_design!G$2+3,1,1))</f>
        <v/>
      </c>
      <c r="I154" s="16" t="str">
        <f ca="1">IF(OFFSET(掉落_design!$E125,0,掉落_design!H$2,1,1)="","",OFFSET(掉落_design!$E125,0,掉落_design!H$2,1,1)&amp;";"&amp;OFFSET(掉落_design!$E125,0,掉落_design!H$2+1,1,1)&amp;";"&amp;OFFSET(掉落_design!$E125,0,掉落_design!H$2+2,1,1)&amp;";"&amp;OFFSET(掉落_design!$E125,0,掉落_design!H$2+3,1,1))</f>
        <v/>
      </c>
      <c r="J154" s="16" t="str">
        <f ca="1">IF(OFFSET(掉落_design!$E125,0,掉落_design!I$2,1,1)="","",OFFSET(掉落_design!$E125,0,掉落_design!I$2,1,1)&amp;";"&amp;OFFSET(掉落_design!$E125,0,掉落_design!I$2+1,1,1)&amp;";"&amp;OFFSET(掉落_design!$E125,0,掉落_design!I$2+2,1,1)&amp;";"&amp;OFFSET(掉落_design!$E125,0,掉落_design!I$2+3,1,1))</f>
        <v/>
      </c>
      <c r="K154" s="16" t="str">
        <f ca="1">IF(OFFSET(掉落_design!$E125,0,掉落_design!J$2,1,1)="","",OFFSET(掉落_design!$E125,0,掉落_design!J$2,1,1)&amp;";"&amp;OFFSET(掉落_design!$E125,0,掉落_design!J$2+1,1,1)&amp;";"&amp;OFFSET(掉落_design!$E125,0,掉落_design!J$2+2,1,1)&amp;";"&amp;OFFSET(掉落_design!$E125,0,掉落_design!J$2+3,1,1))</f>
        <v/>
      </c>
      <c r="L154" s="16" t="str">
        <f ca="1">IF(OFFSET(掉落_design!$E125,0,掉落_design!K$2,1,1)="","",OFFSET(掉落_design!$E125,0,掉落_design!K$2,1,1)&amp;";"&amp;OFFSET(掉落_design!$E125,0,掉落_design!K$2+1,1,1)&amp;";"&amp;OFFSET(掉落_design!$E125,0,掉落_design!K$2+2,1,1)&amp;";"&amp;OFFSET(掉落_design!$E125,0,掉落_design!K$2+3,1,1))</f>
        <v/>
      </c>
      <c r="M154" s="16" t="str">
        <f ca="1">IF(OFFSET(掉落_design!$E125,0,掉落_design!L$2,1,1)="","",OFFSET(掉落_design!$E125,0,掉落_design!L$2,1,1)&amp;";"&amp;OFFSET(掉落_design!$E125,0,掉落_design!L$2+1,1,1)&amp;";"&amp;OFFSET(掉落_design!$E125,0,掉落_design!L$2+2,1,1)&amp;";"&amp;OFFSET(掉落_design!$E125,0,掉落_design!L$2+3,1,1))</f>
        <v/>
      </c>
      <c r="N154" s="16" t="str">
        <f ca="1">IF(OFFSET(掉落_design!$E125,0,掉落_design!M$2,1,1)="","",OFFSET(掉落_design!$E125,0,掉落_design!M$2,1,1)&amp;";"&amp;OFFSET(掉落_design!$E125,0,掉落_design!M$2+1,1,1)&amp;";"&amp;OFFSET(掉落_design!$E125,0,掉落_design!M$2+2,1,1)&amp;";"&amp;OFFSET(掉落_design!$E125,0,掉落_design!M$2+3,1,1))</f>
        <v/>
      </c>
      <c r="O154" s="16" t="str">
        <f ca="1">IF(OFFSET(掉落_design!$E125,0,掉落_design!N$2,1,1)="","",OFFSET(掉落_design!$E125,0,掉落_design!N$2,1,1)&amp;";"&amp;OFFSET(掉落_design!$E125,0,掉落_design!N$2+1,1,1)&amp;";"&amp;OFFSET(掉落_design!$E125,0,掉落_design!N$2+2,1,1)&amp;";"&amp;OFFSET(掉落_design!$E125,0,掉落_design!N$2+3,1,1))</f>
        <v/>
      </c>
      <c r="P154" s="16" t="str">
        <f ca="1">IF(OFFSET(掉落_design!$E125,0,掉落_design!O$2,1,1)="","",OFFSET(掉落_design!$E125,0,掉落_design!O$2,1,1)&amp;";"&amp;OFFSET(掉落_design!$E125,0,掉落_design!O$2+1,1,1)&amp;";"&amp;OFFSET(掉落_design!$E125,0,掉落_design!O$2+2,1,1)&amp;";"&amp;OFFSET(掉落_design!$E125,0,掉落_design!O$2+3,1,1))</f>
        <v/>
      </c>
      <c r="Q154" s="25"/>
      <c r="R154" s="25"/>
      <c r="S154" s="25"/>
    </row>
    <row r="155" spans="1:19" x14ac:dyDescent="0.15">
      <c r="A155" s="11" t="str">
        <f t="shared" si="32"/>
        <v/>
      </c>
      <c r="B155" s="25"/>
      <c r="C155" s="25"/>
      <c r="D155" s="15" t="str">
        <f>IF(掉落_design!C126="","",掉落_design!C126)</f>
        <v/>
      </c>
      <c r="E155" s="15" t="str">
        <f>IF(A155="","",掉落_design!D126)</f>
        <v/>
      </c>
      <c r="F155" s="16" t="str">
        <f ca="1">IF(OFFSET(掉落_design!$E126,0,掉落_design!E$2,1,1)="","",OFFSET(掉落_design!$E126,0,掉落_design!E$2,1,1)&amp;";"&amp;OFFSET(掉落_design!$E126,0,掉落_design!E$2+1,1,1)&amp;";"&amp;OFFSET(掉落_design!$E126,0,掉落_design!E$2+2,1,1)&amp;";"&amp;OFFSET(掉落_design!$E126,0,掉落_design!E$2+3,1,1))</f>
        <v/>
      </c>
      <c r="G155" s="16" t="str">
        <f ca="1">IF(OFFSET(掉落_design!$E126,0,掉落_design!F$2,1,1)="","",OFFSET(掉落_design!$E126,0,掉落_design!F$2,1,1)&amp;";"&amp;OFFSET(掉落_design!$E126,0,掉落_design!F$2+1,1,1)&amp;";"&amp;OFFSET(掉落_design!$E126,0,掉落_design!F$2+2,1,1)&amp;";"&amp;OFFSET(掉落_design!$E126,0,掉落_design!F$2+3,1,1))</f>
        <v/>
      </c>
      <c r="H155" s="16" t="str">
        <f ca="1">IF(OFFSET(掉落_design!$E126,0,掉落_design!G$2,1,1)="","",OFFSET(掉落_design!$E126,0,掉落_design!G$2,1,1)&amp;";"&amp;OFFSET(掉落_design!$E126,0,掉落_design!G$2+1,1,1)&amp;";"&amp;OFFSET(掉落_design!$E126,0,掉落_design!G$2+2,1,1)&amp;";"&amp;OFFSET(掉落_design!$E126,0,掉落_design!G$2+3,1,1))</f>
        <v/>
      </c>
      <c r="I155" s="16" t="str">
        <f ca="1">IF(OFFSET(掉落_design!$E126,0,掉落_design!H$2,1,1)="","",OFFSET(掉落_design!$E126,0,掉落_design!H$2,1,1)&amp;";"&amp;OFFSET(掉落_design!$E126,0,掉落_design!H$2+1,1,1)&amp;";"&amp;OFFSET(掉落_design!$E126,0,掉落_design!H$2+2,1,1)&amp;";"&amp;OFFSET(掉落_design!$E126,0,掉落_design!H$2+3,1,1))</f>
        <v/>
      </c>
      <c r="J155" s="16" t="str">
        <f ca="1">IF(OFFSET(掉落_design!$E126,0,掉落_design!I$2,1,1)="","",OFFSET(掉落_design!$E126,0,掉落_design!I$2,1,1)&amp;";"&amp;OFFSET(掉落_design!$E126,0,掉落_design!I$2+1,1,1)&amp;";"&amp;OFFSET(掉落_design!$E126,0,掉落_design!I$2+2,1,1)&amp;";"&amp;OFFSET(掉落_design!$E126,0,掉落_design!I$2+3,1,1))</f>
        <v/>
      </c>
      <c r="K155" s="16" t="str">
        <f ca="1">IF(OFFSET(掉落_design!$E126,0,掉落_design!J$2,1,1)="","",OFFSET(掉落_design!$E126,0,掉落_design!J$2,1,1)&amp;";"&amp;OFFSET(掉落_design!$E126,0,掉落_design!J$2+1,1,1)&amp;";"&amp;OFFSET(掉落_design!$E126,0,掉落_design!J$2+2,1,1)&amp;";"&amp;OFFSET(掉落_design!$E126,0,掉落_design!J$2+3,1,1))</f>
        <v/>
      </c>
      <c r="L155" s="16" t="str">
        <f ca="1">IF(OFFSET(掉落_design!$E126,0,掉落_design!K$2,1,1)="","",OFFSET(掉落_design!$E126,0,掉落_design!K$2,1,1)&amp;";"&amp;OFFSET(掉落_design!$E126,0,掉落_design!K$2+1,1,1)&amp;";"&amp;OFFSET(掉落_design!$E126,0,掉落_design!K$2+2,1,1)&amp;";"&amp;OFFSET(掉落_design!$E126,0,掉落_design!K$2+3,1,1))</f>
        <v/>
      </c>
      <c r="M155" s="16" t="str">
        <f ca="1">IF(OFFSET(掉落_design!$E126,0,掉落_design!L$2,1,1)="","",OFFSET(掉落_design!$E126,0,掉落_design!L$2,1,1)&amp;";"&amp;OFFSET(掉落_design!$E126,0,掉落_design!L$2+1,1,1)&amp;";"&amp;OFFSET(掉落_design!$E126,0,掉落_design!L$2+2,1,1)&amp;";"&amp;OFFSET(掉落_design!$E126,0,掉落_design!L$2+3,1,1))</f>
        <v/>
      </c>
      <c r="N155" s="16" t="str">
        <f ca="1">IF(OFFSET(掉落_design!$E126,0,掉落_design!M$2,1,1)="","",OFFSET(掉落_design!$E126,0,掉落_design!M$2,1,1)&amp;";"&amp;OFFSET(掉落_design!$E126,0,掉落_design!M$2+1,1,1)&amp;";"&amp;OFFSET(掉落_design!$E126,0,掉落_design!M$2+2,1,1)&amp;";"&amp;OFFSET(掉落_design!$E126,0,掉落_design!M$2+3,1,1))</f>
        <v/>
      </c>
      <c r="O155" s="16" t="str">
        <f ca="1">IF(OFFSET(掉落_design!$E126,0,掉落_design!N$2,1,1)="","",OFFSET(掉落_design!$E126,0,掉落_design!N$2,1,1)&amp;";"&amp;OFFSET(掉落_design!$E126,0,掉落_design!N$2+1,1,1)&amp;";"&amp;OFFSET(掉落_design!$E126,0,掉落_design!N$2+2,1,1)&amp;";"&amp;OFFSET(掉落_design!$E126,0,掉落_design!N$2+3,1,1))</f>
        <v/>
      </c>
      <c r="P155" s="16" t="str">
        <f ca="1">IF(OFFSET(掉落_design!$E126,0,掉落_design!O$2,1,1)="","",OFFSET(掉落_design!$E126,0,掉落_design!O$2,1,1)&amp;";"&amp;OFFSET(掉落_design!$E126,0,掉落_design!O$2+1,1,1)&amp;";"&amp;OFFSET(掉落_design!$E126,0,掉落_design!O$2+2,1,1)&amp;";"&amp;OFFSET(掉落_design!$E126,0,掉落_design!O$2+3,1,1))</f>
        <v/>
      </c>
      <c r="Q155" s="25"/>
      <c r="R155" s="25"/>
      <c r="S155" s="25"/>
    </row>
    <row r="156" spans="1:19" x14ac:dyDescent="0.15">
      <c r="A156" s="11" t="str">
        <f t="shared" si="32"/>
        <v/>
      </c>
      <c r="B156" s="25"/>
      <c r="C156" s="25"/>
      <c r="D156" s="15" t="str">
        <f>IF(掉落_design!C127="","",掉落_design!C127)</f>
        <v/>
      </c>
      <c r="E156" s="15" t="str">
        <f>IF(A156="","",掉落_design!D127)</f>
        <v/>
      </c>
      <c r="F156" s="16" t="str">
        <f ca="1">IF(OFFSET(掉落_design!$E127,0,掉落_design!E$2,1,1)="","",OFFSET(掉落_design!$E127,0,掉落_design!E$2,1,1)&amp;";"&amp;OFFSET(掉落_design!$E127,0,掉落_design!E$2+1,1,1)&amp;";"&amp;OFFSET(掉落_design!$E127,0,掉落_design!E$2+2,1,1)&amp;";"&amp;OFFSET(掉落_design!$E127,0,掉落_design!E$2+3,1,1))</f>
        <v/>
      </c>
      <c r="G156" s="16" t="str">
        <f ca="1">IF(OFFSET(掉落_design!$E127,0,掉落_design!F$2,1,1)="","",OFFSET(掉落_design!$E127,0,掉落_design!F$2,1,1)&amp;";"&amp;OFFSET(掉落_design!$E127,0,掉落_design!F$2+1,1,1)&amp;";"&amp;OFFSET(掉落_design!$E127,0,掉落_design!F$2+2,1,1)&amp;";"&amp;OFFSET(掉落_design!$E127,0,掉落_design!F$2+3,1,1))</f>
        <v/>
      </c>
      <c r="H156" s="16" t="str">
        <f ca="1">IF(OFFSET(掉落_design!$E127,0,掉落_design!G$2,1,1)="","",OFFSET(掉落_design!$E127,0,掉落_design!G$2,1,1)&amp;";"&amp;OFFSET(掉落_design!$E127,0,掉落_design!G$2+1,1,1)&amp;";"&amp;OFFSET(掉落_design!$E127,0,掉落_design!G$2+2,1,1)&amp;";"&amp;OFFSET(掉落_design!$E127,0,掉落_design!G$2+3,1,1))</f>
        <v/>
      </c>
      <c r="I156" s="16" t="str">
        <f ca="1">IF(OFFSET(掉落_design!$E127,0,掉落_design!H$2,1,1)="","",OFFSET(掉落_design!$E127,0,掉落_design!H$2,1,1)&amp;";"&amp;OFFSET(掉落_design!$E127,0,掉落_design!H$2+1,1,1)&amp;";"&amp;OFFSET(掉落_design!$E127,0,掉落_design!H$2+2,1,1)&amp;";"&amp;OFFSET(掉落_design!$E127,0,掉落_design!H$2+3,1,1))</f>
        <v/>
      </c>
      <c r="J156" s="16" t="str">
        <f ca="1">IF(OFFSET(掉落_design!$E127,0,掉落_design!I$2,1,1)="","",OFFSET(掉落_design!$E127,0,掉落_design!I$2,1,1)&amp;";"&amp;OFFSET(掉落_design!$E127,0,掉落_design!I$2+1,1,1)&amp;";"&amp;OFFSET(掉落_design!$E127,0,掉落_design!I$2+2,1,1)&amp;";"&amp;OFFSET(掉落_design!$E127,0,掉落_design!I$2+3,1,1))</f>
        <v/>
      </c>
      <c r="K156" s="16" t="str">
        <f ca="1">IF(OFFSET(掉落_design!$E127,0,掉落_design!J$2,1,1)="","",OFFSET(掉落_design!$E127,0,掉落_design!J$2,1,1)&amp;";"&amp;OFFSET(掉落_design!$E127,0,掉落_design!J$2+1,1,1)&amp;";"&amp;OFFSET(掉落_design!$E127,0,掉落_design!J$2+2,1,1)&amp;";"&amp;OFFSET(掉落_design!$E127,0,掉落_design!J$2+3,1,1))</f>
        <v/>
      </c>
      <c r="L156" s="16" t="str">
        <f ca="1">IF(OFFSET(掉落_design!$E127,0,掉落_design!K$2,1,1)="","",OFFSET(掉落_design!$E127,0,掉落_design!K$2,1,1)&amp;";"&amp;OFFSET(掉落_design!$E127,0,掉落_design!K$2+1,1,1)&amp;";"&amp;OFFSET(掉落_design!$E127,0,掉落_design!K$2+2,1,1)&amp;";"&amp;OFFSET(掉落_design!$E127,0,掉落_design!K$2+3,1,1))</f>
        <v/>
      </c>
      <c r="M156" s="16" t="str">
        <f ca="1">IF(OFFSET(掉落_design!$E127,0,掉落_design!L$2,1,1)="","",OFFSET(掉落_design!$E127,0,掉落_design!L$2,1,1)&amp;";"&amp;OFFSET(掉落_design!$E127,0,掉落_design!L$2+1,1,1)&amp;";"&amp;OFFSET(掉落_design!$E127,0,掉落_design!L$2+2,1,1)&amp;";"&amp;OFFSET(掉落_design!$E127,0,掉落_design!L$2+3,1,1))</f>
        <v/>
      </c>
      <c r="N156" s="16" t="str">
        <f ca="1">IF(OFFSET(掉落_design!$E127,0,掉落_design!M$2,1,1)="","",OFFSET(掉落_design!$E127,0,掉落_design!M$2,1,1)&amp;";"&amp;OFFSET(掉落_design!$E127,0,掉落_design!M$2+1,1,1)&amp;";"&amp;OFFSET(掉落_design!$E127,0,掉落_design!M$2+2,1,1)&amp;";"&amp;OFFSET(掉落_design!$E127,0,掉落_design!M$2+3,1,1))</f>
        <v/>
      </c>
      <c r="O156" s="16" t="str">
        <f ca="1">IF(OFFSET(掉落_design!$E127,0,掉落_design!N$2,1,1)="","",OFFSET(掉落_design!$E127,0,掉落_design!N$2,1,1)&amp;";"&amp;OFFSET(掉落_design!$E127,0,掉落_design!N$2+1,1,1)&amp;";"&amp;OFFSET(掉落_design!$E127,0,掉落_design!N$2+2,1,1)&amp;";"&amp;OFFSET(掉落_design!$E127,0,掉落_design!N$2+3,1,1))</f>
        <v/>
      </c>
      <c r="P156" s="16" t="str">
        <f ca="1">IF(OFFSET(掉落_design!$E127,0,掉落_design!O$2,1,1)="","",OFFSET(掉落_design!$E127,0,掉落_design!O$2,1,1)&amp;";"&amp;OFFSET(掉落_design!$E127,0,掉落_design!O$2+1,1,1)&amp;";"&amp;OFFSET(掉落_design!$E127,0,掉落_design!O$2+2,1,1)&amp;";"&amp;OFFSET(掉落_design!$E127,0,掉落_design!O$2+3,1,1))</f>
        <v/>
      </c>
      <c r="Q156" s="25"/>
      <c r="R156" s="25"/>
      <c r="S156" s="25"/>
    </row>
    <row r="157" spans="1:19" x14ac:dyDescent="0.15">
      <c r="A157" s="11" t="str">
        <f t="shared" si="32"/>
        <v/>
      </c>
      <c r="B157" s="25"/>
      <c r="C157" s="25"/>
      <c r="D157" s="15" t="str">
        <f>IF(掉落_design!C128="","",掉落_design!C128)</f>
        <v/>
      </c>
      <c r="E157" s="15" t="str">
        <f>IF(A157="","",掉落_design!D128)</f>
        <v/>
      </c>
      <c r="F157" s="16" t="str">
        <f ca="1">IF(OFFSET(掉落_design!$E128,0,掉落_design!E$2,1,1)="","",OFFSET(掉落_design!$E128,0,掉落_design!E$2,1,1)&amp;";"&amp;OFFSET(掉落_design!$E128,0,掉落_design!E$2+1,1,1)&amp;";"&amp;OFFSET(掉落_design!$E128,0,掉落_design!E$2+2,1,1)&amp;";"&amp;OFFSET(掉落_design!$E128,0,掉落_design!E$2+3,1,1))</f>
        <v/>
      </c>
      <c r="G157" s="16" t="str">
        <f ca="1">IF(OFFSET(掉落_design!$E128,0,掉落_design!F$2,1,1)="","",OFFSET(掉落_design!$E128,0,掉落_design!F$2,1,1)&amp;";"&amp;OFFSET(掉落_design!$E128,0,掉落_design!F$2+1,1,1)&amp;";"&amp;OFFSET(掉落_design!$E128,0,掉落_design!F$2+2,1,1)&amp;";"&amp;OFFSET(掉落_design!$E128,0,掉落_design!F$2+3,1,1))</f>
        <v/>
      </c>
      <c r="H157" s="16" t="str">
        <f ca="1">IF(OFFSET(掉落_design!$E128,0,掉落_design!G$2,1,1)="","",OFFSET(掉落_design!$E128,0,掉落_design!G$2,1,1)&amp;";"&amp;OFFSET(掉落_design!$E128,0,掉落_design!G$2+1,1,1)&amp;";"&amp;OFFSET(掉落_design!$E128,0,掉落_design!G$2+2,1,1)&amp;";"&amp;OFFSET(掉落_design!$E128,0,掉落_design!G$2+3,1,1))</f>
        <v/>
      </c>
      <c r="I157" s="16" t="str">
        <f ca="1">IF(OFFSET(掉落_design!$E128,0,掉落_design!H$2,1,1)="","",OFFSET(掉落_design!$E128,0,掉落_design!H$2,1,1)&amp;";"&amp;OFFSET(掉落_design!$E128,0,掉落_design!H$2+1,1,1)&amp;";"&amp;OFFSET(掉落_design!$E128,0,掉落_design!H$2+2,1,1)&amp;";"&amp;OFFSET(掉落_design!$E128,0,掉落_design!H$2+3,1,1))</f>
        <v/>
      </c>
      <c r="J157" s="16" t="str">
        <f ca="1">IF(OFFSET(掉落_design!$E128,0,掉落_design!I$2,1,1)="","",OFFSET(掉落_design!$E128,0,掉落_design!I$2,1,1)&amp;";"&amp;OFFSET(掉落_design!$E128,0,掉落_design!I$2+1,1,1)&amp;";"&amp;OFFSET(掉落_design!$E128,0,掉落_design!I$2+2,1,1)&amp;";"&amp;OFFSET(掉落_design!$E128,0,掉落_design!I$2+3,1,1))</f>
        <v/>
      </c>
      <c r="K157" s="16" t="str">
        <f ca="1">IF(OFFSET(掉落_design!$E128,0,掉落_design!J$2,1,1)="","",OFFSET(掉落_design!$E128,0,掉落_design!J$2,1,1)&amp;";"&amp;OFFSET(掉落_design!$E128,0,掉落_design!J$2+1,1,1)&amp;";"&amp;OFFSET(掉落_design!$E128,0,掉落_design!J$2+2,1,1)&amp;";"&amp;OFFSET(掉落_design!$E128,0,掉落_design!J$2+3,1,1))</f>
        <v/>
      </c>
      <c r="L157" s="16" t="str">
        <f ca="1">IF(OFFSET(掉落_design!$E128,0,掉落_design!K$2,1,1)="","",OFFSET(掉落_design!$E128,0,掉落_design!K$2,1,1)&amp;";"&amp;OFFSET(掉落_design!$E128,0,掉落_design!K$2+1,1,1)&amp;";"&amp;OFFSET(掉落_design!$E128,0,掉落_design!K$2+2,1,1)&amp;";"&amp;OFFSET(掉落_design!$E128,0,掉落_design!K$2+3,1,1))</f>
        <v/>
      </c>
      <c r="M157" s="16" t="str">
        <f ca="1">IF(OFFSET(掉落_design!$E128,0,掉落_design!L$2,1,1)="","",OFFSET(掉落_design!$E128,0,掉落_design!L$2,1,1)&amp;";"&amp;OFFSET(掉落_design!$E128,0,掉落_design!L$2+1,1,1)&amp;";"&amp;OFFSET(掉落_design!$E128,0,掉落_design!L$2+2,1,1)&amp;";"&amp;OFFSET(掉落_design!$E128,0,掉落_design!L$2+3,1,1))</f>
        <v/>
      </c>
      <c r="N157" s="16" t="str">
        <f ca="1">IF(OFFSET(掉落_design!$E128,0,掉落_design!M$2,1,1)="","",OFFSET(掉落_design!$E128,0,掉落_design!M$2,1,1)&amp;";"&amp;OFFSET(掉落_design!$E128,0,掉落_design!M$2+1,1,1)&amp;";"&amp;OFFSET(掉落_design!$E128,0,掉落_design!M$2+2,1,1)&amp;";"&amp;OFFSET(掉落_design!$E128,0,掉落_design!M$2+3,1,1))</f>
        <v/>
      </c>
      <c r="O157" s="16" t="str">
        <f ca="1">IF(OFFSET(掉落_design!$E128,0,掉落_design!N$2,1,1)="","",OFFSET(掉落_design!$E128,0,掉落_design!N$2,1,1)&amp;";"&amp;OFFSET(掉落_design!$E128,0,掉落_design!N$2+1,1,1)&amp;";"&amp;OFFSET(掉落_design!$E128,0,掉落_design!N$2+2,1,1)&amp;";"&amp;OFFSET(掉落_design!$E128,0,掉落_design!N$2+3,1,1))</f>
        <v/>
      </c>
      <c r="P157" s="16" t="str">
        <f ca="1">IF(OFFSET(掉落_design!$E128,0,掉落_design!O$2,1,1)="","",OFFSET(掉落_design!$E128,0,掉落_design!O$2,1,1)&amp;";"&amp;OFFSET(掉落_design!$E128,0,掉落_design!O$2+1,1,1)&amp;";"&amp;OFFSET(掉落_design!$E128,0,掉落_design!O$2+2,1,1)&amp;";"&amp;OFFSET(掉落_design!$E128,0,掉落_design!O$2+3,1,1))</f>
        <v/>
      </c>
      <c r="Q157" s="25"/>
      <c r="R157" s="25"/>
      <c r="S157" s="25"/>
    </row>
    <row r="158" spans="1:19" x14ac:dyDescent="0.15">
      <c r="A158" s="11" t="str">
        <f t="shared" si="32"/>
        <v/>
      </c>
      <c r="B158" s="25"/>
      <c r="C158" s="25"/>
      <c r="D158" s="15" t="str">
        <f>IF(掉落_design!C129="","",掉落_design!C129)</f>
        <v/>
      </c>
      <c r="E158" s="15" t="str">
        <f>IF(A158="","",掉落_design!D129)</f>
        <v/>
      </c>
      <c r="F158" s="16" t="str">
        <f ca="1">IF(OFFSET(掉落_design!$E129,0,掉落_design!E$2,1,1)="","",OFFSET(掉落_design!$E129,0,掉落_design!E$2,1,1)&amp;";"&amp;OFFSET(掉落_design!$E129,0,掉落_design!E$2+1,1,1)&amp;";"&amp;OFFSET(掉落_design!$E129,0,掉落_design!E$2+2,1,1)&amp;";"&amp;OFFSET(掉落_design!$E129,0,掉落_design!E$2+3,1,1))</f>
        <v/>
      </c>
      <c r="G158" s="16" t="str">
        <f ca="1">IF(OFFSET(掉落_design!$E129,0,掉落_design!F$2,1,1)="","",OFFSET(掉落_design!$E129,0,掉落_design!F$2,1,1)&amp;";"&amp;OFFSET(掉落_design!$E129,0,掉落_design!F$2+1,1,1)&amp;";"&amp;OFFSET(掉落_design!$E129,0,掉落_design!F$2+2,1,1)&amp;";"&amp;OFFSET(掉落_design!$E129,0,掉落_design!F$2+3,1,1))</f>
        <v/>
      </c>
      <c r="H158" s="16" t="str">
        <f ca="1">IF(OFFSET(掉落_design!$E129,0,掉落_design!G$2,1,1)="","",OFFSET(掉落_design!$E129,0,掉落_design!G$2,1,1)&amp;";"&amp;OFFSET(掉落_design!$E129,0,掉落_design!G$2+1,1,1)&amp;";"&amp;OFFSET(掉落_design!$E129,0,掉落_design!G$2+2,1,1)&amp;";"&amp;OFFSET(掉落_design!$E129,0,掉落_design!G$2+3,1,1))</f>
        <v/>
      </c>
      <c r="I158" s="16" t="str">
        <f ca="1">IF(OFFSET(掉落_design!$E129,0,掉落_design!H$2,1,1)="","",OFFSET(掉落_design!$E129,0,掉落_design!H$2,1,1)&amp;";"&amp;OFFSET(掉落_design!$E129,0,掉落_design!H$2+1,1,1)&amp;";"&amp;OFFSET(掉落_design!$E129,0,掉落_design!H$2+2,1,1)&amp;";"&amp;OFFSET(掉落_design!$E129,0,掉落_design!H$2+3,1,1))</f>
        <v/>
      </c>
      <c r="J158" s="16" t="str">
        <f ca="1">IF(OFFSET(掉落_design!$E129,0,掉落_design!I$2,1,1)="","",OFFSET(掉落_design!$E129,0,掉落_design!I$2,1,1)&amp;";"&amp;OFFSET(掉落_design!$E129,0,掉落_design!I$2+1,1,1)&amp;";"&amp;OFFSET(掉落_design!$E129,0,掉落_design!I$2+2,1,1)&amp;";"&amp;OFFSET(掉落_design!$E129,0,掉落_design!I$2+3,1,1))</f>
        <v/>
      </c>
      <c r="K158" s="16" t="str">
        <f ca="1">IF(OFFSET(掉落_design!$E129,0,掉落_design!J$2,1,1)="","",OFFSET(掉落_design!$E129,0,掉落_design!J$2,1,1)&amp;";"&amp;OFFSET(掉落_design!$E129,0,掉落_design!J$2+1,1,1)&amp;";"&amp;OFFSET(掉落_design!$E129,0,掉落_design!J$2+2,1,1)&amp;";"&amp;OFFSET(掉落_design!$E129,0,掉落_design!J$2+3,1,1))</f>
        <v/>
      </c>
      <c r="L158" s="16" t="str">
        <f ca="1">IF(OFFSET(掉落_design!$E129,0,掉落_design!K$2,1,1)="","",OFFSET(掉落_design!$E129,0,掉落_design!K$2,1,1)&amp;";"&amp;OFFSET(掉落_design!$E129,0,掉落_design!K$2+1,1,1)&amp;";"&amp;OFFSET(掉落_design!$E129,0,掉落_design!K$2+2,1,1)&amp;";"&amp;OFFSET(掉落_design!$E129,0,掉落_design!K$2+3,1,1))</f>
        <v/>
      </c>
      <c r="M158" s="16" t="str">
        <f ca="1">IF(OFFSET(掉落_design!$E129,0,掉落_design!L$2,1,1)="","",OFFSET(掉落_design!$E129,0,掉落_design!L$2,1,1)&amp;";"&amp;OFFSET(掉落_design!$E129,0,掉落_design!L$2+1,1,1)&amp;";"&amp;OFFSET(掉落_design!$E129,0,掉落_design!L$2+2,1,1)&amp;";"&amp;OFFSET(掉落_design!$E129,0,掉落_design!L$2+3,1,1))</f>
        <v/>
      </c>
      <c r="N158" s="16" t="str">
        <f ca="1">IF(OFFSET(掉落_design!$E129,0,掉落_design!M$2,1,1)="","",OFFSET(掉落_design!$E129,0,掉落_design!M$2,1,1)&amp;";"&amp;OFFSET(掉落_design!$E129,0,掉落_design!M$2+1,1,1)&amp;";"&amp;OFFSET(掉落_design!$E129,0,掉落_design!M$2+2,1,1)&amp;";"&amp;OFFSET(掉落_design!$E129,0,掉落_design!M$2+3,1,1))</f>
        <v/>
      </c>
      <c r="O158" s="16" t="str">
        <f ca="1">IF(OFFSET(掉落_design!$E129,0,掉落_design!N$2,1,1)="","",OFFSET(掉落_design!$E129,0,掉落_design!N$2,1,1)&amp;";"&amp;OFFSET(掉落_design!$E129,0,掉落_design!N$2+1,1,1)&amp;";"&amp;OFFSET(掉落_design!$E129,0,掉落_design!N$2+2,1,1)&amp;";"&amp;OFFSET(掉落_design!$E129,0,掉落_design!N$2+3,1,1))</f>
        <v/>
      </c>
      <c r="P158" s="16" t="str">
        <f ca="1">IF(OFFSET(掉落_design!$E129,0,掉落_design!O$2,1,1)="","",OFFSET(掉落_design!$E129,0,掉落_design!O$2,1,1)&amp;";"&amp;OFFSET(掉落_design!$E129,0,掉落_design!O$2+1,1,1)&amp;";"&amp;OFFSET(掉落_design!$E129,0,掉落_design!O$2+2,1,1)&amp;";"&amp;OFFSET(掉落_design!$E129,0,掉落_design!O$2+3,1,1))</f>
        <v/>
      </c>
      <c r="Q158" s="25"/>
      <c r="R158" s="25"/>
      <c r="S158" s="25"/>
    </row>
    <row r="159" spans="1:19" x14ac:dyDescent="0.15">
      <c r="A159" s="11" t="str">
        <f t="shared" si="32"/>
        <v/>
      </c>
      <c r="B159" s="25"/>
      <c r="C159" s="25"/>
      <c r="D159" s="15" t="str">
        <f>IF(掉落_design!C130="","",掉落_design!C130)</f>
        <v/>
      </c>
      <c r="E159" s="15" t="str">
        <f>IF(A159="","",掉落_design!D130)</f>
        <v/>
      </c>
      <c r="F159" s="16" t="str">
        <f ca="1">IF(OFFSET(掉落_design!$E130,0,掉落_design!E$2,1,1)="","",OFFSET(掉落_design!$E130,0,掉落_design!E$2,1,1)&amp;";"&amp;OFFSET(掉落_design!$E130,0,掉落_design!E$2+1,1,1)&amp;";"&amp;OFFSET(掉落_design!$E130,0,掉落_design!E$2+2,1,1)&amp;";"&amp;OFFSET(掉落_design!$E130,0,掉落_design!E$2+3,1,1))</f>
        <v/>
      </c>
      <c r="G159" s="16" t="str">
        <f ca="1">IF(OFFSET(掉落_design!$E130,0,掉落_design!F$2,1,1)="","",OFFSET(掉落_design!$E130,0,掉落_design!F$2,1,1)&amp;";"&amp;OFFSET(掉落_design!$E130,0,掉落_design!F$2+1,1,1)&amp;";"&amp;OFFSET(掉落_design!$E130,0,掉落_design!F$2+2,1,1)&amp;";"&amp;OFFSET(掉落_design!$E130,0,掉落_design!F$2+3,1,1))</f>
        <v/>
      </c>
      <c r="H159" s="16" t="str">
        <f ca="1">IF(OFFSET(掉落_design!$E130,0,掉落_design!G$2,1,1)="","",OFFSET(掉落_design!$E130,0,掉落_design!G$2,1,1)&amp;";"&amp;OFFSET(掉落_design!$E130,0,掉落_design!G$2+1,1,1)&amp;";"&amp;OFFSET(掉落_design!$E130,0,掉落_design!G$2+2,1,1)&amp;";"&amp;OFFSET(掉落_design!$E130,0,掉落_design!G$2+3,1,1))</f>
        <v/>
      </c>
      <c r="I159" s="16" t="str">
        <f ca="1">IF(OFFSET(掉落_design!$E130,0,掉落_design!H$2,1,1)="","",OFFSET(掉落_design!$E130,0,掉落_design!H$2,1,1)&amp;";"&amp;OFFSET(掉落_design!$E130,0,掉落_design!H$2+1,1,1)&amp;";"&amp;OFFSET(掉落_design!$E130,0,掉落_design!H$2+2,1,1)&amp;";"&amp;OFFSET(掉落_design!$E130,0,掉落_design!H$2+3,1,1))</f>
        <v/>
      </c>
      <c r="J159" s="16" t="str">
        <f ca="1">IF(OFFSET(掉落_design!$E130,0,掉落_design!I$2,1,1)="","",OFFSET(掉落_design!$E130,0,掉落_design!I$2,1,1)&amp;";"&amp;OFFSET(掉落_design!$E130,0,掉落_design!I$2+1,1,1)&amp;";"&amp;OFFSET(掉落_design!$E130,0,掉落_design!I$2+2,1,1)&amp;";"&amp;OFFSET(掉落_design!$E130,0,掉落_design!I$2+3,1,1))</f>
        <v/>
      </c>
      <c r="K159" s="16" t="str">
        <f ca="1">IF(OFFSET(掉落_design!$E130,0,掉落_design!J$2,1,1)="","",OFFSET(掉落_design!$E130,0,掉落_design!J$2,1,1)&amp;";"&amp;OFFSET(掉落_design!$E130,0,掉落_design!J$2+1,1,1)&amp;";"&amp;OFFSET(掉落_design!$E130,0,掉落_design!J$2+2,1,1)&amp;";"&amp;OFFSET(掉落_design!$E130,0,掉落_design!J$2+3,1,1))</f>
        <v/>
      </c>
      <c r="L159" s="16" t="str">
        <f ca="1">IF(OFFSET(掉落_design!$E130,0,掉落_design!K$2,1,1)="","",OFFSET(掉落_design!$E130,0,掉落_design!K$2,1,1)&amp;";"&amp;OFFSET(掉落_design!$E130,0,掉落_design!K$2+1,1,1)&amp;";"&amp;OFFSET(掉落_design!$E130,0,掉落_design!K$2+2,1,1)&amp;";"&amp;OFFSET(掉落_design!$E130,0,掉落_design!K$2+3,1,1))</f>
        <v/>
      </c>
      <c r="M159" s="16" t="str">
        <f ca="1">IF(OFFSET(掉落_design!$E130,0,掉落_design!L$2,1,1)="","",OFFSET(掉落_design!$E130,0,掉落_design!L$2,1,1)&amp;";"&amp;OFFSET(掉落_design!$E130,0,掉落_design!L$2+1,1,1)&amp;";"&amp;OFFSET(掉落_design!$E130,0,掉落_design!L$2+2,1,1)&amp;";"&amp;OFFSET(掉落_design!$E130,0,掉落_design!L$2+3,1,1))</f>
        <v/>
      </c>
      <c r="N159" s="16" t="str">
        <f ca="1">IF(OFFSET(掉落_design!$E130,0,掉落_design!M$2,1,1)="","",OFFSET(掉落_design!$E130,0,掉落_design!M$2,1,1)&amp;";"&amp;OFFSET(掉落_design!$E130,0,掉落_design!M$2+1,1,1)&amp;";"&amp;OFFSET(掉落_design!$E130,0,掉落_design!M$2+2,1,1)&amp;";"&amp;OFFSET(掉落_design!$E130,0,掉落_design!M$2+3,1,1))</f>
        <v/>
      </c>
      <c r="O159" s="16" t="str">
        <f ca="1">IF(OFFSET(掉落_design!$E130,0,掉落_design!N$2,1,1)="","",OFFSET(掉落_design!$E130,0,掉落_design!N$2,1,1)&amp;";"&amp;OFFSET(掉落_design!$E130,0,掉落_design!N$2+1,1,1)&amp;";"&amp;OFFSET(掉落_design!$E130,0,掉落_design!N$2+2,1,1)&amp;";"&amp;OFFSET(掉落_design!$E130,0,掉落_design!N$2+3,1,1))</f>
        <v/>
      </c>
      <c r="P159" s="16" t="str">
        <f ca="1">IF(OFFSET(掉落_design!$E130,0,掉落_design!O$2,1,1)="","",OFFSET(掉落_design!$E130,0,掉落_design!O$2,1,1)&amp;";"&amp;OFFSET(掉落_design!$E130,0,掉落_design!O$2+1,1,1)&amp;";"&amp;OFFSET(掉落_design!$E130,0,掉落_design!O$2+2,1,1)&amp;";"&amp;OFFSET(掉落_design!$E130,0,掉落_design!O$2+3,1,1))</f>
        <v/>
      </c>
      <c r="Q159" s="25"/>
      <c r="R159" s="25"/>
      <c r="S159" s="25"/>
    </row>
    <row r="160" spans="1:19" x14ac:dyDescent="0.15">
      <c r="A160" s="11" t="str">
        <f t="shared" si="32"/>
        <v/>
      </c>
      <c r="B160" s="25"/>
      <c r="C160" s="25"/>
      <c r="D160" s="15" t="str">
        <f>IF(掉落_design!C131="","",掉落_design!C131)</f>
        <v/>
      </c>
      <c r="E160" s="15" t="str">
        <f>IF(A160="","",掉落_design!D131)</f>
        <v/>
      </c>
      <c r="F160" s="16" t="str">
        <f ca="1">IF(OFFSET(掉落_design!$E131,0,掉落_design!E$2,1,1)="","",OFFSET(掉落_design!$E131,0,掉落_design!E$2,1,1)&amp;";"&amp;OFFSET(掉落_design!$E131,0,掉落_design!E$2+1,1,1)&amp;";"&amp;OFFSET(掉落_design!$E131,0,掉落_design!E$2+2,1,1)&amp;";"&amp;OFFSET(掉落_design!$E131,0,掉落_design!E$2+3,1,1))</f>
        <v/>
      </c>
      <c r="G160" s="16" t="str">
        <f ca="1">IF(OFFSET(掉落_design!$E131,0,掉落_design!F$2,1,1)="","",OFFSET(掉落_design!$E131,0,掉落_design!F$2,1,1)&amp;";"&amp;OFFSET(掉落_design!$E131,0,掉落_design!F$2+1,1,1)&amp;";"&amp;OFFSET(掉落_design!$E131,0,掉落_design!F$2+2,1,1)&amp;";"&amp;OFFSET(掉落_design!$E131,0,掉落_design!F$2+3,1,1))</f>
        <v/>
      </c>
      <c r="H160" s="16" t="str">
        <f ca="1">IF(OFFSET(掉落_design!$E131,0,掉落_design!G$2,1,1)="","",OFFSET(掉落_design!$E131,0,掉落_design!G$2,1,1)&amp;";"&amp;OFFSET(掉落_design!$E131,0,掉落_design!G$2+1,1,1)&amp;";"&amp;OFFSET(掉落_design!$E131,0,掉落_design!G$2+2,1,1)&amp;";"&amp;OFFSET(掉落_design!$E131,0,掉落_design!G$2+3,1,1))</f>
        <v/>
      </c>
      <c r="I160" s="16" t="str">
        <f ca="1">IF(OFFSET(掉落_design!$E131,0,掉落_design!H$2,1,1)="","",OFFSET(掉落_design!$E131,0,掉落_design!H$2,1,1)&amp;";"&amp;OFFSET(掉落_design!$E131,0,掉落_design!H$2+1,1,1)&amp;";"&amp;OFFSET(掉落_design!$E131,0,掉落_design!H$2+2,1,1)&amp;";"&amp;OFFSET(掉落_design!$E131,0,掉落_design!H$2+3,1,1))</f>
        <v/>
      </c>
      <c r="J160" s="16" t="str">
        <f ca="1">IF(OFFSET(掉落_design!$E131,0,掉落_design!I$2,1,1)="","",OFFSET(掉落_design!$E131,0,掉落_design!I$2,1,1)&amp;";"&amp;OFFSET(掉落_design!$E131,0,掉落_design!I$2+1,1,1)&amp;";"&amp;OFFSET(掉落_design!$E131,0,掉落_design!I$2+2,1,1)&amp;";"&amp;OFFSET(掉落_design!$E131,0,掉落_design!I$2+3,1,1))</f>
        <v/>
      </c>
      <c r="K160" s="16" t="str">
        <f ca="1">IF(OFFSET(掉落_design!$E131,0,掉落_design!J$2,1,1)="","",OFFSET(掉落_design!$E131,0,掉落_design!J$2,1,1)&amp;";"&amp;OFFSET(掉落_design!$E131,0,掉落_design!J$2+1,1,1)&amp;";"&amp;OFFSET(掉落_design!$E131,0,掉落_design!J$2+2,1,1)&amp;";"&amp;OFFSET(掉落_design!$E131,0,掉落_design!J$2+3,1,1))</f>
        <v/>
      </c>
      <c r="L160" s="16" t="str">
        <f ca="1">IF(OFFSET(掉落_design!$E131,0,掉落_design!K$2,1,1)="","",OFFSET(掉落_design!$E131,0,掉落_design!K$2,1,1)&amp;";"&amp;OFFSET(掉落_design!$E131,0,掉落_design!K$2+1,1,1)&amp;";"&amp;OFFSET(掉落_design!$E131,0,掉落_design!K$2+2,1,1)&amp;";"&amp;OFFSET(掉落_design!$E131,0,掉落_design!K$2+3,1,1))</f>
        <v/>
      </c>
      <c r="M160" s="16" t="str">
        <f ca="1">IF(OFFSET(掉落_design!$E131,0,掉落_design!L$2,1,1)="","",OFFSET(掉落_design!$E131,0,掉落_design!L$2,1,1)&amp;";"&amp;OFFSET(掉落_design!$E131,0,掉落_design!L$2+1,1,1)&amp;";"&amp;OFFSET(掉落_design!$E131,0,掉落_design!L$2+2,1,1)&amp;";"&amp;OFFSET(掉落_design!$E131,0,掉落_design!L$2+3,1,1))</f>
        <v/>
      </c>
      <c r="N160" s="16" t="str">
        <f ca="1">IF(OFFSET(掉落_design!$E131,0,掉落_design!M$2,1,1)="","",OFFSET(掉落_design!$E131,0,掉落_design!M$2,1,1)&amp;";"&amp;OFFSET(掉落_design!$E131,0,掉落_design!M$2+1,1,1)&amp;";"&amp;OFFSET(掉落_design!$E131,0,掉落_design!M$2+2,1,1)&amp;";"&amp;OFFSET(掉落_design!$E131,0,掉落_design!M$2+3,1,1))</f>
        <v/>
      </c>
      <c r="O160" s="16" t="str">
        <f ca="1">IF(OFFSET(掉落_design!$E131,0,掉落_design!N$2,1,1)="","",OFFSET(掉落_design!$E131,0,掉落_design!N$2,1,1)&amp;";"&amp;OFFSET(掉落_design!$E131,0,掉落_design!N$2+1,1,1)&amp;";"&amp;OFFSET(掉落_design!$E131,0,掉落_design!N$2+2,1,1)&amp;";"&amp;OFFSET(掉落_design!$E131,0,掉落_design!N$2+3,1,1))</f>
        <v/>
      </c>
      <c r="P160" s="16" t="str">
        <f ca="1">IF(OFFSET(掉落_design!$E131,0,掉落_design!O$2,1,1)="","",OFFSET(掉落_design!$E131,0,掉落_design!O$2,1,1)&amp;";"&amp;OFFSET(掉落_design!$E131,0,掉落_design!O$2+1,1,1)&amp;";"&amp;OFFSET(掉落_design!$E131,0,掉落_design!O$2+2,1,1)&amp;";"&amp;OFFSET(掉落_design!$E131,0,掉落_design!O$2+3,1,1))</f>
        <v/>
      </c>
      <c r="Q160" s="25"/>
      <c r="R160" s="25"/>
      <c r="S160" s="25"/>
    </row>
    <row r="161" spans="1:19" x14ac:dyDescent="0.15">
      <c r="A161" s="11" t="str">
        <f t="shared" si="32"/>
        <v/>
      </c>
      <c r="B161" s="25"/>
      <c r="C161" s="25"/>
      <c r="D161" s="15" t="str">
        <f>IF(掉落_design!C132="","",掉落_design!C132)</f>
        <v/>
      </c>
      <c r="E161" s="15" t="str">
        <f>IF(A161="","",掉落_design!D132)</f>
        <v/>
      </c>
      <c r="F161" s="16" t="str">
        <f ca="1">IF(OFFSET(掉落_design!$E132,0,掉落_design!E$2,1,1)="","",OFFSET(掉落_design!$E132,0,掉落_design!E$2,1,1)&amp;";"&amp;OFFSET(掉落_design!$E132,0,掉落_design!E$2+1,1,1)&amp;";"&amp;OFFSET(掉落_design!$E132,0,掉落_design!E$2+2,1,1)&amp;";"&amp;OFFSET(掉落_design!$E132,0,掉落_design!E$2+3,1,1))</f>
        <v/>
      </c>
      <c r="G161" s="16" t="str">
        <f ca="1">IF(OFFSET(掉落_design!$E132,0,掉落_design!F$2,1,1)="","",OFFSET(掉落_design!$E132,0,掉落_design!F$2,1,1)&amp;";"&amp;OFFSET(掉落_design!$E132,0,掉落_design!F$2+1,1,1)&amp;";"&amp;OFFSET(掉落_design!$E132,0,掉落_design!F$2+2,1,1)&amp;";"&amp;OFFSET(掉落_design!$E132,0,掉落_design!F$2+3,1,1))</f>
        <v/>
      </c>
      <c r="H161" s="16" t="str">
        <f ca="1">IF(OFFSET(掉落_design!$E132,0,掉落_design!G$2,1,1)="","",OFFSET(掉落_design!$E132,0,掉落_design!G$2,1,1)&amp;";"&amp;OFFSET(掉落_design!$E132,0,掉落_design!G$2+1,1,1)&amp;";"&amp;OFFSET(掉落_design!$E132,0,掉落_design!G$2+2,1,1)&amp;";"&amp;OFFSET(掉落_design!$E132,0,掉落_design!G$2+3,1,1))</f>
        <v/>
      </c>
      <c r="I161" s="16" t="str">
        <f ca="1">IF(OFFSET(掉落_design!$E132,0,掉落_design!H$2,1,1)="","",OFFSET(掉落_design!$E132,0,掉落_design!H$2,1,1)&amp;";"&amp;OFFSET(掉落_design!$E132,0,掉落_design!H$2+1,1,1)&amp;";"&amp;OFFSET(掉落_design!$E132,0,掉落_design!H$2+2,1,1)&amp;";"&amp;OFFSET(掉落_design!$E132,0,掉落_design!H$2+3,1,1))</f>
        <v/>
      </c>
      <c r="J161" s="16" t="str">
        <f ca="1">IF(OFFSET(掉落_design!$E132,0,掉落_design!I$2,1,1)="","",OFFSET(掉落_design!$E132,0,掉落_design!I$2,1,1)&amp;";"&amp;OFFSET(掉落_design!$E132,0,掉落_design!I$2+1,1,1)&amp;";"&amp;OFFSET(掉落_design!$E132,0,掉落_design!I$2+2,1,1)&amp;";"&amp;OFFSET(掉落_design!$E132,0,掉落_design!I$2+3,1,1))</f>
        <v/>
      </c>
      <c r="K161" s="16" t="str">
        <f ca="1">IF(OFFSET(掉落_design!$E132,0,掉落_design!J$2,1,1)="","",OFFSET(掉落_design!$E132,0,掉落_design!J$2,1,1)&amp;";"&amp;OFFSET(掉落_design!$E132,0,掉落_design!J$2+1,1,1)&amp;";"&amp;OFFSET(掉落_design!$E132,0,掉落_design!J$2+2,1,1)&amp;";"&amp;OFFSET(掉落_design!$E132,0,掉落_design!J$2+3,1,1))</f>
        <v/>
      </c>
      <c r="L161" s="16" t="str">
        <f ca="1">IF(OFFSET(掉落_design!$E132,0,掉落_design!K$2,1,1)="","",OFFSET(掉落_design!$E132,0,掉落_design!K$2,1,1)&amp;";"&amp;OFFSET(掉落_design!$E132,0,掉落_design!K$2+1,1,1)&amp;";"&amp;OFFSET(掉落_design!$E132,0,掉落_design!K$2+2,1,1)&amp;";"&amp;OFFSET(掉落_design!$E132,0,掉落_design!K$2+3,1,1))</f>
        <v/>
      </c>
      <c r="M161" s="16" t="str">
        <f ca="1">IF(OFFSET(掉落_design!$E132,0,掉落_design!L$2,1,1)="","",OFFSET(掉落_design!$E132,0,掉落_design!L$2,1,1)&amp;";"&amp;OFFSET(掉落_design!$E132,0,掉落_design!L$2+1,1,1)&amp;";"&amp;OFFSET(掉落_design!$E132,0,掉落_design!L$2+2,1,1)&amp;";"&amp;OFFSET(掉落_design!$E132,0,掉落_design!L$2+3,1,1))</f>
        <v/>
      </c>
      <c r="N161" s="16" t="str">
        <f ca="1">IF(OFFSET(掉落_design!$E132,0,掉落_design!M$2,1,1)="","",OFFSET(掉落_design!$E132,0,掉落_design!M$2,1,1)&amp;";"&amp;OFFSET(掉落_design!$E132,0,掉落_design!M$2+1,1,1)&amp;";"&amp;OFFSET(掉落_design!$E132,0,掉落_design!M$2+2,1,1)&amp;";"&amp;OFFSET(掉落_design!$E132,0,掉落_design!M$2+3,1,1))</f>
        <v/>
      </c>
      <c r="O161" s="16" t="str">
        <f ca="1">IF(OFFSET(掉落_design!$E132,0,掉落_design!N$2,1,1)="","",OFFSET(掉落_design!$E132,0,掉落_design!N$2,1,1)&amp;";"&amp;OFFSET(掉落_design!$E132,0,掉落_design!N$2+1,1,1)&amp;";"&amp;OFFSET(掉落_design!$E132,0,掉落_design!N$2+2,1,1)&amp;";"&amp;OFFSET(掉落_design!$E132,0,掉落_design!N$2+3,1,1))</f>
        <v/>
      </c>
      <c r="P161" s="16" t="str">
        <f ca="1">IF(OFFSET(掉落_design!$E132,0,掉落_design!O$2,1,1)="","",OFFSET(掉落_design!$E132,0,掉落_design!O$2,1,1)&amp;";"&amp;OFFSET(掉落_design!$E132,0,掉落_design!O$2+1,1,1)&amp;";"&amp;OFFSET(掉落_design!$E132,0,掉落_design!O$2+2,1,1)&amp;";"&amp;OFFSET(掉落_design!$E132,0,掉落_design!O$2+3,1,1))</f>
        <v/>
      </c>
      <c r="Q161" s="25"/>
      <c r="R161" s="25"/>
      <c r="S161" s="25"/>
    </row>
    <row r="162" spans="1:19" x14ac:dyDescent="0.15">
      <c r="A162" s="11" t="str">
        <f t="shared" si="32"/>
        <v/>
      </c>
      <c r="B162" s="25"/>
      <c r="C162" s="25"/>
      <c r="D162" s="15" t="str">
        <f>IF(掉落_design!C133="","",掉落_design!C133)</f>
        <v/>
      </c>
      <c r="E162" s="15" t="str">
        <f>IF(A162="","",掉落_design!D133)</f>
        <v/>
      </c>
      <c r="F162" s="16" t="str">
        <f ca="1">IF(OFFSET(掉落_design!$E133,0,掉落_design!E$2,1,1)="","",OFFSET(掉落_design!$E133,0,掉落_design!E$2,1,1)&amp;";"&amp;OFFSET(掉落_design!$E133,0,掉落_design!E$2+1,1,1)&amp;";"&amp;OFFSET(掉落_design!$E133,0,掉落_design!E$2+2,1,1)&amp;";"&amp;OFFSET(掉落_design!$E133,0,掉落_design!E$2+3,1,1))</f>
        <v/>
      </c>
      <c r="G162" s="16" t="str">
        <f ca="1">IF(OFFSET(掉落_design!$E133,0,掉落_design!F$2,1,1)="","",OFFSET(掉落_design!$E133,0,掉落_design!F$2,1,1)&amp;";"&amp;OFFSET(掉落_design!$E133,0,掉落_design!F$2+1,1,1)&amp;";"&amp;OFFSET(掉落_design!$E133,0,掉落_design!F$2+2,1,1)&amp;";"&amp;OFFSET(掉落_design!$E133,0,掉落_design!F$2+3,1,1))</f>
        <v/>
      </c>
      <c r="H162" s="16" t="str">
        <f ca="1">IF(OFFSET(掉落_design!$E133,0,掉落_design!G$2,1,1)="","",OFFSET(掉落_design!$E133,0,掉落_design!G$2,1,1)&amp;";"&amp;OFFSET(掉落_design!$E133,0,掉落_design!G$2+1,1,1)&amp;";"&amp;OFFSET(掉落_design!$E133,0,掉落_design!G$2+2,1,1)&amp;";"&amp;OFFSET(掉落_design!$E133,0,掉落_design!G$2+3,1,1))</f>
        <v/>
      </c>
      <c r="I162" s="16" t="str">
        <f ca="1">IF(OFFSET(掉落_design!$E133,0,掉落_design!H$2,1,1)="","",OFFSET(掉落_design!$E133,0,掉落_design!H$2,1,1)&amp;";"&amp;OFFSET(掉落_design!$E133,0,掉落_design!H$2+1,1,1)&amp;";"&amp;OFFSET(掉落_design!$E133,0,掉落_design!H$2+2,1,1)&amp;";"&amp;OFFSET(掉落_design!$E133,0,掉落_design!H$2+3,1,1))</f>
        <v/>
      </c>
      <c r="J162" s="16" t="str">
        <f ca="1">IF(OFFSET(掉落_design!$E133,0,掉落_design!I$2,1,1)="","",OFFSET(掉落_design!$E133,0,掉落_design!I$2,1,1)&amp;";"&amp;OFFSET(掉落_design!$E133,0,掉落_design!I$2+1,1,1)&amp;";"&amp;OFFSET(掉落_design!$E133,0,掉落_design!I$2+2,1,1)&amp;";"&amp;OFFSET(掉落_design!$E133,0,掉落_design!I$2+3,1,1))</f>
        <v/>
      </c>
      <c r="K162" s="16" t="str">
        <f ca="1">IF(OFFSET(掉落_design!$E133,0,掉落_design!J$2,1,1)="","",OFFSET(掉落_design!$E133,0,掉落_design!J$2,1,1)&amp;";"&amp;OFFSET(掉落_design!$E133,0,掉落_design!J$2+1,1,1)&amp;";"&amp;OFFSET(掉落_design!$E133,0,掉落_design!J$2+2,1,1)&amp;";"&amp;OFFSET(掉落_design!$E133,0,掉落_design!J$2+3,1,1))</f>
        <v/>
      </c>
      <c r="L162" s="16" t="str">
        <f ca="1">IF(OFFSET(掉落_design!$E133,0,掉落_design!K$2,1,1)="","",OFFSET(掉落_design!$E133,0,掉落_design!K$2,1,1)&amp;";"&amp;OFFSET(掉落_design!$E133,0,掉落_design!K$2+1,1,1)&amp;";"&amp;OFFSET(掉落_design!$E133,0,掉落_design!K$2+2,1,1)&amp;";"&amp;OFFSET(掉落_design!$E133,0,掉落_design!K$2+3,1,1))</f>
        <v/>
      </c>
      <c r="M162" s="16" t="str">
        <f ca="1">IF(OFFSET(掉落_design!$E133,0,掉落_design!L$2,1,1)="","",OFFSET(掉落_design!$E133,0,掉落_design!L$2,1,1)&amp;";"&amp;OFFSET(掉落_design!$E133,0,掉落_design!L$2+1,1,1)&amp;";"&amp;OFFSET(掉落_design!$E133,0,掉落_design!L$2+2,1,1)&amp;";"&amp;OFFSET(掉落_design!$E133,0,掉落_design!L$2+3,1,1))</f>
        <v/>
      </c>
      <c r="N162" s="16" t="str">
        <f ca="1">IF(OFFSET(掉落_design!$E133,0,掉落_design!M$2,1,1)="","",OFFSET(掉落_design!$E133,0,掉落_design!M$2,1,1)&amp;";"&amp;OFFSET(掉落_design!$E133,0,掉落_design!M$2+1,1,1)&amp;";"&amp;OFFSET(掉落_design!$E133,0,掉落_design!M$2+2,1,1)&amp;";"&amp;OFFSET(掉落_design!$E133,0,掉落_design!M$2+3,1,1))</f>
        <v/>
      </c>
      <c r="O162" s="16" t="str">
        <f ca="1">IF(OFFSET(掉落_design!$E133,0,掉落_design!N$2,1,1)="","",OFFSET(掉落_design!$E133,0,掉落_design!N$2,1,1)&amp;";"&amp;OFFSET(掉落_design!$E133,0,掉落_design!N$2+1,1,1)&amp;";"&amp;OFFSET(掉落_design!$E133,0,掉落_design!N$2+2,1,1)&amp;";"&amp;OFFSET(掉落_design!$E133,0,掉落_design!N$2+3,1,1))</f>
        <v/>
      </c>
      <c r="P162" s="16" t="str">
        <f ca="1">IF(OFFSET(掉落_design!$E133,0,掉落_design!O$2,1,1)="","",OFFSET(掉落_design!$E133,0,掉落_design!O$2,1,1)&amp;";"&amp;OFFSET(掉落_design!$E133,0,掉落_design!O$2+1,1,1)&amp;";"&amp;OFFSET(掉落_design!$E133,0,掉落_design!O$2+2,1,1)&amp;";"&amp;OFFSET(掉落_design!$E133,0,掉落_design!O$2+3,1,1))</f>
        <v/>
      </c>
      <c r="Q162" s="25"/>
      <c r="R162" s="25"/>
      <c r="S162" s="25"/>
    </row>
    <row r="163" spans="1:19" x14ac:dyDescent="0.15">
      <c r="A163" s="11" t="str">
        <f t="shared" si="32"/>
        <v/>
      </c>
      <c r="B163" s="25"/>
      <c r="C163" s="25"/>
      <c r="D163" s="15" t="str">
        <f>IF(掉落_design!C134="","",掉落_design!C134)</f>
        <v/>
      </c>
      <c r="E163" s="15" t="str">
        <f>IF(A163="","",掉落_design!D134)</f>
        <v/>
      </c>
      <c r="F163" s="16" t="str">
        <f ca="1">IF(OFFSET(掉落_design!$E134,0,掉落_design!E$2,1,1)="","",OFFSET(掉落_design!$E134,0,掉落_design!E$2,1,1)&amp;";"&amp;OFFSET(掉落_design!$E134,0,掉落_design!E$2+1,1,1)&amp;";"&amp;OFFSET(掉落_design!$E134,0,掉落_design!E$2+2,1,1)&amp;";"&amp;OFFSET(掉落_design!$E134,0,掉落_design!E$2+3,1,1))</f>
        <v/>
      </c>
      <c r="G163" s="16" t="str">
        <f ca="1">IF(OFFSET(掉落_design!$E134,0,掉落_design!F$2,1,1)="","",OFFSET(掉落_design!$E134,0,掉落_design!F$2,1,1)&amp;";"&amp;OFFSET(掉落_design!$E134,0,掉落_design!F$2+1,1,1)&amp;";"&amp;OFFSET(掉落_design!$E134,0,掉落_design!F$2+2,1,1)&amp;";"&amp;OFFSET(掉落_design!$E134,0,掉落_design!F$2+3,1,1))</f>
        <v/>
      </c>
      <c r="H163" s="16" t="str">
        <f ca="1">IF(OFFSET(掉落_design!$E134,0,掉落_design!G$2,1,1)="","",OFFSET(掉落_design!$E134,0,掉落_design!G$2,1,1)&amp;";"&amp;OFFSET(掉落_design!$E134,0,掉落_design!G$2+1,1,1)&amp;";"&amp;OFFSET(掉落_design!$E134,0,掉落_design!G$2+2,1,1)&amp;";"&amp;OFFSET(掉落_design!$E134,0,掉落_design!G$2+3,1,1))</f>
        <v/>
      </c>
      <c r="I163" s="16" t="str">
        <f ca="1">IF(OFFSET(掉落_design!$E134,0,掉落_design!H$2,1,1)="","",OFFSET(掉落_design!$E134,0,掉落_design!H$2,1,1)&amp;";"&amp;OFFSET(掉落_design!$E134,0,掉落_design!H$2+1,1,1)&amp;";"&amp;OFFSET(掉落_design!$E134,0,掉落_design!H$2+2,1,1)&amp;";"&amp;OFFSET(掉落_design!$E134,0,掉落_design!H$2+3,1,1))</f>
        <v/>
      </c>
      <c r="J163" s="16" t="str">
        <f ca="1">IF(OFFSET(掉落_design!$E134,0,掉落_design!I$2,1,1)="","",OFFSET(掉落_design!$E134,0,掉落_design!I$2,1,1)&amp;";"&amp;OFFSET(掉落_design!$E134,0,掉落_design!I$2+1,1,1)&amp;";"&amp;OFFSET(掉落_design!$E134,0,掉落_design!I$2+2,1,1)&amp;";"&amp;OFFSET(掉落_design!$E134,0,掉落_design!I$2+3,1,1))</f>
        <v/>
      </c>
      <c r="K163" s="16" t="str">
        <f ca="1">IF(OFFSET(掉落_design!$E134,0,掉落_design!J$2,1,1)="","",OFFSET(掉落_design!$E134,0,掉落_design!J$2,1,1)&amp;";"&amp;OFFSET(掉落_design!$E134,0,掉落_design!J$2+1,1,1)&amp;";"&amp;OFFSET(掉落_design!$E134,0,掉落_design!J$2+2,1,1)&amp;";"&amp;OFFSET(掉落_design!$E134,0,掉落_design!J$2+3,1,1))</f>
        <v/>
      </c>
      <c r="L163" s="16" t="str">
        <f ca="1">IF(OFFSET(掉落_design!$E134,0,掉落_design!K$2,1,1)="","",OFFSET(掉落_design!$E134,0,掉落_design!K$2,1,1)&amp;";"&amp;OFFSET(掉落_design!$E134,0,掉落_design!K$2+1,1,1)&amp;";"&amp;OFFSET(掉落_design!$E134,0,掉落_design!K$2+2,1,1)&amp;";"&amp;OFFSET(掉落_design!$E134,0,掉落_design!K$2+3,1,1))</f>
        <v/>
      </c>
      <c r="M163" s="16" t="str">
        <f ca="1">IF(OFFSET(掉落_design!$E134,0,掉落_design!L$2,1,1)="","",OFFSET(掉落_design!$E134,0,掉落_design!L$2,1,1)&amp;";"&amp;OFFSET(掉落_design!$E134,0,掉落_design!L$2+1,1,1)&amp;";"&amp;OFFSET(掉落_design!$E134,0,掉落_design!L$2+2,1,1)&amp;";"&amp;OFFSET(掉落_design!$E134,0,掉落_design!L$2+3,1,1))</f>
        <v/>
      </c>
      <c r="N163" s="16" t="str">
        <f ca="1">IF(OFFSET(掉落_design!$E134,0,掉落_design!M$2,1,1)="","",OFFSET(掉落_design!$E134,0,掉落_design!M$2,1,1)&amp;";"&amp;OFFSET(掉落_design!$E134,0,掉落_design!M$2+1,1,1)&amp;";"&amp;OFFSET(掉落_design!$E134,0,掉落_design!M$2+2,1,1)&amp;";"&amp;OFFSET(掉落_design!$E134,0,掉落_design!M$2+3,1,1))</f>
        <v/>
      </c>
      <c r="O163" s="16" t="str">
        <f ca="1">IF(OFFSET(掉落_design!$E134,0,掉落_design!N$2,1,1)="","",OFFSET(掉落_design!$E134,0,掉落_design!N$2,1,1)&amp;";"&amp;OFFSET(掉落_design!$E134,0,掉落_design!N$2+1,1,1)&amp;";"&amp;OFFSET(掉落_design!$E134,0,掉落_design!N$2+2,1,1)&amp;";"&amp;OFFSET(掉落_design!$E134,0,掉落_design!N$2+3,1,1))</f>
        <v/>
      </c>
      <c r="P163" s="16" t="str">
        <f ca="1">IF(OFFSET(掉落_design!$E134,0,掉落_design!O$2,1,1)="","",OFFSET(掉落_design!$E134,0,掉落_design!O$2,1,1)&amp;";"&amp;OFFSET(掉落_design!$E134,0,掉落_design!O$2+1,1,1)&amp;";"&amp;OFFSET(掉落_design!$E134,0,掉落_design!O$2+2,1,1)&amp;";"&amp;OFFSET(掉落_design!$E134,0,掉落_design!O$2+3,1,1))</f>
        <v/>
      </c>
      <c r="Q163" s="25"/>
      <c r="R163" s="25"/>
      <c r="S163" s="25"/>
    </row>
    <row r="164" spans="1:19" x14ac:dyDescent="0.15">
      <c r="A164" s="11" t="str">
        <f t="shared" si="32"/>
        <v/>
      </c>
      <c r="B164" s="25"/>
      <c r="C164" s="25"/>
      <c r="D164" s="15" t="str">
        <f>IF(掉落_design!C135="","",掉落_design!C135)</f>
        <v/>
      </c>
      <c r="E164" s="15" t="str">
        <f>IF(A164="","",掉落_design!D135)</f>
        <v/>
      </c>
      <c r="F164" s="16" t="str">
        <f ca="1">IF(OFFSET(掉落_design!$E135,0,掉落_design!E$2,1,1)="","",OFFSET(掉落_design!$E135,0,掉落_design!E$2,1,1)&amp;";"&amp;OFFSET(掉落_design!$E135,0,掉落_design!E$2+1,1,1)&amp;";"&amp;OFFSET(掉落_design!$E135,0,掉落_design!E$2+2,1,1)&amp;";"&amp;OFFSET(掉落_design!$E135,0,掉落_design!E$2+3,1,1))</f>
        <v/>
      </c>
      <c r="G164" s="16" t="str">
        <f ca="1">IF(OFFSET(掉落_design!$E135,0,掉落_design!F$2,1,1)="","",OFFSET(掉落_design!$E135,0,掉落_design!F$2,1,1)&amp;";"&amp;OFFSET(掉落_design!$E135,0,掉落_design!F$2+1,1,1)&amp;";"&amp;OFFSET(掉落_design!$E135,0,掉落_design!F$2+2,1,1)&amp;";"&amp;OFFSET(掉落_design!$E135,0,掉落_design!F$2+3,1,1))</f>
        <v/>
      </c>
      <c r="H164" s="16" t="str">
        <f ca="1">IF(OFFSET(掉落_design!$E135,0,掉落_design!G$2,1,1)="","",OFFSET(掉落_design!$E135,0,掉落_design!G$2,1,1)&amp;";"&amp;OFFSET(掉落_design!$E135,0,掉落_design!G$2+1,1,1)&amp;";"&amp;OFFSET(掉落_design!$E135,0,掉落_design!G$2+2,1,1)&amp;";"&amp;OFFSET(掉落_design!$E135,0,掉落_design!G$2+3,1,1))</f>
        <v/>
      </c>
      <c r="I164" s="16" t="str">
        <f ca="1">IF(OFFSET(掉落_design!$E135,0,掉落_design!H$2,1,1)="","",OFFSET(掉落_design!$E135,0,掉落_design!H$2,1,1)&amp;";"&amp;OFFSET(掉落_design!$E135,0,掉落_design!H$2+1,1,1)&amp;";"&amp;OFFSET(掉落_design!$E135,0,掉落_design!H$2+2,1,1)&amp;";"&amp;OFFSET(掉落_design!$E135,0,掉落_design!H$2+3,1,1))</f>
        <v/>
      </c>
      <c r="J164" s="16" t="str">
        <f ca="1">IF(OFFSET(掉落_design!$E135,0,掉落_design!I$2,1,1)="","",OFFSET(掉落_design!$E135,0,掉落_design!I$2,1,1)&amp;";"&amp;OFFSET(掉落_design!$E135,0,掉落_design!I$2+1,1,1)&amp;";"&amp;OFFSET(掉落_design!$E135,0,掉落_design!I$2+2,1,1)&amp;";"&amp;OFFSET(掉落_design!$E135,0,掉落_design!I$2+3,1,1))</f>
        <v/>
      </c>
      <c r="K164" s="16" t="str">
        <f ca="1">IF(OFFSET(掉落_design!$E135,0,掉落_design!J$2,1,1)="","",OFFSET(掉落_design!$E135,0,掉落_design!J$2,1,1)&amp;";"&amp;OFFSET(掉落_design!$E135,0,掉落_design!J$2+1,1,1)&amp;";"&amp;OFFSET(掉落_design!$E135,0,掉落_design!J$2+2,1,1)&amp;";"&amp;OFFSET(掉落_design!$E135,0,掉落_design!J$2+3,1,1))</f>
        <v/>
      </c>
      <c r="L164" s="16" t="str">
        <f ca="1">IF(OFFSET(掉落_design!$E135,0,掉落_design!K$2,1,1)="","",OFFSET(掉落_design!$E135,0,掉落_design!K$2,1,1)&amp;";"&amp;OFFSET(掉落_design!$E135,0,掉落_design!K$2+1,1,1)&amp;";"&amp;OFFSET(掉落_design!$E135,0,掉落_design!K$2+2,1,1)&amp;";"&amp;OFFSET(掉落_design!$E135,0,掉落_design!K$2+3,1,1))</f>
        <v/>
      </c>
      <c r="M164" s="16" t="str">
        <f ca="1">IF(OFFSET(掉落_design!$E135,0,掉落_design!L$2,1,1)="","",OFFSET(掉落_design!$E135,0,掉落_design!L$2,1,1)&amp;";"&amp;OFFSET(掉落_design!$E135,0,掉落_design!L$2+1,1,1)&amp;";"&amp;OFFSET(掉落_design!$E135,0,掉落_design!L$2+2,1,1)&amp;";"&amp;OFFSET(掉落_design!$E135,0,掉落_design!L$2+3,1,1))</f>
        <v/>
      </c>
      <c r="N164" s="16" t="str">
        <f ca="1">IF(OFFSET(掉落_design!$E135,0,掉落_design!M$2,1,1)="","",OFFSET(掉落_design!$E135,0,掉落_design!M$2,1,1)&amp;";"&amp;OFFSET(掉落_design!$E135,0,掉落_design!M$2+1,1,1)&amp;";"&amp;OFFSET(掉落_design!$E135,0,掉落_design!M$2+2,1,1)&amp;";"&amp;OFFSET(掉落_design!$E135,0,掉落_design!M$2+3,1,1))</f>
        <v/>
      </c>
      <c r="O164" s="16" t="str">
        <f ca="1">IF(OFFSET(掉落_design!$E135,0,掉落_design!N$2,1,1)="","",OFFSET(掉落_design!$E135,0,掉落_design!N$2,1,1)&amp;";"&amp;OFFSET(掉落_design!$E135,0,掉落_design!N$2+1,1,1)&amp;";"&amp;OFFSET(掉落_design!$E135,0,掉落_design!N$2+2,1,1)&amp;";"&amp;OFFSET(掉落_design!$E135,0,掉落_design!N$2+3,1,1))</f>
        <v/>
      </c>
      <c r="P164" s="16" t="str">
        <f ca="1">IF(OFFSET(掉落_design!$E135,0,掉落_design!O$2,1,1)="","",OFFSET(掉落_design!$E135,0,掉落_design!O$2,1,1)&amp;";"&amp;OFFSET(掉落_design!$E135,0,掉落_design!O$2+1,1,1)&amp;";"&amp;OFFSET(掉落_design!$E135,0,掉落_design!O$2+2,1,1)&amp;";"&amp;OFFSET(掉落_design!$E135,0,掉落_design!O$2+3,1,1))</f>
        <v/>
      </c>
      <c r="Q164" s="25"/>
      <c r="R164" s="25"/>
      <c r="S164" s="25"/>
    </row>
    <row r="165" spans="1:19" x14ac:dyDescent="0.15">
      <c r="A165" s="11" t="str">
        <f t="shared" si="32"/>
        <v/>
      </c>
      <c r="B165" s="25"/>
      <c r="C165" s="25"/>
      <c r="D165" s="15" t="str">
        <f>IF(掉落_design!C136="","",掉落_design!C136)</f>
        <v/>
      </c>
      <c r="E165" s="15" t="str">
        <f>IF(A165="","",掉落_design!D136)</f>
        <v/>
      </c>
      <c r="F165" s="16" t="str">
        <f ca="1">IF(OFFSET(掉落_design!$E136,0,掉落_design!E$2,1,1)="","",OFFSET(掉落_design!$E136,0,掉落_design!E$2,1,1)&amp;";"&amp;OFFSET(掉落_design!$E136,0,掉落_design!E$2+1,1,1)&amp;";"&amp;OFFSET(掉落_design!$E136,0,掉落_design!E$2+2,1,1)&amp;";"&amp;OFFSET(掉落_design!$E136,0,掉落_design!E$2+3,1,1))</f>
        <v/>
      </c>
      <c r="G165" s="16" t="str">
        <f ca="1">IF(OFFSET(掉落_design!$E136,0,掉落_design!F$2,1,1)="","",OFFSET(掉落_design!$E136,0,掉落_design!F$2,1,1)&amp;";"&amp;OFFSET(掉落_design!$E136,0,掉落_design!F$2+1,1,1)&amp;";"&amp;OFFSET(掉落_design!$E136,0,掉落_design!F$2+2,1,1)&amp;";"&amp;OFFSET(掉落_design!$E136,0,掉落_design!F$2+3,1,1))</f>
        <v/>
      </c>
      <c r="H165" s="16" t="str">
        <f ca="1">IF(OFFSET(掉落_design!$E136,0,掉落_design!G$2,1,1)="","",OFFSET(掉落_design!$E136,0,掉落_design!G$2,1,1)&amp;";"&amp;OFFSET(掉落_design!$E136,0,掉落_design!G$2+1,1,1)&amp;";"&amp;OFFSET(掉落_design!$E136,0,掉落_design!G$2+2,1,1)&amp;";"&amp;OFFSET(掉落_design!$E136,0,掉落_design!G$2+3,1,1))</f>
        <v/>
      </c>
      <c r="I165" s="16" t="str">
        <f ca="1">IF(OFFSET(掉落_design!$E136,0,掉落_design!H$2,1,1)="","",OFFSET(掉落_design!$E136,0,掉落_design!H$2,1,1)&amp;";"&amp;OFFSET(掉落_design!$E136,0,掉落_design!H$2+1,1,1)&amp;";"&amp;OFFSET(掉落_design!$E136,0,掉落_design!H$2+2,1,1)&amp;";"&amp;OFFSET(掉落_design!$E136,0,掉落_design!H$2+3,1,1))</f>
        <v/>
      </c>
      <c r="J165" s="16" t="str">
        <f ca="1">IF(OFFSET(掉落_design!$E136,0,掉落_design!I$2,1,1)="","",OFFSET(掉落_design!$E136,0,掉落_design!I$2,1,1)&amp;";"&amp;OFFSET(掉落_design!$E136,0,掉落_design!I$2+1,1,1)&amp;";"&amp;OFFSET(掉落_design!$E136,0,掉落_design!I$2+2,1,1)&amp;";"&amp;OFFSET(掉落_design!$E136,0,掉落_design!I$2+3,1,1))</f>
        <v/>
      </c>
      <c r="K165" s="16" t="str">
        <f ca="1">IF(OFFSET(掉落_design!$E136,0,掉落_design!J$2,1,1)="","",OFFSET(掉落_design!$E136,0,掉落_design!J$2,1,1)&amp;";"&amp;OFFSET(掉落_design!$E136,0,掉落_design!J$2+1,1,1)&amp;";"&amp;OFFSET(掉落_design!$E136,0,掉落_design!J$2+2,1,1)&amp;";"&amp;OFFSET(掉落_design!$E136,0,掉落_design!J$2+3,1,1))</f>
        <v/>
      </c>
      <c r="L165" s="16" t="str">
        <f ca="1">IF(OFFSET(掉落_design!$E136,0,掉落_design!K$2,1,1)="","",OFFSET(掉落_design!$E136,0,掉落_design!K$2,1,1)&amp;";"&amp;OFFSET(掉落_design!$E136,0,掉落_design!K$2+1,1,1)&amp;";"&amp;OFFSET(掉落_design!$E136,0,掉落_design!K$2+2,1,1)&amp;";"&amp;OFFSET(掉落_design!$E136,0,掉落_design!K$2+3,1,1))</f>
        <v/>
      </c>
      <c r="M165" s="16" t="str">
        <f ca="1">IF(OFFSET(掉落_design!$E136,0,掉落_design!L$2,1,1)="","",OFFSET(掉落_design!$E136,0,掉落_design!L$2,1,1)&amp;";"&amp;OFFSET(掉落_design!$E136,0,掉落_design!L$2+1,1,1)&amp;";"&amp;OFFSET(掉落_design!$E136,0,掉落_design!L$2+2,1,1)&amp;";"&amp;OFFSET(掉落_design!$E136,0,掉落_design!L$2+3,1,1))</f>
        <v/>
      </c>
      <c r="N165" s="16" t="str">
        <f ca="1">IF(OFFSET(掉落_design!$E136,0,掉落_design!M$2,1,1)="","",OFFSET(掉落_design!$E136,0,掉落_design!M$2,1,1)&amp;";"&amp;OFFSET(掉落_design!$E136,0,掉落_design!M$2+1,1,1)&amp;";"&amp;OFFSET(掉落_design!$E136,0,掉落_design!M$2+2,1,1)&amp;";"&amp;OFFSET(掉落_design!$E136,0,掉落_design!M$2+3,1,1))</f>
        <v/>
      </c>
      <c r="O165" s="16" t="str">
        <f ca="1">IF(OFFSET(掉落_design!$E136,0,掉落_design!N$2,1,1)="","",OFFSET(掉落_design!$E136,0,掉落_design!N$2,1,1)&amp;";"&amp;OFFSET(掉落_design!$E136,0,掉落_design!N$2+1,1,1)&amp;";"&amp;OFFSET(掉落_design!$E136,0,掉落_design!N$2+2,1,1)&amp;";"&amp;OFFSET(掉落_design!$E136,0,掉落_design!N$2+3,1,1))</f>
        <v/>
      </c>
      <c r="P165" s="16" t="str">
        <f ca="1">IF(OFFSET(掉落_design!$E136,0,掉落_design!O$2,1,1)="","",OFFSET(掉落_design!$E136,0,掉落_design!O$2,1,1)&amp;";"&amp;OFFSET(掉落_design!$E136,0,掉落_design!O$2+1,1,1)&amp;";"&amp;OFFSET(掉落_design!$E136,0,掉落_design!O$2+2,1,1)&amp;";"&amp;OFFSET(掉落_design!$E136,0,掉落_design!O$2+3,1,1))</f>
        <v/>
      </c>
      <c r="Q165" s="25"/>
      <c r="R165" s="25"/>
      <c r="S165" s="25"/>
    </row>
    <row r="166" spans="1:19" x14ac:dyDescent="0.15">
      <c r="A166" s="11" t="str">
        <f t="shared" si="32"/>
        <v/>
      </c>
      <c r="B166" s="25"/>
      <c r="C166" s="25"/>
      <c r="D166" s="15" t="str">
        <f>IF(掉落_design!C137="","",掉落_design!C137)</f>
        <v/>
      </c>
      <c r="E166" s="15" t="str">
        <f>IF(A166="","",掉落_design!D137)</f>
        <v/>
      </c>
      <c r="F166" s="16" t="str">
        <f ca="1">IF(OFFSET(掉落_design!$E137,0,掉落_design!E$2,1,1)="","",OFFSET(掉落_design!$E137,0,掉落_design!E$2,1,1)&amp;";"&amp;OFFSET(掉落_design!$E137,0,掉落_design!E$2+1,1,1)&amp;";"&amp;OFFSET(掉落_design!$E137,0,掉落_design!E$2+2,1,1)&amp;";"&amp;OFFSET(掉落_design!$E137,0,掉落_design!E$2+3,1,1))</f>
        <v/>
      </c>
      <c r="G166" s="16" t="str">
        <f ca="1">IF(OFFSET(掉落_design!$E137,0,掉落_design!F$2,1,1)="","",OFFSET(掉落_design!$E137,0,掉落_design!F$2,1,1)&amp;";"&amp;OFFSET(掉落_design!$E137,0,掉落_design!F$2+1,1,1)&amp;";"&amp;OFFSET(掉落_design!$E137,0,掉落_design!F$2+2,1,1)&amp;";"&amp;OFFSET(掉落_design!$E137,0,掉落_design!F$2+3,1,1))</f>
        <v/>
      </c>
      <c r="H166" s="16" t="str">
        <f ca="1">IF(OFFSET(掉落_design!$E137,0,掉落_design!G$2,1,1)="","",OFFSET(掉落_design!$E137,0,掉落_design!G$2,1,1)&amp;";"&amp;OFFSET(掉落_design!$E137,0,掉落_design!G$2+1,1,1)&amp;";"&amp;OFFSET(掉落_design!$E137,0,掉落_design!G$2+2,1,1)&amp;";"&amp;OFFSET(掉落_design!$E137,0,掉落_design!G$2+3,1,1))</f>
        <v/>
      </c>
      <c r="I166" s="16" t="str">
        <f ca="1">IF(OFFSET(掉落_design!$E137,0,掉落_design!H$2,1,1)="","",OFFSET(掉落_design!$E137,0,掉落_design!H$2,1,1)&amp;";"&amp;OFFSET(掉落_design!$E137,0,掉落_design!H$2+1,1,1)&amp;";"&amp;OFFSET(掉落_design!$E137,0,掉落_design!H$2+2,1,1)&amp;";"&amp;OFFSET(掉落_design!$E137,0,掉落_design!H$2+3,1,1))</f>
        <v/>
      </c>
      <c r="J166" s="16" t="str">
        <f ca="1">IF(OFFSET(掉落_design!$E137,0,掉落_design!I$2,1,1)="","",OFFSET(掉落_design!$E137,0,掉落_design!I$2,1,1)&amp;";"&amp;OFFSET(掉落_design!$E137,0,掉落_design!I$2+1,1,1)&amp;";"&amp;OFFSET(掉落_design!$E137,0,掉落_design!I$2+2,1,1)&amp;";"&amp;OFFSET(掉落_design!$E137,0,掉落_design!I$2+3,1,1))</f>
        <v/>
      </c>
      <c r="K166" s="16" t="str">
        <f ca="1">IF(OFFSET(掉落_design!$E137,0,掉落_design!J$2,1,1)="","",OFFSET(掉落_design!$E137,0,掉落_design!J$2,1,1)&amp;";"&amp;OFFSET(掉落_design!$E137,0,掉落_design!J$2+1,1,1)&amp;";"&amp;OFFSET(掉落_design!$E137,0,掉落_design!J$2+2,1,1)&amp;";"&amp;OFFSET(掉落_design!$E137,0,掉落_design!J$2+3,1,1))</f>
        <v/>
      </c>
      <c r="L166" s="16" t="str">
        <f ca="1">IF(OFFSET(掉落_design!$E137,0,掉落_design!K$2,1,1)="","",OFFSET(掉落_design!$E137,0,掉落_design!K$2,1,1)&amp;";"&amp;OFFSET(掉落_design!$E137,0,掉落_design!K$2+1,1,1)&amp;";"&amp;OFFSET(掉落_design!$E137,0,掉落_design!K$2+2,1,1)&amp;";"&amp;OFFSET(掉落_design!$E137,0,掉落_design!K$2+3,1,1))</f>
        <v/>
      </c>
      <c r="M166" s="16" t="str">
        <f ca="1">IF(OFFSET(掉落_design!$E137,0,掉落_design!L$2,1,1)="","",OFFSET(掉落_design!$E137,0,掉落_design!L$2,1,1)&amp;";"&amp;OFFSET(掉落_design!$E137,0,掉落_design!L$2+1,1,1)&amp;";"&amp;OFFSET(掉落_design!$E137,0,掉落_design!L$2+2,1,1)&amp;";"&amp;OFFSET(掉落_design!$E137,0,掉落_design!L$2+3,1,1))</f>
        <v/>
      </c>
      <c r="N166" s="16" t="str">
        <f ca="1">IF(OFFSET(掉落_design!$E137,0,掉落_design!M$2,1,1)="","",OFFSET(掉落_design!$E137,0,掉落_design!M$2,1,1)&amp;";"&amp;OFFSET(掉落_design!$E137,0,掉落_design!M$2+1,1,1)&amp;";"&amp;OFFSET(掉落_design!$E137,0,掉落_design!M$2+2,1,1)&amp;";"&amp;OFFSET(掉落_design!$E137,0,掉落_design!M$2+3,1,1))</f>
        <v/>
      </c>
      <c r="O166" s="16" t="str">
        <f ca="1">IF(OFFSET(掉落_design!$E137,0,掉落_design!N$2,1,1)="","",OFFSET(掉落_design!$E137,0,掉落_design!N$2,1,1)&amp;";"&amp;OFFSET(掉落_design!$E137,0,掉落_design!N$2+1,1,1)&amp;";"&amp;OFFSET(掉落_design!$E137,0,掉落_design!N$2+2,1,1)&amp;";"&amp;OFFSET(掉落_design!$E137,0,掉落_design!N$2+3,1,1))</f>
        <v/>
      </c>
      <c r="P166" s="16" t="str">
        <f ca="1">IF(OFFSET(掉落_design!$E137,0,掉落_design!O$2,1,1)="","",OFFSET(掉落_design!$E137,0,掉落_design!O$2,1,1)&amp;";"&amp;OFFSET(掉落_design!$E137,0,掉落_design!O$2+1,1,1)&amp;";"&amp;OFFSET(掉落_design!$E137,0,掉落_design!O$2+2,1,1)&amp;";"&amp;OFFSET(掉落_design!$E137,0,掉落_design!O$2+3,1,1))</f>
        <v/>
      </c>
      <c r="Q166" s="25"/>
      <c r="R166" s="25"/>
      <c r="S166" s="25"/>
    </row>
    <row r="167" spans="1:19" x14ac:dyDescent="0.15">
      <c r="A167" s="11" t="str">
        <f t="shared" si="32"/>
        <v/>
      </c>
      <c r="B167" s="25"/>
      <c r="C167" s="25"/>
      <c r="D167" s="15" t="str">
        <f>IF(掉落_design!C138="","",掉落_design!C138)</f>
        <v/>
      </c>
      <c r="E167" s="15" t="str">
        <f>IF(A167="","",掉落_design!D138)</f>
        <v/>
      </c>
      <c r="F167" s="16" t="str">
        <f ca="1">IF(OFFSET(掉落_design!$E138,0,掉落_design!E$2,1,1)="","",OFFSET(掉落_design!$E138,0,掉落_design!E$2,1,1)&amp;";"&amp;OFFSET(掉落_design!$E138,0,掉落_design!E$2+1,1,1)&amp;";"&amp;OFFSET(掉落_design!$E138,0,掉落_design!E$2+2,1,1)&amp;";"&amp;OFFSET(掉落_design!$E138,0,掉落_design!E$2+3,1,1))</f>
        <v/>
      </c>
      <c r="G167" s="16" t="str">
        <f ca="1">IF(OFFSET(掉落_design!$E138,0,掉落_design!F$2,1,1)="","",OFFSET(掉落_design!$E138,0,掉落_design!F$2,1,1)&amp;";"&amp;OFFSET(掉落_design!$E138,0,掉落_design!F$2+1,1,1)&amp;";"&amp;OFFSET(掉落_design!$E138,0,掉落_design!F$2+2,1,1)&amp;";"&amp;OFFSET(掉落_design!$E138,0,掉落_design!F$2+3,1,1))</f>
        <v/>
      </c>
      <c r="H167" s="16" t="str">
        <f ca="1">IF(OFFSET(掉落_design!$E138,0,掉落_design!G$2,1,1)="","",OFFSET(掉落_design!$E138,0,掉落_design!G$2,1,1)&amp;";"&amp;OFFSET(掉落_design!$E138,0,掉落_design!G$2+1,1,1)&amp;";"&amp;OFFSET(掉落_design!$E138,0,掉落_design!G$2+2,1,1)&amp;";"&amp;OFFSET(掉落_design!$E138,0,掉落_design!G$2+3,1,1))</f>
        <v/>
      </c>
      <c r="I167" s="16" t="str">
        <f ca="1">IF(OFFSET(掉落_design!$E138,0,掉落_design!H$2,1,1)="","",OFFSET(掉落_design!$E138,0,掉落_design!H$2,1,1)&amp;";"&amp;OFFSET(掉落_design!$E138,0,掉落_design!H$2+1,1,1)&amp;";"&amp;OFFSET(掉落_design!$E138,0,掉落_design!H$2+2,1,1)&amp;";"&amp;OFFSET(掉落_design!$E138,0,掉落_design!H$2+3,1,1))</f>
        <v/>
      </c>
      <c r="J167" s="16" t="str">
        <f ca="1">IF(OFFSET(掉落_design!$E138,0,掉落_design!I$2,1,1)="","",OFFSET(掉落_design!$E138,0,掉落_design!I$2,1,1)&amp;";"&amp;OFFSET(掉落_design!$E138,0,掉落_design!I$2+1,1,1)&amp;";"&amp;OFFSET(掉落_design!$E138,0,掉落_design!I$2+2,1,1)&amp;";"&amp;OFFSET(掉落_design!$E138,0,掉落_design!I$2+3,1,1))</f>
        <v/>
      </c>
      <c r="K167" s="16" t="str">
        <f ca="1">IF(OFFSET(掉落_design!$E138,0,掉落_design!J$2,1,1)="","",OFFSET(掉落_design!$E138,0,掉落_design!J$2,1,1)&amp;";"&amp;OFFSET(掉落_design!$E138,0,掉落_design!J$2+1,1,1)&amp;";"&amp;OFFSET(掉落_design!$E138,0,掉落_design!J$2+2,1,1)&amp;";"&amp;OFFSET(掉落_design!$E138,0,掉落_design!J$2+3,1,1))</f>
        <v/>
      </c>
      <c r="L167" s="16" t="str">
        <f ca="1">IF(OFFSET(掉落_design!$E138,0,掉落_design!K$2,1,1)="","",OFFSET(掉落_design!$E138,0,掉落_design!K$2,1,1)&amp;";"&amp;OFFSET(掉落_design!$E138,0,掉落_design!K$2+1,1,1)&amp;";"&amp;OFFSET(掉落_design!$E138,0,掉落_design!K$2+2,1,1)&amp;";"&amp;OFFSET(掉落_design!$E138,0,掉落_design!K$2+3,1,1))</f>
        <v/>
      </c>
      <c r="M167" s="16" t="str">
        <f ca="1">IF(OFFSET(掉落_design!$E138,0,掉落_design!L$2,1,1)="","",OFFSET(掉落_design!$E138,0,掉落_design!L$2,1,1)&amp;";"&amp;OFFSET(掉落_design!$E138,0,掉落_design!L$2+1,1,1)&amp;";"&amp;OFFSET(掉落_design!$E138,0,掉落_design!L$2+2,1,1)&amp;";"&amp;OFFSET(掉落_design!$E138,0,掉落_design!L$2+3,1,1))</f>
        <v/>
      </c>
      <c r="N167" s="16" t="str">
        <f ca="1">IF(OFFSET(掉落_design!$E138,0,掉落_design!M$2,1,1)="","",OFFSET(掉落_design!$E138,0,掉落_design!M$2,1,1)&amp;";"&amp;OFFSET(掉落_design!$E138,0,掉落_design!M$2+1,1,1)&amp;";"&amp;OFFSET(掉落_design!$E138,0,掉落_design!M$2+2,1,1)&amp;";"&amp;OFFSET(掉落_design!$E138,0,掉落_design!M$2+3,1,1))</f>
        <v/>
      </c>
      <c r="O167" s="16" t="str">
        <f ca="1">IF(OFFSET(掉落_design!$E138,0,掉落_design!N$2,1,1)="","",OFFSET(掉落_design!$E138,0,掉落_design!N$2,1,1)&amp;";"&amp;OFFSET(掉落_design!$E138,0,掉落_design!N$2+1,1,1)&amp;";"&amp;OFFSET(掉落_design!$E138,0,掉落_design!N$2+2,1,1)&amp;";"&amp;OFFSET(掉落_design!$E138,0,掉落_design!N$2+3,1,1))</f>
        <v/>
      </c>
      <c r="P167" s="16" t="str">
        <f ca="1">IF(OFFSET(掉落_design!$E138,0,掉落_design!O$2,1,1)="","",OFFSET(掉落_design!$E138,0,掉落_design!O$2,1,1)&amp;";"&amp;OFFSET(掉落_design!$E138,0,掉落_design!O$2+1,1,1)&amp;";"&amp;OFFSET(掉落_design!$E138,0,掉落_design!O$2+2,1,1)&amp;";"&amp;OFFSET(掉落_design!$E138,0,掉落_design!O$2+3,1,1))</f>
        <v/>
      </c>
      <c r="Q167" s="25"/>
      <c r="R167" s="25"/>
      <c r="S167" s="25"/>
    </row>
    <row r="168" spans="1:19" x14ac:dyDescent="0.15">
      <c r="A168" s="11" t="str">
        <f t="shared" si="32"/>
        <v/>
      </c>
      <c r="B168" s="25"/>
      <c r="C168" s="25"/>
      <c r="D168" s="15" t="str">
        <f>IF(掉落_design!C139="","",掉落_design!C139)</f>
        <v/>
      </c>
      <c r="E168" s="15" t="str">
        <f>IF(A168="","",掉落_design!D139)</f>
        <v/>
      </c>
      <c r="F168" s="16" t="str">
        <f ca="1">IF(OFFSET(掉落_design!$E139,0,掉落_design!E$2,1,1)="","",OFFSET(掉落_design!$E139,0,掉落_design!E$2,1,1)&amp;";"&amp;OFFSET(掉落_design!$E139,0,掉落_design!E$2+1,1,1)&amp;";"&amp;OFFSET(掉落_design!$E139,0,掉落_design!E$2+2,1,1)&amp;";"&amp;OFFSET(掉落_design!$E139,0,掉落_design!E$2+3,1,1))</f>
        <v/>
      </c>
      <c r="G168" s="16" t="str">
        <f ca="1">IF(OFFSET(掉落_design!$E139,0,掉落_design!F$2,1,1)="","",OFFSET(掉落_design!$E139,0,掉落_design!F$2,1,1)&amp;";"&amp;OFFSET(掉落_design!$E139,0,掉落_design!F$2+1,1,1)&amp;";"&amp;OFFSET(掉落_design!$E139,0,掉落_design!F$2+2,1,1)&amp;";"&amp;OFFSET(掉落_design!$E139,0,掉落_design!F$2+3,1,1))</f>
        <v/>
      </c>
      <c r="H168" s="16" t="str">
        <f ca="1">IF(OFFSET(掉落_design!$E139,0,掉落_design!G$2,1,1)="","",OFFSET(掉落_design!$E139,0,掉落_design!G$2,1,1)&amp;";"&amp;OFFSET(掉落_design!$E139,0,掉落_design!G$2+1,1,1)&amp;";"&amp;OFFSET(掉落_design!$E139,0,掉落_design!G$2+2,1,1)&amp;";"&amp;OFFSET(掉落_design!$E139,0,掉落_design!G$2+3,1,1))</f>
        <v/>
      </c>
      <c r="I168" s="16" t="str">
        <f ca="1">IF(OFFSET(掉落_design!$E139,0,掉落_design!H$2,1,1)="","",OFFSET(掉落_design!$E139,0,掉落_design!H$2,1,1)&amp;";"&amp;OFFSET(掉落_design!$E139,0,掉落_design!H$2+1,1,1)&amp;";"&amp;OFFSET(掉落_design!$E139,0,掉落_design!H$2+2,1,1)&amp;";"&amp;OFFSET(掉落_design!$E139,0,掉落_design!H$2+3,1,1))</f>
        <v/>
      </c>
      <c r="J168" s="16" t="str">
        <f ca="1">IF(OFFSET(掉落_design!$E139,0,掉落_design!I$2,1,1)="","",OFFSET(掉落_design!$E139,0,掉落_design!I$2,1,1)&amp;";"&amp;OFFSET(掉落_design!$E139,0,掉落_design!I$2+1,1,1)&amp;";"&amp;OFFSET(掉落_design!$E139,0,掉落_design!I$2+2,1,1)&amp;";"&amp;OFFSET(掉落_design!$E139,0,掉落_design!I$2+3,1,1))</f>
        <v/>
      </c>
      <c r="K168" s="16" t="str">
        <f ca="1">IF(OFFSET(掉落_design!$E139,0,掉落_design!J$2,1,1)="","",OFFSET(掉落_design!$E139,0,掉落_design!J$2,1,1)&amp;";"&amp;OFFSET(掉落_design!$E139,0,掉落_design!J$2+1,1,1)&amp;";"&amp;OFFSET(掉落_design!$E139,0,掉落_design!J$2+2,1,1)&amp;";"&amp;OFFSET(掉落_design!$E139,0,掉落_design!J$2+3,1,1))</f>
        <v/>
      </c>
      <c r="L168" s="16" t="str">
        <f ca="1">IF(OFFSET(掉落_design!$E139,0,掉落_design!K$2,1,1)="","",OFFSET(掉落_design!$E139,0,掉落_design!K$2,1,1)&amp;";"&amp;OFFSET(掉落_design!$E139,0,掉落_design!K$2+1,1,1)&amp;";"&amp;OFFSET(掉落_design!$E139,0,掉落_design!K$2+2,1,1)&amp;";"&amp;OFFSET(掉落_design!$E139,0,掉落_design!K$2+3,1,1))</f>
        <v/>
      </c>
      <c r="M168" s="16" t="str">
        <f ca="1">IF(OFFSET(掉落_design!$E139,0,掉落_design!L$2,1,1)="","",OFFSET(掉落_design!$E139,0,掉落_design!L$2,1,1)&amp;";"&amp;OFFSET(掉落_design!$E139,0,掉落_design!L$2+1,1,1)&amp;";"&amp;OFFSET(掉落_design!$E139,0,掉落_design!L$2+2,1,1)&amp;";"&amp;OFFSET(掉落_design!$E139,0,掉落_design!L$2+3,1,1))</f>
        <v/>
      </c>
      <c r="N168" s="16" t="str">
        <f ca="1">IF(OFFSET(掉落_design!$E139,0,掉落_design!M$2,1,1)="","",OFFSET(掉落_design!$E139,0,掉落_design!M$2,1,1)&amp;";"&amp;OFFSET(掉落_design!$E139,0,掉落_design!M$2+1,1,1)&amp;";"&amp;OFFSET(掉落_design!$E139,0,掉落_design!M$2+2,1,1)&amp;";"&amp;OFFSET(掉落_design!$E139,0,掉落_design!M$2+3,1,1))</f>
        <v/>
      </c>
      <c r="O168" s="16" t="str">
        <f ca="1">IF(OFFSET(掉落_design!$E139,0,掉落_design!N$2,1,1)="","",OFFSET(掉落_design!$E139,0,掉落_design!N$2,1,1)&amp;";"&amp;OFFSET(掉落_design!$E139,0,掉落_design!N$2+1,1,1)&amp;";"&amp;OFFSET(掉落_design!$E139,0,掉落_design!N$2+2,1,1)&amp;";"&amp;OFFSET(掉落_design!$E139,0,掉落_design!N$2+3,1,1))</f>
        <v/>
      </c>
      <c r="P168" s="16" t="str">
        <f ca="1">IF(OFFSET(掉落_design!$E139,0,掉落_design!O$2,1,1)="","",OFFSET(掉落_design!$E139,0,掉落_design!O$2,1,1)&amp;";"&amp;OFFSET(掉落_design!$E139,0,掉落_design!O$2+1,1,1)&amp;";"&amp;OFFSET(掉落_design!$E139,0,掉落_design!O$2+2,1,1)&amp;";"&amp;OFFSET(掉落_design!$E139,0,掉落_design!O$2+3,1,1))</f>
        <v/>
      </c>
      <c r="Q168" s="25"/>
      <c r="R168" s="25"/>
      <c r="S168" s="25"/>
    </row>
    <row r="169" spans="1:19" x14ac:dyDescent="0.15">
      <c r="A169" s="11" t="str">
        <f t="shared" si="32"/>
        <v/>
      </c>
      <c r="B169" s="25"/>
      <c r="C169" s="25"/>
      <c r="D169" s="15" t="str">
        <f>IF(掉落_design!C140="","",掉落_design!C140)</f>
        <v/>
      </c>
      <c r="E169" s="15" t="str">
        <f>IF(A169="","",掉落_design!D140)</f>
        <v/>
      </c>
      <c r="F169" s="16" t="str">
        <f ca="1">IF(OFFSET(掉落_design!$E140,0,掉落_design!E$2,1,1)="","",OFFSET(掉落_design!$E140,0,掉落_design!E$2,1,1)&amp;";"&amp;OFFSET(掉落_design!$E140,0,掉落_design!E$2+1,1,1)&amp;";"&amp;OFFSET(掉落_design!$E140,0,掉落_design!E$2+2,1,1)&amp;";"&amp;OFFSET(掉落_design!$E140,0,掉落_design!E$2+3,1,1))</f>
        <v/>
      </c>
      <c r="G169" s="16" t="str">
        <f ca="1">IF(OFFSET(掉落_design!$E140,0,掉落_design!F$2,1,1)="","",OFFSET(掉落_design!$E140,0,掉落_design!F$2,1,1)&amp;";"&amp;OFFSET(掉落_design!$E140,0,掉落_design!F$2+1,1,1)&amp;";"&amp;OFFSET(掉落_design!$E140,0,掉落_design!F$2+2,1,1)&amp;";"&amp;OFFSET(掉落_design!$E140,0,掉落_design!F$2+3,1,1))</f>
        <v/>
      </c>
      <c r="H169" s="16" t="str">
        <f ca="1">IF(OFFSET(掉落_design!$E140,0,掉落_design!G$2,1,1)="","",OFFSET(掉落_design!$E140,0,掉落_design!G$2,1,1)&amp;";"&amp;OFFSET(掉落_design!$E140,0,掉落_design!G$2+1,1,1)&amp;";"&amp;OFFSET(掉落_design!$E140,0,掉落_design!G$2+2,1,1)&amp;";"&amp;OFFSET(掉落_design!$E140,0,掉落_design!G$2+3,1,1))</f>
        <v/>
      </c>
      <c r="I169" s="16" t="str">
        <f ca="1">IF(OFFSET(掉落_design!$E140,0,掉落_design!H$2,1,1)="","",OFFSET(掉落_design!$E140,0,掉落_design!H$2,1,1)&amp;";"&amp;OFFSET(掉落_design!$E140,0,掉落_design!H$2+1,1,1)&amp;";"&amp;OFFSET(掉落_design!$E140,0,掉落_design!H$2+2,1,1)&amp;";"&amp;OFFSET(掉落_design!$E140,0,掉落_design!H$2+3,1,1))</f>
        <v/>
      </c>
      <c r="J169" s="16" t="str">
        <f ca="1">IF(OFFSET(掉落_design!$E140,0,掉落_design!I$2,1,1)="","",OFFSET(掉落_design!$E140,0,掉落_design!I$2,1,1)&amp;";"&amp;OFFSET(掉落_design!$E140,0,掉落_design!I$2+1,1,1)&amp;";"&amp;OFFSET(掉落_design!$E140,0,掉落_design!I$2+2,1,1)&amp;";"&amp;OFFSET(掉落_design!$E140,0,掉落_design!I$2+3,1,1))</f>
        <v/>
      </c>
      <c r="K169" s="16" t="str">
        <f ca="1">IF(OFFSET(掉落_design!$E140,0,掉落_design!J$2,1,1)="","",OFFSET(掉落_design!$E140,0,掉落_design!J$2,1,1)&amp;";"&amp;OFFSET(掉落_design!$E140,0,掉落_design!J$2+1,1,1)&amp;";"&amp;OFFSET(掉落_design!$E140,0,掉落_design!J$2+2,1,1)&amp;";"&amp;OFFSET(掉落_design!$E140,0,掉落_design!J$2+3,1,1))</f>
        <v/>
      </c>
      <c r="L169" s="16" t="str">
        <f ca="1">IF(OFFSET(掉落_design!$E140,0,掉落_design!K$2,1,1)="","",OFFSET(掉落_design!$E140,0,掉落_design!K$2,1,1)&amp;";"&amp;OFFSET(掉落_design!$E140,0,掉落_design!K$2+1,1,1)&amp;";"&amp;OFFSET(掉落_design!$E140,0,掉落_design!K$2+2,1,1)&amp;";"&amp;OFFSET(掉落_design!$E140,0,掉落_design!K$2+3,1,1))</f>
        <v/>
      </c>
      <c r="M169" s="16" t="str">
        <f ca="1">IF(OFFSET(掉落_design!$E140,0,掉落_design!L$2,1,1)="","",OFFSET(掉落_design!$E140,0,掉落_design!L$2,1,1)&amp;";"&amp;OFFSET(掉落_design!$E140,0,掉落_design!L$2+1,1,1)&amp;";"&amp;OFFSET(掉落_design!$E140,0,掉落_design!L$2+2,1,1)&amp;";"&amp;OFFSET(掉落_design!$E140,0,掉落_design!L$2+3,1,1))</f>
        <v/>
      </c>
      <c r="N169" s="16" t="str">
        <f ca="1">IF(OFFSET(掉落_design!$E140,0,掉落_design!M$2,1,1)="","",OFFSET(掉落_design!$E140,0,掉落_design!M$2,1,1)&amp;";"&amp;OFFSET(掉落_design!$E140,0,掉落_design!M$2+1,1,1)&amp;";"&amp;OFFSET(掉落_design!$E140,0,掉落_design!M$2+2,1,1)&amp;";"&amp;OFFSET(掉落_design!$E140,0,掉落_design!M$2+3,1,1))</f>
        <v/>
      </c>
      <c r="O169" s="16" t="str">
        <f ca="1">IF(OFFSET(掉落_design!$E140,0,掉落_design!N$2,1,1)="","",OFFSET(掉落_design!$E140,0,掉落_design!N$2,1,1)&amp;";"&amp;OFFSET(掉落_design!$E140,0,掉落_design!N$2+1,1,1)&amp;";"&amp;OFFSET(掉落_design!$E140,0,掉落_design!N$2+2,1,1)&amp;";"&amp;OFFSET(掉落_design!$E140,0,掉落_design!N$2+3,1,1))</f>
        <v/>
      </c>
      <c r="P169" s="16" t="str">
        <f ca="1">IF(OFFSET(掉落_design!$E140,0,掉落_design!O$2,1,1)="","",OFFSET(掉落_design!$E140,0,掉落_design!O$2,1,1)&amp;";"&amp;OFFSET(掉落_design!$E140,0,掉落_design!O$2+1,1,1)&amp;";"&amp;OFFSET(掉落_design!$E140,0,掉落_design!O$2+2,1,1)&amp;";"&amp;OFFSET(掉落_design!$E140,0,掉落_design!O$2+3,1,1))</f>
        <v/>
      </c>
      <c r="Q169" s="25"/>
      <c r="R169" s="25"/>
      <c r="S169" s="25"/>
    </row>
    <row r="170" spans="1:19" x14ac:dyDescent="0.15">
      <c r="A170" s="11" t="str">
        <f t="shared" si="32"/>
        <v/>
      </c>
      <c r="B170" s="25"/>
      <c r="C170" s="25"/>
      <c r="D170" s="15" t="str">
        <f>IF(掉落_design!C141="","",掉落_design!C141)</f>
        <v/>
      </c>
      <c r="E170" s="15" t="str">
        <f>IF(A170="","",掉落_design!D141)</f>
        <v/>
      </c>
      <c r="F170" s="16" t="str">
        <f ca="1">IF(OFFSET(掉落_design!$E141,0,掉落_design!E$2,1,1)="","",OFFSET(掉落_design!$E141,0,掉落_design!E$2,1,1)&amp;";"&amp;OFFSET(掉落_design!$E141,0,掉落_design!E$2+1,1,1)&amp;";"&amp;OFFSET(掉落_design!$E141,0,掉落_design!E$2+2,1,1)&amp;";"&amp;OFFSET(掉落_design!$E141,0,掉落_design!E$2+3,1,1))</f>
        <v/>
      </c>
      <c r="G170" s="16" t="str">
        <f ca="1">IF(OFFSET(掉落_design!$E141,0,掉落_design!F$2,1,1)="","",OFFSET(掉落_design!$E141,0,掉落_design!F$2,1,1)&amp;";"&amp;OFFSET(掉落_design!$E141,0,掉落_design!F$2+1,1,1)&amp;";"&amp;OFFSET(掉落_design!$E141,0,掉落_design!F$2+2,1,1)&amp;";"&amp;OFFSET(掉落_design!$E141,0,掉落_design!F$2+3,1,1))</f>
        <v/>
      </c>
      <c r="H170" s="16" t="str">
        <f ca="1">IF(OFFSET(掉落_design!$E141,0,掉落_design!G$2,1,1)="","",OFFSET(掉落_design!$E141,0,掉落_design!G$2,1,1)&amp;";"&amp;OFFSET(掉落_design!$E141,0,掉落_design!G$2+1,1,1)&amp;";"&amp;OFFSET(掉落_design!$E141,0,掉落_design!G$2+2,1,1)&amp;";"&amp;OFFSET(掉落_design!$E141,0,掉落_design!G$2+3,1,1))</f>
        <v/>
      </c>
      <c r="I170" s="16" t="str">
        <f ca="1">IF(OFFSET(掉落_design!$E141,0,掉落_design!H$2,1,1)="","",OFFSET(掉落_design!$E141,0,掉落_design!H$2,1,1)&amp;";"&amp;OFFSET(掉落_design!$E141,0,掉落_design!H$2+1,1,1)&amp;";"&amp;OFFSET(掉落_design!$E141,0,掉落_design!H$2+2,1,1)&amp;";"&amp;OFFSET(掉落_design!$E141,0,掉落_design!H$2+3,1,1))</f>
        <v/>
      </c>
      <c r="J170" s="16" t="str">
        <f ca="1">IF(OFFSET(掉落_design!$E141,0,掉落_design!I$2,1,1)="","",OFFSET(掉落_design!$E141,0,掉落_design!I$2,1,1)&amp;";"&amp;OFFSET(掉落_design!$E141,0,掉落_design!I$2+1,1,1)&amp;";"&amp;OFFSET(掉落_design!$E141,0,掉落_design!I$2+2,1,1)&amp;";"&amp;OFFSET(掉落_design!$E141,0,掉落_design!I$2+3,1,1))</f>
        <v/>
      </c>
      <c r="K170" s="16" t="str">
        <f ca="1">IF(OFFSET(掉落_design!$E141,0,掉落_design!J$2,1,1)="","",OFFSET(掉落_design!$E141,0,掉落_design!J$2,1,1)&amp;";"&amp;OFFSET(掉落_design!$E141,0,掉落_design!J$2+1,1,1)&amp;";"&amp;OFFSET(掉落_design!$E141,0,掉落_design!J$2+2,1,1)&amp;";"&amp;OFFSET(掉落_design!$E141,0,掉落_design!J$2+3,1,1))</f>
        <v/>
      </c>
      <c r="L170" s="16" t="str">
        <f ca="1">IF(OFFSET(掉落_design!$E141,0,掉落_design!K$2,1,1)="","",OFFSET(掉落_design!$E141,0,掉落_design!K$2,1,1)&amp;";"&amp;OFFSET(掉落_design!$E141,0,掉落_design!K$2+1,1,1)&amp;";"&amp;OFFSET(掉落_design!$E141,0,掉落_design!K$2+2,1,1)&amp;";"&amp;OFFSET(掉落_design!$E141,0,掉落_design!K$2+3,1,1))</f>
        <v/>
      </c>
      <c r="M170" s="16" t="str">
        <f ca="1">IF(OFFSET(掉落_design!$E141,0,掉落_design!L$2,1,1)="","",OFFSET(掉落_design!$E141,0,掉落_design!L$2,1,1)&amp;";"&amp;OFFSET(掉落_design!$E141,0,掉落_design!L$2+1,1,1)&amp;";"&amp;OFFSET(掉落_design!$E141,0,掉落_design!L$2+2,1,1)&amp;";"&amp;OFFSET(掉落_design!$E141,0,掉落_design!L$2+3,1,1))</f>
        <v/>
      </c>
      <c r="N170" s="16" t="str">
        <f ca="1">IF(OFFSET(掉落_design!$E141,0,掉落_design!M$2,1,1)="","",OFFSET(掉落_design!$E141,0,掉落_design!M$2,1,1)&amp;";"&amp;OFFSET(掉落_design!$E141,0,掉落_design!M$2+1,1,1)&amp;";"&amp;OFFSET(掉落_design!$E141,0,掉落_design!M$2+2,1,1)&amp;";"&amp;OFFSET(掉落_design!$E141,0,掉落_design!M$2+3,1,1))</f>
        <v/>
      </c>
      <c r="O170" s="16" t="str">
        <f ca="1">IF(OFFSET(掉落_design!$E141,0,掉落_design!N$2,1,1)="","",OFFSET(掉落_design!$E141,0,掉落_design!N$2,1,1)&amp;";"&amp;OFFSET(掉落_design!$E141,0,掉落_design!N$2+1,1,1)&amp;";"&amp;OFFSET(掉落_design!$E141,0,掉落_design!N$2+2,1,1)&amp;";"&amp;OFFSET(掉落_design!$E141,0,掉落_design!N$2+3,1,1))</f>
        <v/>
      </c>
      <c r="P170" s="16" t="str">
        <f ca="1">IF(OFFSET(掉落_design!$E141,0,掉落_design!O$2,1,1)="","",OFFSET(掉落_design!$E141,0,掉落_design!O$2,1,1)&amp;";"&amp;OFFSET(掉落_design!$E141,0,掉落_design!O$2+1,1,1)&amp;";"&amp;OFFSET(掉落_design!$E141,0,掉落_design!O$2+2,1,1)&amp;";"&amp;OFFSET(掉落_design!$E141,0,掉落_design!O$2+3,1,1))</f>
        <v/>
      </c>
      <c r="Q170" s="25"/>
      <c r="R170" s="25"/>
      <c r="S170" s="25"/>
    </row>
    <row r="171" spans="1:19" x14ac:dyDescent="0.15">
      <c r="A171" s="11" t="str">
        <f t="shared" si="32"/>
        <v/>
      </c>
      <c r="B171" s="25"/>
      <c r="C171" s="25"/>
      <c r="D171" s="15" t="str">
        <f>IF(掉落_design!C142="","",掉落_design!C142)</f>
        <v/>
      </c>
      <c r="E171" s="15" t="str">
        <f>IF(A171="","",掉落_design!D142)</f>
        <v/>
      </c>
      <c r="F171" s="16" t="str">
        <f ca="1">IF(OFFSET(掉落_design!$E142,0,掉落_design!E$2,1,1)="","",OFFSET(掉落_design!$E142,0,掉落_design!E$2,1,1)&amp;";"&amp;OFFSET(掉落_design!$E142,0,掉落_design!E$2+1,1,1)&amp;";"&amp;OFFSET(掉落_design!$E142,0,掉落_design!E$2+2,1,1)&amp;";"&amp;OFFSET(掉落_design!$E142,0,掉落_design!E$2+3,1,1))</f>
        <v/>
      </c>
      <c r="G171" s="16" t="str">
        <f ca="1">IF(OFFSET(掉落_design!$E142,0,掉落_design!F$2,1,1)="","",OFFSET(掉落_design!$E142,0,掉落_design!F$2,1,1)&amp;";"&amp;OFFSET(掉落_design!$E142,0,掉落_design!F$2+1,1,1)&amp;";"&amp;OFFSET(掉落_design!$E142,0,掉落_design!F$2+2,1,1)&amp;";"&amp;OFFSET(掉落_design!$E142,0,掉落_design!F$2+3,1,1))</f>
        <v/>
      </c>
      <c r="H171" s="16" t="str">
        <f ca="1">IF(OFFSET(掉落_design!$E142,0,掉落_design!G$2,1,1)="","",OFFSET(掉落_design!$E142,0,掉落_design!G$2,1,1)&amp;";"&amp;OFFSET(掉落_design!$E142,0,掉落_design!G$2+1,1,1)&amp;";"&amp;OFFSET(掉落_design!$E142,0,掉落_design!G$2+2,1,1)&amp;";"&amp;OFFSET(掉落_design!$E142,0,掉落_design!G$2+3,1,1))</f>
        <v/>
      </c>
      <c r="I171" s="16" t="str">
        <f ca="1">IF(OFFSET(掉落_design!$E142,0,掉落_design!H$2,1,1)="","",OFFSET(掉落_design!$E142,0,掉落_design!H$2,1,1)&amp;";"&amp;OFFSET(掉落_design!$E142,0,掉落_design!H$2+1,1,1)&amp;";"&amp;OFFSET(掉落_design!$E142,0,掉落_design!H$2+2,1,1)&amp;";"&amp;OFFSET(掉落_design!$E142,0,掉落_design!H$2+3,1,1))</f>
        <v/>
      </c>
      <c r="J171" s="16" t="str">
        <f ca="1">IF(OFFSET(掉落_design!$E142,0,掉落_design!I$2,1,1)="","",OFFSET(掉落_design!$E142,0,掉落_design!I$2,1,1)&amp;";"&amp;OFFSET(掉落_design!$E142,0,掉落_design!I$2+1,1,1)&amp;";"&amp;OFFSET(掉落_design!$E142,0,掉落_design!I$2+2,1,1)&amp;";"&amp;OFFSET(掉落_design!$E142,0,掉落_design!I$2+3,1,1))</f>
        <v/>
      </c>
      <c r="K171" s="16" t="str">
        <f ca="1">IF(OFFSET(掉落_design!$E142,0,掉落_design!J$2,1,1)="","",OFFSET(掉落_design!$E142,0,掉落_design!J$2,1,1)&amp;";"&amp;OFFSET(掉落_design!$E142,0,掉落_design!J$2+1,1,1)&amp;";"&amp;OFFSET(掉落_design!$E142,0,掉落_design!J$2+2,1,1)&amp;";"&amp;OFFSET(掉落_design!$E142,0,掉落_design!J$2+3,1,1))</f>
        <v/>
      </c>
      <c r="L171" s="16" t="str">
        <f ca="1">IF(OFFSET(掉落_design!$E142,0,掉落_design!K$2,1,1)="","",OFFSET(掉落_design!$E142,0,掉落_design!K$2,1,1)&amp;";"&amp;OFFSET(掉落_design!$E142,0,掉落_design!K$2+1,1,1)&amp;";"&amp;OFFSET(掉落_design!$E142,0,掉落_design!K$2+2,1,1)&amp;";"&amp;OFFSET(掉落_design!$E142,0,掉落_design!K$2+3,1,1))</f>
        <v/>
      </c>
      <c r="M171" s="16" t="str">
        <f ca="1">IF(OFFSET(掉落_design!$E142,0,掉落_design!L$2,1,1)="","",OFFSET(掉落_design!$E142,0,掉落_design!L$2,1,1)&amp;";"&amp;OFFSET(掉落_design!$E142,0,掉落_design!L$2+1,1,1)&amp;";"&amp;OFFSET(掉落_design!$E142,0,掉落_design!L$2+2,1,1)&amp;";"&amp;OFFSET(掉落_design!$E142,0,掉落_design!L$2+3,1,1))</f>
        <v/>
      </c>
      <c r="N171" s="16" t="str">
        <f ca="1">IF(OFFSET(掉落_design!$E142,0,掉落_design!M$2,1,1)="","",OFFSET(掉落_design!$E142,0,掉落_design!M$2,1,1)&amp;";"&amp;OFFSET(掉落_design!$E142,0,掉落_design!M$2+1,1,1)&amp;";"&amp;OFFSET(掉落_design!$E142,0,掉落_design!M$2+2,1,1)&amp;";"&amp;OFFSET(掉落_design!$E142,0,掉落_design!M$2+3,1,1))</f>
        <v/>
      </c>
      <c r="O171" s="16" t="str">
        <f ca="1">IF(OFFSET(掉落_design!$E142,0,掉落_design!N$2,1,1)="","",OFFSET(掉落_design!$E142,0,掉落_design!N$2,1,1)&amp;";"&amp;OFFSET(掉落_design!$E142,0,掉落_design!N$2+1,1,1)&amp;";"&amp;OFFSET(掉落_design!$E142,0,掉落_design!N$2+2,1,1)&amp;";"&amp;OFFSET(掉落_design!$E142,0,掉落_design!N$2+3,1,1))</f>
        <v/>
      </c>
      <c r="P171" s="16" t="str">
        <f ca="1">IF(OFFSET(掉落_design!$E142,0,掉落_design!O$2,1,1)="","",OFFSET(掉落_design!$E142,0,掉落_design!O$2,1,1)&amp;";"&amp;OFFSET(掉落_design!$E142,0,掉落_design!O$2+1,1,1)&amp;";"&amp;OFFSET(掉落_design!$E142,0,掉落_design!O$2+2,1,1)&amp;";"&amp;OFFSET(掉落_design!$E142,0,掉落_design!O$2+3,1,1))</f>
        <v/>
      </c>
      <c r="Q171" s="25"/>
      <c r="R171" s="25"/>
      <c r="S171" s="25"/>
    </row>
    <row r="172" spans="1:19" x14ac:dyDescent="0.15">
      <c r="A172" s="11" t="str">
        <f t="shared" si="32"/>
        <v/>
      </c>
      <c r="B172" s="25"/>
      <c r="C172" s="25"/>
      <c r="D172" s="15" t="str">
        <f>IF(掉落_design!C143="","",掉落_design!C143)</f>
        <v/>
      </c>
      <c r="E172" s="15" t="str">
        <f>IF(A172="","",掉落_design!D143)</f>
        <v/>
      </c>
      <c r="F172" s="16" t="str">
        <f ca="1">IF(OFFSET(掉落_design!$E143,0,掉落_design!E$2,1,1)="","",OFFSET(掉落_design!$E143,0,掉落_design!E$2,1,1)&amp;";"&amp;OFFSET(掉落_design!$E143,0,掉落_design!E$2+1,1,1)&amp;";"&amp;OFFSET(掉落_design!$E143,0,掉落_design!E$2+2,1,1)&amp;";"&amp;OFFSET(掉落_design!$E143,0,掉落_design!E$2+3,1,1))</f>
        <v/>
      </c>
      <c r="G172" s="16" t="str">
        <f ca="1">IF(OFFSET(掉落_design!$E143,0,掉落_design!F$2,1,1)="","",OFFSET(掉落_design!$E143,0,掉落_design!F$2,1,1)&amp;";"&amp;OFFSET(掉落_design!$E143,0,掉落_design!F$2+1,1,1)&amp;";"&amp;OFFSET(掉落_design!$E143,0,掉落_design!F$2+2,1,1)&amp;";"&amp;OFFSET(掉落_design!$E143,0,掉落_design!F$2+3,1,1))</f>
        <v/>
      </c>
      <c r="H172" s="16" t="str">
        <f ca="1">IF(OFFSET(掉落_design!$E143,0,掉落_design!G$2,1,1)="","",OFFSET(掉落_design!$E143,0,掉落_design!G$2,1,1)&amp;";"&amp;OFFSET(掉落_design!$E143,0,掉落_design!G$2+1,1,1)&amp;";"&amp;OFFSET(掉落_design!$E143,0,掉落_design!G$2+2,1,1)&amp;";"&amp;OFFSET(掉落_design!$E143,0,掉落_design!G$2+3,1,1))</f>
        <v/>
      </c>
      <c r="I172" s="16" t="str">
        <f ca="1">IF(OFFSET(掉落_design!$E143,0,掉落_design!H$2,1,1)="","",OFFSET(掉落_design!$E143,0,掉落_design!H$2,1,1)&amp;";"&amp;OFFSET(掉落_design!$E143,0,掉落_design!H$2+1,1,1)&amp;";"&amp;OFFSET(掉落_design!$E143,0,掉落_design!H$2+2,1,1)&amp;";"&amp;OFFSET(掉落_design!$E143,0,掉落_design!H$2+3,1,1))</f>
        <v/>
      </c>
      <c r="J172" s="16" t="str">
        <f ca="1">IF(OFFSET(掉落_design!$E143,0,掉落_design!I$2,1,1)="","",OFFSET(掉落_design!$E143,0,掉落_design!I$2,1,1)&amp;";"&amp;OFFSET(掉落_design!$E143,0,掉落_design!I$2+1,1,1)&amp;";"&amp;OFFSET(掉落_design!$E143,0,掉落_design!I$2+2,1,1)&amp;";"&amp;OFFSET(掉落_design!$E143,0,掉落_design!I$2+3,1,1))</f>
        <v/>
      </c>
      <c r="K172" s="16" t="str">
        <f ca="1">IF(OFFSET(掉落_design!$E143,0,掉落_design!J$2,1,1)="","",OFFSET(掉落_design!$E143,0,掉落_design!J$2,1,1)&amp;";"&amp;OFFSET(掉落_design!$E143,0,掉落_design!J$2+1,1,1)&amp;";"&amp;OFFSET(掉落_design!$E143,0,掉落_design!J$2+2,1,1)&amp;";"&amp;OFFSET(掉落_design!$E143,0,掉落_design!J$2+3,1,1))</f>
        <v/>
      </c>
      <c r="L172" s="16" t="str">
        <f ca="1">IF(OFFSET(掉落_design!$E143,0,掉落_design!K$2,1,1)="","",OFFSET(掉落_design!$E143,0,掉落_design!K$2,1,1)&amp;";"&amp;OFFSET(掉落_design!$E143,0,掉落_design!K$2+1,1,1)&amp;";"&amp;OFFSET(掉落_design!$E143,0,掉落_design!K$2+2,1,1)&amp;";"&amp;OFFSET(掉落_design!$E143,0,掉落_design!K$2+3,1,1))</f>
        <v/>
      </c>
      <c r="M172" s="16" t="str">
        <f ca="1">IF(OFFSET(掉落_design!$E143,0,掉落_design!L$2,1,1)="","",OFFSET(掉落_design!$E143,0,掉落_design!L$2,1,1)&amp;";"&amp;OFFSET(掉落_design!$E143,0,掉落_design!L$2+1,1,1)&amp;";"&amp;OFFSET(掉落_design!$E143,0,掉落_design!L$2+2,1,1)&amp;";"&amp;OFFSET(掉落_design!$E143,0,掉落_design!L$2+3,1,1))</f>
        <v/>
      </c>
      <c r="N172" s="16" t="str">
        <f ca="1">IF(OFFSET(掉落_design!$E143,0,掉落_design!M$2,1,1)="","",OFFSET(掉落_design!$E143,0,掉落_design!M$2,1,1)&amp;";"&amp;OFFSET(掉落_design!$E143,0,掉落_design!M$2+1,1,1)&amp;";"&amp;OFFSET(掉落_design!$E143,0,掉落_design!M$2+2,1,1)&amp;";"&amp;OFFSET(掉落_design!$E143,0,掉落_design!M$2+3,1,1))</f>
        <v/>
      </c>
      <c r="O172" s="16" t="str">
        <f ca="1">IF(OFFSET(掉落_design!$E143,0,掉落_design!N$2,1,1)="","",OFFSET(掉落_design!$E143,0,掉落_design!N$2,1,1)&amp;";"&amp;OFFSET(掉落_design!$E143,0,掉落_design!N$2+1,1,1)&amp;";"&amp;OFFSET(掉落_design!$E143,0,掉落_design!N$2+2,1,1)&amp;";"&amp;OFFSET(掉落_design!$E143,0,掉落_design!N$2+3,1,1))</f>
        <v/>
      </c>
      <c r="P172" s="16" t="str">
        <f ca="1">IF(OFFSET(掉落_design!$E143,0,掉落_design!O$2,1,1)="","",OFFSET(掉落_design!$E143,0,掉落_design!O$2,1,1)&amp;";"&amp;OFFSET(掉落_design!$E143,0,掉落_design!O$2+1,1,1)&amp;";"&amp;OFFSET(掉落_design!$E143,0,掉落_design!O$2+2,1,1)&amp;";"&amp;OFFSET(掉落_design!$E143,0,掉落_design!O$2+3,1,1))</f>
        <v/>
      </c>
      <c r="Q172" s="25"/>
      <c r="R172" s="25"/>
      <c r="S172" s="25"/>
    </row>
    <row r="173" spans="1:19" x14ac:dyDescent="0.15">
      <c r="A173" s="11" t="str">
        <f t="shared" si="32"/>
        <v/>
      </c>
      <c r="B173" s="25"/>
      <c r="C173" s="25"/>
      <c r="D173" s="15" t="str">
        <f>IF(掉落_design!C144="","",掉落_design!C144)</f>
        <v/>
      </c>
      <c r="E173" s="15" t="str">
        <f>IF(A173="","",掉落_design!D144)</f>
        <v/>
      </c>
      <c r="F173" s="16" t="str">
        <f ca="1">IF(OFFSET(掉落_design!$E144,0,掉落_design!E$2,1,1)="","",OFFSET(掉落_design!$E144,0,掉落_design!E$2,1,1)&amp;";"&amp;OFFSET(掉落_design!$E144,0,掉落_design!E$2+1,1,1)&amp;";"&amp;OFFSET(掉落_design!$E144,0,掉落_design!E$2+2,1,1)&amp;";"&amp;OFFSET(掉落_design!$E144,0,掉落_design!E$2+3,1,1))</f>
        <v/>
      </c>
      <c r="G173" s="16" t="str">
        <f ca="1">IF(OFFSET(掉落_design!$E144,0,掉落_design!F$2,1,1)="","",OFFSET(掉落_design!$E144,0,掉落_design!F$2,1,1)&amp;";"&amp;OFFSET(掉落_design!$E144,0,掉落_design!F$2+1,1,1)&amp;";"&amp;OFFSET(掉落_design!$E144,0,掉落_design!F$2+2,1,1)&amp;";"&amp;OFFSET(掉落_design!$E144,0,掉落_design!F$2+3,1,1))</f>
        <v/>
      </c>
      <c r="H173" s="16" t="str">
        <f ca="1">IF(OFFSET(掉落_design!$E144,0,掉落_design!G$2,1,1)="","",OFFSET(掉落_design!$E144,0,掉落_design!G$2,1,1)&amp;";"&amp;OFFSET(掉落_design!$E144,0,掉落_design!G$2+1,1,1)&amp;";"&amp;OFFSET(掉落_design!$E144,0,掉落_design!G$2+2,1,1)&amp;";"&amp;OFFSET(掉落_design!$E144,0,掉落_design!G$2+3,1,1))</f>
        <v/>
      </c>
      <c r="I173" s="16" t="str">
        <f ca="1">IF(OFFSET(掉落_design!$E144,0,掉落_design!H$2,1,1)="","",OFFSET(掉落_design!$E144,0,掉落_design!H$2,1,1)&amp;";"&amp;OFFSET(掉落_design!$E144,0,掉落_design!H$2+1,1,1)&amp;";"&amp;OFFSET(掉落_design!$E144,0,掉落_design!H$2+2,1,1)&amp;";"&amp;OFFSET(掉落_design!$E144,0,掉落_design!H$2+3,1,1))</f>
        <v/>
      </c>
      <c r="J173" s="16" t="str">
        <f ca="1">IF(OFFSET(掉落_design!$E144,0,掉落_design!I$2,1,1)="","",OFFSET(掉落_design!$E144,0,掉落_design!I$2,1,1)&amp;";"&amp;OFFSET(掉落_design!$E144,0,掉落_design!I$2+1,1,1)&amp;";"&amp;OFFSET(掉落_design!$E144,0,掉落_design!I$2+2,1,1)&amp;";"&amp;OFFSET(掉落_design!$E144,0,掉落_design!I$2+3,1,1))</f>
        <v/>
      </c>
      <c r="K173" s="16" t="str">
        <f ca="1">IF(OFFSET(掉落_design!$E144,0,掉落_design!J$2,1,1)="","",OFFSET(掉落_design!$E144,0,掉落_design!J$2,1,1)&amp;";"&amp;OFFSET(掉落_design!$E144,0,掉落_design!J$2+1,1,1)&amp;";"&amp;OFFSET(掉落_design!$E144,0,掉落_design!J$2+2,1,1)&amp;";"&amp;OFFSET(掉落_design!$E144,0,掉落_design!J$2+3,1,1))</f>
        <v/>
      </c>
      <c r="L173" s="16" t="str">
        <f ca="1">IF(OFFSET(掉落_design!$E144,0,掉落_design!K$2,1,1)="","",OFFSET(掉落_design!$E144,0,掉落_design!K$2,1,1)&amp;";"&amp;OFFSET(掉落_design!$E144,0,掉落_design!K$2+1,1,1)&amp;";"&amp;OFFSET(掉落_design!$E144,0,掉落_design!K$2+2,1,1)&amp;";"&amp;OFFSET(掉落_design!$E144,0,掉落_design!K$2+3,1,1))</f>
        <v/>
      </c>
      <c r="M173" s="16" t="str">
        <f ca="1">IF(OFFSET(掉落_design!$E144,0,掉落_design!L$2,1,1)="","",OFFSET(掉落_design!$E144,0,掉落_design!L$2,1,1)&amp;";"&amp;OFFSET(掉落_design!$E144,0,掉落_design!L$2+1,1,1)&amp;";"&amp;OFFSET(掉落_design!$E144,0,掉落_design!L$2+2,1,1)&amp;";"&amp;OFFSET(掉落_design!$E144,0,掉落_design!L$2+3,1,1))</f>
        <v/>
      </c>
      <c r="N173" s="16" t="str">
        <f ca="1">IF(OFFSET(掉落_design!$E144,0,掉落_design!M$2,1,1)="","",OFFSET(掉落_design!$E144,0,掉落_design!M$2,1,1)&amp;";"&amp;OFFSET(掉落_design!$E144,0,掉落_design!M$2+1,1,1)&amp;";"&amp;OFFSET(掉落_design!$E144,0,掉落_design!M$2+2,1,1)&amp;";"&amp;OFFSET(掉落_design!$E144,0,掉落_design!M$2+3,1,1))</f>
        <v/>
      </c>
      <c r="O173" s="16" t="str">
        <f ca="1">IF(OFFSET(掉落_design!$E144,0,掉落_design!N$2,1,1)="","",OFFSET(掉落_design!$E144,0,掉落_design!N$2,1,1)&amp;";"&amp;OFFSET(掉落_design!$E144,0,掉落_design!N$2+1,1,1)&amp;";"&amp;OFFSET(掉落_design!$E144,0,掉落_design!N$2+2,1,1)&amp;";"&amp;OFFSET(掉落_design!$E144,0,掉落_design!N$2+3,1,1))</f>
        <v/>
      </c>
      <c r="P173" s="16" t="str">
        <f ca="1">IF(OFFSET(掉落_design!$E144,0,掉落_design!O$2,1,1)="","",OFFSET(掉落_design!$E144,0,掉落_design!O$2,1,1)&amp;";"&amp;OFFSET(掉落_design!$E144,0,掉落_design!O$2+1,1,1)&amp;";"&amp;OFFSET(掉落_design!$E144,0,掉落_design!O$2+2,1,1)&amp;";"&amp;OFFSET(掉落_design!$E144,0,掉落_design!O$2+3,1,1))</f>
        <v/>
      </c>
      <c r="Q173" s="25"/>
      <c r="R173" s="25"/>
      <c r="S173" s="25"/>
    </row>
    <row r="174" spans="1:19" x14ac:dyDescent="0.15">
      <c r="A174" s="11" t="str">
        <f t="shared" si="32"/>
        <v/>
      </c>
      <c r="B174" s="25"/>
      <c r="C174" s="25"/>
      <c r="D174" s="15" t="str">
        <f>IF(掉落_design!C145="","",掉落_design!C145)</f>
        <v/>
      </c>
      <c r="E174" s="15" t="str">
        <f>IF(A174="","",掉落_design!D145)</f>
        <v/>
      </c>
      <c r="F174" s="16" t="str">
        <f ca="1">IF(OFFSET(掉落_design!$E145,0,掉落_design!E$2,1,1)="","",OFFSET(掉落_design!$E145,0,掉落_design!E$2,1,1)&amp;";"&amp;OFFSET(掉落_design!$E145,0,掉落_design!E$2+1,1,1)&amp;";"&amp;OFFSET(掉落_design!$E145,0,掉落_design!E$2+2,1,1)&amp;";"&amp;OFFSET(掉落_design!$E145,0,掉落_design!E$2+3,1,1))</f>
        <v/>
      </c>
      <c r="G174" s="16" t="str">
        <f ca="1">IF(OFFSET(掉落_design!$E145,0,掉落_design!F$2,1,1)="","",OFFSET(掉落_design!$E145,0,掉落_design!F$2,1,1)&amp;";"&amp;OFFSET(掉落_design!$E145,0,掉落_design!F$2+1,1,1)&amp;";"&amp;OFFSET(掉落_design!$E145,0,掉落_design!F$2+2,1,1)&amp;";"&amp;OFFSET(掉落_design!$E145,0,掉落_design!F$2+3,1,1))</f>
        <v/>
      </c>
      <c r="H174" s="16" t="str">
        <f ca="1">IF(OFFSET(掉落_design!$E145,0,掉落_design!G$2,1,1)="","",OFFSET(掉落_design!$E145,0,掉落_design!G$2,1,1)&amp;";"&amp;OFFSET(掉落_design!$E145,0,掉落_design!G$2+1,1,1)&amp;";"&amp;OFFSET(掉落_design!$E145,0,掉落_design!G$2+2,1,1)&amp;";"&amp;OFFSET(掉落_design!$E145,0,掉落_design!G$2+3,1,1))</f>
        <v/>
      </c>
      <c r="I174" s="16" t="str">
        <f ca="1">IF(OFFSET(掉落_design!$E145,0,掉落_design!H$2,1,1)="","",OFFSET(掉落_design!$E145,0,掉落_design!H$2,1,1)&amp;";"&amp;OFFSET(掉落_design!$E145,0,掉落_design!H$2+1,1,1)&amp;";"&amp;OFFSET(掉落_design!$E145,0,掉落_design!H$2+2,1,1)&amp;";"&amp;OFFSET(掉落_design!$E145,0,掉落_design!H$2+3,1,1))</f>
        <v/>
      </c>
      <c r="J174" s="16" t="str">
        <f ca="1">IF(OFFSET(掉落_design!$E145,0,掉落_design!I$2,1,1)="","",OFFSET(掉落_design!$E145,0,掉落_design!I$2,1,1)&amp;";"&amp;OFFSET(掉落_design!$E145,0,掉落_design!I$2+1,1,1)&amp;";"&amp;OFFSET(掉落_design!$E145,0,掉落_design!I$2+2,1,1)&amp;";"&amp;OFFSET(掉落_design!$E145,0,掉落_design!I$2+3,1,1))</f>
        <v/>
      </c>
      <c r="K174" s="16" t="str">
        <f ca="1">IF(OFFSET(掉落_design!$E145,0,掉落_design!J$2,1,1)="","",OFFSET(掉落_design!$E145,0,掉落_design!J$2,1,1)&amp;";"&amp;OFFSET(掉落_design!$E145,0,掉落_design!J$2+1,1,1)&amp;";"&amp;OFFSET(掉落_design!$E145,0,掉落_design!J$2+2,1,1)&amp;";"&amp;OFFSET(掉落_design!$E145,0,掉落_design!J$2+3,1,1))</f>
        <v/>
      </c>
      <c r="L174" s="16" t="str">
        <f ca="1">IF(OFFSET(掉落_design!$E145,0,掉落_design!K$2,1,1)="","",OFFSET(掉落_design!$E145,0,掉落_design!K$2,1,1)&amp;";"&amp;OFFSET(掉落_design!$E145,0,掉落_design!K$2+1,1,1)&amp;";"&amp;OFFSET(掉落_design!$E145,0,掉落_design!K$2+2,1,1)&amp;";"&amp;OFFSET(掉落_design!$E145,0,掉落_design!K$2+3,1,1))</f>
        <v/>
      </c>
      <c r="M174" s="16" t="str">
        <f ca="1">IF(OFFSET(掉落_design!$E145,0,掉落_design!L$2,1,1)="","",OFFSET(掉落_design!$E145,0,掉落_design!L$2,1,1)&amp;";"&amp;OFFSET(掉落_design!$E145,0,掉落_design!L$2+1,1,1)&amp;";"&amp;OFFSET(掉落_design!$E145,0,掉落_design!L$2+2,1,1)&amp;";"&amp;OFFSET(掉落_design!$E145,0,掉落_design!L$2+3,1,1))</f>
        <v/>
      </c>
      <c r="N174" s="16" t="str">
        <f ca="1">IF(OFFSET(掉落_design!$E145,0,掉落_design!M$2,1,1)="","",OFFSET(掉落_design!$E145,0,掉落_design!M$2,1,1)&amp;";"&amp;OFFSET(掉落_design!$E145,0,掉落_design!M$2+1,1,1)&amp;";"&amp;OFFSET(掉落_design!$E145,0,掉落_design!M$2+2,1,1)&amp;";"&amp;OFFSET(掉落_design!$E145,0,掉落_design!M$2+3,1,1))</f>
        <v/>
      </c>
      <c r="O174" s="16" t="str">
        <f ca="1">IF(OFFSET(掉落_design!$E145,0,掉落_design!N$2,1,1)="","",OFFSET(掉落_design!$E145,0,掉落_design!N$2,1,1)&amp;";"&amp;OFFSET(掉落_design!$E145,0,掉落_design!N$2+1,1,1)&amp;";"&amp;OFFSET(掉落_design!$E145,0,掉落_design!N$2+2,1,1)&amp;";"&amp;OFFSET(掉落_design!$E145,0,掉落_design!N$2+3,1,1))</f>
        <v/>
      </c>
      <c r="P174" s="16" t="str">
        <f ca="1">IF(OFFSET(掉落_design!$E145,0,掉落_design!O$2,1,1)="","",OFFSET(掉落_design!$E145,0,掉落_design!O$2,1,1)&amp;";"&amp;OFFSET(掉落_design!$E145,0,掉落_design!O$2+1,1,1)&amp;";"&amp;OFFSET(掉落_design!$E145,0,掉落_design!O$2+2,1,1)&amp;";"&amp;OFFSET(掉落_design!$E145,0,掉落_design!O$2+3,1,1))</f>
        <v/>
      </c>
      <c r="Q174" s="25"/>
      <c r="R174" s="25"/>
      <c r="S174" s="25"/>
    </row>
    <row r="175" spans="1:19" x14ac:dyDescent="0.15">
      <c r="A175" s="11" t="str">
        <f t="shared" si="32"/>
        <v/>
      </c>
      <c r="B175" s="25"/>
      <c r="C175" s="25"/>
      <c r="D175" s="15" t="str">
        <f>IF(掉落_design!C146="","",掉落_design!C146)</f>
        <v/>
      </c>
      <c r="E175" s="15" t="str">
        <f>IF(A175="","",掉落_design!D146)</f>
        <v/>
      </c>
      <c r="F175" s="16" t="str">
        <f ca="1">IF(OFFSET(掉落_design!$E146,0,掉落_design!E$2,1,1)="","",OFFSET(掉落_design!$E146,0,掉落_design!E$2,1,1)&amp;";"&amp;OFFSET(掉落_design!$E146,0,掉落_design!E$2+1,1,1)&amp;";"&amp;OFFSET(掉落_design!$E146,0,掉落_design!E$2+2,1,1)&amp;";"&amp;OFFSET(掉落_design!$E146,0,掉落_design!E$2+3,1,1))</f>
        <v/>
      </c>
      <c r="G175" s="16" t="str">
        <f ca="1">IF(OFFSET(掉落_design!$E146,0,掉落_design!F$2,1,1)="","",OFFSET(掉落_design!$E146,0,掉落_design!F$2,1,1)&amp;";"&amp;OFFSET(掉落_design!$E146,0,掉落_design!F$2+1,1,1)&amp;";"&amp;OFFSET(掉落_design!$E146,0,掉落_design!F$2+2,1,1)&amp;";"&amp;OFFSET(掉落_design!$E146,0,掉落_design!F$2+3,1,1))</f>
        <v/>
      </c>
      <c r="H175" s="16" t="str">
        <f ca="1">IF(OFFSET(掉落_design!$E146,0,掉落_design!G$2,1,1)="","",OFFSET(掉落_design!$E146,0,掉落_design!G$2,1,1)&amp;";"&amp;OFFSET(掉落_design!$E146,0,掉落_design!G$2+1,1,1)&amp;";"&amp;OFFSET(掉落_design!$E146,0,掉落_design!G$2+2,1,1)&amp;";"&amp;OFFSET(掉落_design!$E146,0,掉落_design!G$2+3,1,1))</f>
        <v/>
      </c>
      <c r="I175" s="16" t="str">
        <f ca="1">IF(OFFSET(掉落_design!$E146,0,掉落_design!H$2,1,1)="","",OFFSET(掉落_design!$E146,0,掉落_design!H$2,1,1)&amp;";"&amp;OFFSET(掉落_design!$E146,0,掉落_design!H$2+1,1,1)&amp;";"&amp;OFFSET(掉落_design!$E146,0,掉落_design!H$2+2,1,1)&amp;";"&amp;OFFSET(掉落_design!$E146,0,掉落_design!H$2+3,1,1))</f>
        <v/>
      </c>
      <c r="J175" s="16" t="str">
        <f ca="1">IF(OFFSET(掉落_design!$E146,0,掉落_design!I$2,1,1)="","",OFFSET(掉落_design!$E146,0,掉落_design!I$2,1,1)&amp;";"&amp;OFFSET(掉落_design!$E146,0,掉落_design!I$2+1,1,1)&amp;";"&amp;OFFSET(掉落_design!$E146,0,掉落_design!I$2+2,1,1)&amp;";"&amp;OFFSET(掉落_design!$E146,0,掉落_design!I$2+3,1,1))</f>
        <v/>
      </c>
      <c r="K175" s="16" t="str">
        <f ca="1">IF(OFFSET(掉落_design!$E146,0,掉落_design!J$2,1,1)="","",OFFSET(掉落_design!$E146,0,掉落_design!J$2,1,1)&amp;";"&amp;OFFSET(掉落_design!$E146,0,掉落_design!J$2+1,1,1)&amp;";"&amp;OFFSET(掉落_design!$E146,0,掉落_design!J$2+2,1,1)&amp;";"&amp;OFFSET(掉落_design!$E146,0,掉落_design!J$2+3,1,1))</f>
        <v/>
      </c>
      <c r="L175" s="16" t="str">
        <f ca="1">IF(OFFSET(掉落_design!$E146,0,掉落_design!K$2,1,1)="","",OFFSET(掉落_design!$E146,0,掉落_design!K$2,1,1)&amp;";"&amp;OFFSET(掉落_design!$E146,0,掉落_design!K$2+1,1,1)&amp;";"&amp;OFFSET(掉落_design!$E146,0,掉落_design!K$2+2,1,1)&amp;";"&amp;OFFSET(掉落_design!$E146,0,掉落_design!K$2+3,1,1))</f>
        <v/>
      </c>
      <c r="M175" s="16" t="str">
        <f ca="1">IF(OFFSET(掉落_design!$E146,0,掉落_design!L$2,1,1)="","",OFFSET(掉落_design!$E146,0,掉落_design!L$2,1,1)&amp;";"&amp;OFFSET(掉落_design!$E146,0,掉落_design!L$2+1,1,1)&amp;";"&amp;OFFSET(掉落_design!$E146,0,掉落_design!L$2+2,1,1)&amp;";"&amp;OFFSET(掉落_design!$E146,0,掉落_design!L$2+3,1,1))</f>
        <v/>
      </c>
      <c r="N175" s="16" t="str">
        <f ca="1">IF(OFFSET(掉落_design!$E146,0,掉落_design!M$2,1,1)="","",OFFSET(掉落_design!$E146,0,掉落_design!M$2,1,1)&amp;";"&amp;OFFSET(掉落_design!$E146,0,掉落_design!M$2+1,1,1)&amp;";"&amp;OFFSET(掉落_design!$E146,0,掉落_design!M$2+2,1,1)&amp;";"&amp;OFFSET(掉落_design!$E146,0,掉落_design!M$2+3,1,1))</f>
        <v/>
      </c>
      <c r="O175" s="16" t="str">
        <f ca="1">IF(OFFSET(掉落_design!$E146,0,掉落_design!N$2,1,1)="","",OFFSET(掉落_design!$E146,0,掉落_design!N$2,1,1)&amp;";"&amp;OFFSET(掉落_design!$E146,0,掉落_design!N$2+1,1,1)&amp;";"&amp;OFFSET(掉落_design!$E146,0,掉落_design!N$2+2,1,1)&amp;";"&amp;OFFSET(掉落_design!$E146,0,掉落_design!N$2+3,1,1))</f>
        <v/>
      </c>
      <c r="P175" s="16" t="str">
        <f ca="1">IF(OFFSET(掉落_design!$E146,0,掉落_design!O$2,1,1)="","",OFFSET(掉落_design!$E146,0,掉落_design!O$2,1,1)&amp;";"&amp;OFFSET(掉落_design!$E146,0,掉落_design!O$2+1,1,1)&amp;";"&amp;OFFSET(掉落_design!$E146,0,掉落_design!O$2+2,1,1)&amp;";"&amp;OFFSET(掉落_design!$E146,0,掉落_design!O$2+3,1,1))</f>
        <v/>
      </c>
      <c r="Q175" s="25"/>
      <c r="R175" s="25"/>
      <c r="S175" s="25"/>
    </row>
    <row r="176" spans="1:19" x14ac:dyDescent="0.15">
      <c r="A176" s="11" t="str">
        <f t="shared" si="32"/>
        <v/>
      </c>
      <c r="B176" s="25"/>
      <c r="C176" s="25"/>
      <c r="D176" s="15" t="str">
        <f>IF(掉落_design!C147="","",掉落_design!C147)</f>
        <v/>
      </c>
      <c r="E176" s="15" t="str">
        <f>IF(A176="","",掉落_design!D147)</f>
        <v/>
      </c>
      <c r="F176" s="16" t="str">
        <f ca="1">IF(OFFSET(掉落_design!$E147,0,掉落_design!E$2,1,1)="","",OFFSET(掉落_design!$E147,0,掉落_design!E$2,1,1)&amp;";"&amp;OFFSET(掉落_design!$E147,0,掉落_design!E$2+1,1,1)&amp;";"&amp;OFFSET(掉落_design!$E147,0,掉落_design!E$2+2,1,1)&amp;";"&amp;OFFSET(掉落_design!$E147,0,掉落_design!E$2+3,1,1))</f>
        <v/>
      </c>
      <c r="G176" s="16" t="str">
        <f ca="1">IF(OFFSET(掉落_design!$E147,0,掉落_design!F$2,1,1)="","",OFFSET(掉落_design!$E147,0,掉落_design!F$2,1,1)&amp;";"&amp;OFFSET(掉落_design!$E147,0,掉落_design!F$2+1,1,1)&amp;";"&amp;OFFSET(掉落_design!$E147,0,掉落_design!F$2+2,1,1)&amp;";"&amp;OFFSET(掉落_design!$E147,0,掉落_design!F$2+3,1,1))</f>
        <v/>
      </c>
      <c r="H176" s="16" t="str">
        <f ca="1">IF(OFFSET(掉落_design!$E147,0,掉落_design!G$2,1,1)="","",OFFSET(掉落_design!$E147,0,掉落_design!G$2,1,1)&amp;";"&amp;OFFSET(掉落_design!$E147,0,掉落_design!G$2+1,1,1)&amp;";"&amp;OFFSET(掉落_design!$E147,0,掉落_design!G$2+2,1,1)&amp;";"&amp;OFFSET(掉落_design!$E147,0,掉落_design!G$2+3,1,1))</f>
        <v/>
      </c>
      <c r="I176" s="16" t="str">
        <f ca="1">IF(OFFSET(掉落_design!$E147,0,掉落_design!H$2,1,1)="","",OFFSET(掉落_design!$E147,0,掉落_design!H$2,1,1)&amp;";"&amp;OFFSET(掉落_design!$E147,0,掉落_design!H$2+1,1,1)&amp;";"&amp;OFFSET(掉落_design!$E147,0,掉落_design!H$2+2,1,1)&amp;";"&amp;OFFSET(掉落_design!$E147,0,掉落_design!H$2+3,1,1))</f>
        <v/>
      </c>
      <c r="J176" s="16" t="str">
        <f ca="1">IF(OFFSET(掉落_design!$E147,0,掉落_design!I$2,1,1)="","",OFFSET(掉落_design!$E147,0,掉落_design!I$2,1,1)&amp;";"&amp;OFFSET(掉落_design!$E147,0,掉落_design!I$2+1,1,1)&amp;";"&amp;OFFSET(掉落_design!$E147,0,掉落_design!I$2+2,1,1)&amp;";"&amp;OFFSET(掉落_design!$E147,0,掉落_design!I$2+3,1,1))</f>
        <v/>
      </c>
      <c r="K176" s="16" t="str">
        <f ca="1">IF(OFFSET(掉落_design!$E147,0,掉落_design!J$2,1,1)="","",OFFSET(掉落_design!$E147,0,掉落_design!J$2,1,1)&amp;";"&amp;OFFSET(掉落_design!$E147,0,掉落_design!J$2+1,1,1)&amp;";"&amp;OFFSET(掉落_design!$E147,0,掉落_design!J$2+2,1,1)&amp;";"&amp;OFFSET(掉落_design!$E147,0,掉落_design!J$2+3,1,1))</f>
        <v/>
      </c>
      <c r="L176" s="16" t="str">
        <f ca="1">IF(OFFSET(掉落_design!$E147,0,掉落_design!K$2,1,1)="","",OFFSET(掉落_design!$E147,0,掉落_design!K$2,1,1)&amp;";"&amp;OFFSET(掉落_design!$E147,0,掉落_design!K$2+1,1,1)&amp;";"&amp;OFFSET(掉落_design!$E147,0,掉落_design!K$2+2,1,1)&amp;";"&amp;OFFSET(掉落_design!$E147,0,掉落_design!K$2+3,1,1))</f>
        <v/>
      </c>
      <c r="M176" s="16" t="str">
        <f ca="1">IF(OFFSET(掉落_design!$E147,0,掉落_design!L$2,1,1)="","",OFFSET(掉落_design!$E147,0,掉落_design!L$2,1,1)&amp;";"&amp;OFFSET(掉落_design!$E147,0,掉落_design!L$2+1,1,1)&amp;";"&amp;OFFSET(掉落_design!$E147,0,掉落_design!L$2+2,1,1)&amp;";"&amp;OFFSET(掉落_design!$E147,0,掉落_design!L$2+3,1,1))</f>
        <v/>
      </c>
      <c r="N176" s="16" t="str">
        <f ca="1">IF(OFFSET(掉落_design!$E147,0,掉落_design!M$2,1,1)="","",OFFSET(掉落_design!$E147,0,掉落_design!M$2,1,1)&amp;";"&amp;OFFSET(掉落_design!$E147,0,掉落_design!M$2+1,1,1)&amp;";"&amp;OFFSET(掉落_design!$E147,0,掉落_design!M$2+2,1,1)&amp;";"&amp;OFFSET(掉落_design!$E147,0,掉落_design!M$2+3,1,1))</f>
        <v/>
      </c>
      <c r="O176" s="16" t="str">
        <f ca="1">IF(OFFSET(掉落_design!$E147,0,掉落_design!N$2,1,1)="","",OFFSET(掉落_design!$E147,0,掉落_design!N$2,1,1)&amp;";"&amp;OFFSET(掉落_design!$E147,0,掉落_design!N$2+1,1,1)&amp;";"&amp;OFFSET(掉落_design!$E147,0,掉落_design!N$2+2,1,1)&amp;";"&amp;OFFSET(掉落_design!$E147,0,掉落_design!N$2+3,1,1))</f>
        <v/>
      </c>
      <c r="P176" s="16" t="str">
        <f ca="1">IF(OFFSET(掉落_design!$E147,0,掉落_design!O$2,1,1)="","",OFFSET(掉落_design!$E147,0,掉落_design!O$2,1,1)&amp;";"&amp;OFFSET(掉落_design!$E147,0,掉落_design!O$2+1,1,1)&amp;";"&amp;OFFSET(掉落_design!$E147,0,掉落_design!O$2+2,1,1)&amp;";"&amp;OFFSET(掉落_design!$E147,0,掉落_design!O$2+3,1,1))</f>
        <v/>
      </c>
      <c r="Q176" s="25"/>
      <c r="R176" s="25"/>
      <c r="S176" s="25"/>
    </row>
    <row r="177" spans="1:19" x14ac:dyDescent="0.15">
      <c r="A177" s="11" t="str">
        <f t="shared" si="32"/>
        <v/>
      </c>
      <c r="B177" s="25"/>
      <c r="C177" s="25"/>
      <c r="D177" s="15" t="str">
        <f>IF(掉落_design!C148="","",掉落_design!C148)</f>
        <v/>
      </c>
      <c r="E177" s="15" t="str">
        <f>IF(A177="","",掉落_design!D148)</f>
        <v/>
      </c>
      <c r="F177" s="16" t="str">
        <f ca="1">IF(OFFSET(掉落_design!$E148,0,掉落_design!E$2,1,1)="","",OFFSET(掉落_design!$E148,0,掉落_design!E$2,1,1)&amp;";"&amp;OFFSET(掉落_design!$E148,0,掉落_design!E$2+1,1,1)&amp;";"&amp;OFFSET(掉落_design!$E148,0,掉落_design!E$2+2,1,1)&amp;";"&amp;OFFSET(掉落_design!$E148,0,掉落_design!E$2+3,1,1))</f>
        <v/>
      </c>
      <c r="G177" s="16" t="str">
        <f ca="1">IF(OFFSET(掉落_design!$E148,0,掉落_design!F$2,1,1)="","",OFFSET(掉落_design!$E148,0,掉落_design!F$2,1,1)&amp;";"&amp;OFFSET(掉落_design!$E148,0,掉落_design!F$2+1,1,1)&amp;";"&amp;OFFSET(掉落_design!$E148,0,掉落_design!F$2+2,1,1)&amp;";"&amp;OFFSET(掉落_design!$E148,0,掉落_design!F$2+3,1,1))</f>
        <v/>
      </c>
      <c r="H177" s="16" t="str">
        <f ca="1">IF(OFFSET(掉落_design!$E148,0,掉落_design!G$2,1,1)="","",OFFSET(掉落_design!$E148,0,掉落_design!G$2,1,1)&amp;";"&amp;OFFSET(掉落_design!$E148,0,掉落_design!G$2+1,1,1)&amp;";"&amp;OFFSET(掉落_design!$E148,0,掉落_design!G$2+2,1,1)&amp;";"&amp;OFFSET(掉落_design!$E148,0,掉落_design!G$2+3,1,1))</f>
        <v/>
      </c>
      <c r="I177" s="16" t="str">
        <f ca="1">IF(OFFSET(掉落_design!$E148,0,掉落_design!H$2,1,1)="","",OFFSET(掉落_design!$E148,0,掉落_design!H$2,1,1)&amp;";"&amp;OFFSET(掉落_design!$E148,0,掉落_design!H$2+1,1,1)&amp;";"&amp;OFFSET(掉落_design!$E148,0,掉落_design!H$2+2,1,1)&amp;";"&amp;OFFSET(掉落_design!$E148,0,掉落_design!H$2+3,1,1))</f>
        <v/>
      </c>
      <c r="J177" s="16" t="str">
        <f ca="1">IF(OFFSET(掉落_design!$E148,0,掉落_design!I$2,1,1)="","",OFFSET(掉落_design!$E148,0,掉落_design!I$2,1,1)&amp;";"&amp;OFFSET(掉落_design!$E148,0,掉落_design!I$2+1,1,1)&amp;";"&amp;OFFSET(掉落_design!$E148,0,掉落_design!I$2+2,1,1)&amp;";"&amp;OFFSET(掉落_design!$E148,0,掉落_design!I$2+3,1,1))</f>
        <v/>
      </c>
      <c r="K177" s="16" t="str">
        <f ca="1">IF(OFFSET(掉落_design!$E148,0,掉落_design!J$2,1,1)="","",OFFSET(掉落_design!$E148,0,掉落_design!J$2,1,1)&amp;";"&amp;OFFSET(掉落_design!$E148,0,掉落_design!J$2+1,1,1)&amp;";"&amp;OFFSET(掉落_design!$E148,0,掉落_design!J$2+2,1,1)&amp;";"&amp;OFFSET(掉落_design!$E148,0,掉落_design!J$2+3,1,1))</f>
        <v/>
      </c>
      <c r="L177" s="16" t="str">
        <f ca="1">IF(OFFSET(掉落_design!$E148,0,掉落_design!K$2,1,1)="","",OFFSET(掉落_design!$E148,0,掉落_design!K$2,1,1)&amp;";"&amp;OFFSET(掉落_design!$E148,0,掉落_design!K$2+1,1,1)&amp;";"&amp;OFFSET(掉落_design!$E148,0,掉落_design!K$2+2,1,1)&amp;";"&amp;OFFSET(掉落_design!$E148,0,掉落_design!K$2+3,1,1))</f>
        <v/>
      </c>
      <c r="M177" s="16" t="str">
        <f ca="1">IF(OFFSET(掉落_design!$E148,0,掉落_design!L$2,1,1)="","",OFFSET(掉落_design!$E148,0,掉落_design!L$2,1,1)&amp;";"&amp;OFFSET(掉落_design!$E148,0,掉落_design!L$2+1,1,1)&amp;";"&amp;OFFSET(掉落_design!$E148,0,掉落_design!L$2+2,1,1)&amp;";"&amp;OFFSET(掉落_design!$E148,0,掉落_design!L$2+3,1,1))</f>
        <v/>
      </c>
      <c r="N177" s="16" t="str">
        <f ca="1">IF(OFFSET(掉落_design!$E148,0,掉落_design!M$2,1,1)="","",OFFSET(掉落_design!$E148,0,掉落_design!M$2,1,1)&amp;";"&amp;OFFSET(掉落_design!$E148,0,掉落_design!M$2+1,1,1)&amp;";"&amp;OFFSET(掉落_design!$E148,0,掉落_design!M$2+2,1,1)&amp;";"&amp;OFFSET(掉落_design!$E148,0,掉落_design!M$2+3,1,1))</f>
        <v/>
      </c>
      <c r="O177" s="16" t="str">
        <f ca="1">IF(OFFSET(掉落_design!$E148,0,掉落_design!N$2,1,1)="","",OFFSET(掉落_design!$E148,0,掉落_design!N$2,1,1)&amp;";"&amp;OFFSET(掉落_design!$E148,0,掉落_design!N$2+1,1,1)&amp;";"&amp;OFFSET(掉落_design!$E148,0,掉落_design!N$2+2,1,1)&amp;";"&amp;OFFSET(掉落_design!$E148,0,掉落_design!N$2+3,1,1))</f>
        <v/>
      </c>
      <c r="P177" s="16" t="str">
        <f ca="1">IF(OFFSET(掉落_design!$E148,0,掉落_design!O$2,1,1)="","",OFFSET(掉落_design!$E148,0,掉落_design!O$2,1,1)&amp;";"&amp;OFFSET(掉落_design!$E148,0,掉落_design!O$2+1,1,1)&amp;";"&amp;OFFSET(掉落_design!$E148,0,掉落_design!O$2+2,1,1)&amp;";"&amp;OFFSET(掉落_design!$E148,0,掉落_design!O$2+3,1,1))</f>
        <v/>
      </c>
      <c r="Q177" s="25"/>
      <c r="R177" s="25"/>
      <c r="S177" s="25"/>
    </row>
    <row r="178" spans="1:19" x14ac:dyDescent="0.15">
      <c r="A178" s="11" t="str">
        <f t="shared" si="32"/>
        <v/>
      </c>
      <c r="B178" s="25"/>
      <c r="C178" s="25"/>
      <c r="D178" s="15" t="str">
        <f>IF(掉落_design!C149="","",掉落_design!C149)</f>
        <v/>
      </c>
      <c r="E178" s="15" t="str">
        <f>IF(A178="","",掉落_design!D149)</f>
        <v/>
      </c>
      <c r="F178" s="16" t="str">
        <f ca="1">IF(OFFSET(掉落_design!$E149,0,掉落_design!E$2,1,1)="","",OFFSET(掉落_design!$E149,0,掉落_design!E$2,1,1)&amp;";"&amp;OFFSET(掉落_design!$E149,0,掉落_design!E$2+1,1,1)&amp;";"&amp;OFFSET(掉落_design!$E149,0,掉落_design!E$2+2,1,1)&amp;";"&amp;OFFSET(掉落_design!$E149,0,掉落_design!E$2+3,1,1))</f>
        <v/>
      </c>
      <c r="G178" s="16" t="str">
        <f ca="1">IF(OFFSET(掉落_design!$E149,0,掉落_design!F$2,1,1)="","",OFFSET(掉落_design!$E149,0,掉落_design!F$2,1,1)&amp;";"&amp;OFFSET(掉落_design!$E149,0,掉落_design!F$2+1,1,1)&amp;";"&amp;OFFSET(掉落_design!$E149,0,掉落_design!F$2+2,1,1)&amp;";"&amp;OFFSET(掉落_design!$E149,0,掉落_design!F$2+3,1,1))</f>
        <v/>
      </c>
      <c r="H178" s="16" t="str">
        <f ca="1">IF(OFFSET(掉落_design!$E149,0,掉落_design!G$2,1,1)="","",OFFSET(掉落_design!$E149,0,掉落_design!G$2,1,1)&amp;";"&amp;OFFSET(掉落_design!$E149,0,掉落_design!G$2+1,1,1)&amp;";"&amp;OFFSET(掉落_design!$E149,0,掉落_design!G$2+2,1,1)&amp;";"&amp;OFFSET(掉落_design!$E149,0,掉落_design!G$2+3,1,1))</f>
        <v/>
      </c>
      <c r="I178" s="16" t="str">
        <f ca="1">IF(OFFSET(掉落_design!$E149,0,掉落_design!H$2,1,1)="","",OFFSET(掉落_design!$E149,0,掉落_design!H$2,1,1)&amp;";"&amp;OFFSET(掉落_design!$E149,0,掉落_design!H$2+1,1,1)&amp;";"&amp;OFFSET(掉落_design!$E149,0,掉落_design!H$2+2,1,1)&amp;";"&amp;OFFSET(掉落_design!$E149,0,掉落_design!H$2+3,1,1))</f>
        <v/>
      </c>
      <c r="J178" s="16" t="str">
        <f ca="1">IF(OFFSET(掉落_design!$E149,0,掉落_design!I$2,1,1)="","",OFFSET(掉落_design!$E149,0,掉落_design!I$2,1,1)&amp;";"&amp;OFFSET(掉落_design!$E149,0,掉落_design!I$2+1,1,1)&amp;";"&amp;OFFSET(掉落_design!$E149,0,掉落_design!I$2+2,1,1)&amp;";"&amp;OFFSET(掉落_design!$E149,0,掉落_design!I$2+3,1,1))</f>
        <v/>
      </c>
      <c r="K178" s="16" t="str">
        <f ca="1">IF(OFFSET(掉落_design!$E149,0,掉落_design!J$2,1,1)="","",OFFSET(掉落_design!$E149,0,掉落_design!J$2,1,1)&amp;";"&amp;OFFSET(掉落_design!$E149,0,掉落_design!J$2+1,1,1)&amp;";"&amp;OFFSET(掉落_design!$E149,0,掉落_design!J$2+2,1,1)&amp;";"&amp;OFFSET(掉落_design!$E149,0,掉落_design!J$2+3,1,1))</f>
        <v/>
      </c>
      <c r="L178" s="16" t="str">
        <f ca="1">IF(OFFSET(掉落_design!$E149,0,掉落_design!K$2,1,1)="","",OFFSET(掉落_design!$E149,0,掉落_design!K$2,1,1)&amp;";"&amp;OFFSET(掉落_design!$E149,0,掉落_design!K$2+1,1,1)&amp;";"&amp;OFFSET(掉落_design!$E149,0,掉落_design!K$2+2,1,1)&amp;";"&amp;OFFSET(掉落_design!$E149,0,掉落_design!K$2+3,1,1))</f>
        <v/>
      </c>
      <c r="M178" s="16" t="str">
        <f ca="1">IF(OFFSET(掉落_design!$E149,0,掉落_design!L$2,1,1)="","",OFFSET(掉落_design!$E149,0,掉落_design!L$2,1,1)&amp;";"&amp;OFFSET(掉落_design!$E149,0,掉落_design!L$2+1,1,1)&amp;";"&amp;OFFSET(掉落_design!$E149,0,掉落_design!L$2+2,1,1)&amp;";"&amp;OFFSET(掉落_design!$E149,0,掉落_design!L$2+3,1,1))</f>
        <v/>
      </c>
      <c r="N178" s="16" t="str">
        <f ca="1">IF(OFFSET(掉落_design!$E149,0,掉落_design!M$2,1,1)="","",OFFSET(掉落_design!$E149,0,掉落_design!M$2,1,1)&amp;";"&amp;OFFSET(掉落_design!$E149,0,掉落_design!M$2+1,1,1)&amp;";"&amp;OFFSET(掉落_design!$E149,0,掉落_design!M$2+2,1,1)&amp;";"&amp;OFFSET(掉落_design!$E149,0,掉落_design!M$2+3,1,1))</f>
        <v/>
      </c>
      <c r="O178" s="16" t="str">
        <f ca="1">IF(OFFSET(掉落_design!$E149,0,掉落_design!N$2,1,1)="","",OFFSET(掉落_design!$E149,0,掉落_design!N$2,1,1)&amp;";"&amp;OFFSET(掉落_design!$E149,0,掉落_design!N$2+1,1,1)&amp;";"&amp;OFFSET(掉落_design!$E149,0,掉落_design!N$2+2,1,1)&amp;";"&amp;OFFSET(掉落_design!$E149,0,掉落_design!N$2+3,1,1))</f>
        <v/>
      </c>
      <c r="P178" s="16" t="str">
        <f ca="1">IF(OFFSET(掉落_design!$E149,0,掉落_design!O$2,1,1)="","",OFFSET(掉落_design!$E149,0,掉落_design!O$2,1,1)&amp;";"&amp;OFFSET(掉落_design!$E149,0,掉落_design!O$2+1,1,1)&amp;";"&amp;OFFSET(掉落_design!$E149,0,掉落_design!O$2+2,1,1)&amp;";"&amp;OFFSET(掉落_design!$E149,0,掉落_design!O$2+3,1,1))</f>
        <v/>
      </c>
      <c r="Q178" s="25"/>
      <c r="R178" s="25"/>
      <c r="S178" s="25"/>
    </row>
    <row r="179" spans="1:19" x14ac:dyDescent="0.15">
      <c r="A179" s="11" t="str">
        <f t="shared" si="32"/>
        <v/>
      </c>
      <c r="B179" s="25"/>
      <c r="C179" s="25"/>
      <c r="D179" s="15" t="str">
        <f>IF(掉落_design!C150="","",掉落_design!C150)</f>
        <v/>
      </c>
      <c r="E179" s="15" t="str">
        <f>IF(A179="","",掉落_design!D150)</f>
        <v/>
      </c>
      <c r="F179" s="16" t="str">
        <f ca="1">IF(OFFSET(掉落_design!$E150,0,掉落_design!E$2,1,1)="","",OFFSET(掉落_design!$E150,0,掉落_design!E$2,1,1)&amp;";"&amp;OFFSET(掉落_design!$E150,0,掉落_design!E$2+1,1,1)&amp;";"&amp;OFFSET(掉落_design!$E150,0,掉落_design!E$2+2,1,1)&amp;";"&amp;OFFSET(掉落_design!$E150,0,掉落_design!E$2+3,1,1))</f>
        <v/>
      </c>
      <c r="G179" s="16" t="str">
        <f ca="1">IF(OFFSET(掉落_design!$E150,0,掉落_design!F$2,1,1)="","",OFFSET(掉落_design!$E150,0,掉落_design!F$2,1,1)&amp;";"&amp;OFFSET(掉落_design!$E150,0,掉落_design!F$2+1,1,1)&amp;";"&amp;OFFSET(掉落_design!$E150,0,掉落_design!F$2+2,1,1)&amp;";"&amp;OFFSET(掉落_design!$E150,0,掉落_design!F$2+3,1,1))</f>
        <v/>
      </c>
      <c r="H179" s="16" t="str">
        <f ca="1">IF(OFFSET(掉落_design!$E150,0,掉落_design!G$2,1,1)="","",OFFSET(掉落_design!$E150,0,掉落_design!G$2,1,1)&amp;";"&amp;OFFSET(掉落_design!$E150,0,掉落_design!G$2+1,1,1)&amp;";"&amp;OFFSET(掉落_design!$E150,0,掉落_design!G$2+2,1,1)&amp;";"&amp;OFFSET(掉落_design!$E150,0,掉落_design!G$2+3,1,1))</f>
        <v/>
      </c>
      <c r="I179" s="16" t="str">
        <f ca="1">IF(OFFSET(掉落_design!$E150,0,掉落_design!H$2,1,1)="","",OFFSET(掉落_design!$E150,0,掉落_design!H$2,1,1)&amp;";"&amp;OFFSET(掉落_design!$E150,0,掉落_design!H$2+1,1,1)&amp;";"&amp;OFFSET(掉落_design!$E150,0,掉落_design!H$2+2,1,1)&amp;";"&amp;OFFSET(掉落_design!$E150,0,掉落_design!H$2+3,1,1))</f>
        <v/>
      </c>
      <c r="J179" s="16" t="str">
        <f ca="1">IF(OFFSET(掉落_design!$E150,0,掉落_design!I$2,1,1)="","",OFFSET(掉落_design!$E150,0,掉落_design!I$2,1,1)&amp;";"&amp;OFFSET(掉落_design!$E150,0,掉落_design!I$2+1,1,1)&amp;";"&amp;OFFSET(掉落_design!$E150,0,掉落_design!I$2+2,1,1)&amp;";"&amp;OFFSET(掉落_design!$E150,0,掉落_design!I$2+3,1,1))</f>
        <v/>
      </c>
      <c r="K179" s="16" t="str">
        <f ca="1">IF(OFFSET(掉落_design!$E150,0,掉落_design!J$2,1,1)="","",OFFSET(掉落_design!$E150,0,掉落_design!J$2,1,1)&amp;";"&amp;OFFSET(掉落_design!$E150,0,掉落_design!J$2+1,1,1)&amp;";"&amp;OFFSET(掉落_design!$E150,0,掉落_design!J$2+2,1,1)&amp;";"&amp;OFFSET(掉落_design!$E150,0,掉落_design!J$2+3,1,1))</f>
        <v/>
      </c>
      <c r="L179" s="16" t="str">
        <f ca="1">IF(OFFSET(掉落_design!$E150,0,掉落_design!K$2,1,1)="","",OFFSET(掉落_design!$E150,0,掉落_design!K$2,1,1)&amp;";"&amp;OFFSET(掉落_design!$E150,0,掉落_design!K$2+1,1,1)&amp;";"&amp;OFFSET(掉落_design!$E150,0,掉落_design!K$2+2,1,1)&amp;";"&amp;OFFSET(掉落_design!$E150,0,掉落_design!K$2+3,1,1))</f>
        <v/>
      </c>
      <c r="M179" s="16" t="str">
        <f ca="1">IF(OFFSET(掉落_design!$E150,0,掉落_design!L$2,1,1)="","",OFFSET(掉落_design!$E150,0,掉落_design!L$2,1,1)&amp;";"&amp;OFFSET(掉落_design!$E150,0,掉落_design!L$2+1,1,1)&amp;";"&amp;OFFSET(掉落_design!$E150,0,掉落_design!L$2+2,1,1)&amp;";"&amp;OFFSET(掉落_design!$E150,0,掉落_design!L$2+3,1,1))</f>
        <v/>
      </c>
      <c r="N179" s="16" t="str">
        <f ca="1">IF(OFFSET(掉落_design!$E150,0,掉落_design!M$2,1,1)="","",OFFSET(掉落_design!$E150,0,掉落_design!M$2,1,1)&amp;";"&amp;OFFSET(掉落_design!$E150,0,掉落_design!M$2+1,1,1)&amp;";"&amp;OFFSET(掉落_design!$E150,0,掉落_design!M$2+2,1,1)&amp;";"&amp;OFFSET(掉落_design!$E150,0,掉落_design!M$2+3,1,1))</f>
        <v/>
      </c>
      <c r="O179" s="16" t="str">
        <f ca="1">IF(OFFSET(掉落_design!$E150,0,掉落_design!N$2,1,1)="","",OFFSET(掉落_design!$E150,0,掉落_design!N$2,1,1)&amp;";"&amp;OFFSET(掉落_design!$E150,0,掉落_design!N$2+1,1,1)&amp;";"&amp;OFFSET(掉落_design!$E150,0,掉落_design!N$2+2,1,1)&amp;";"&amp;OFFSET(掉落_design!$E150,0,掉落_design!N$2+3,1,1))</f>
        <v/>
      </c>
      <c r="P179" s="16" t="str">
        <f ca="1">IF(OFFSET(掉落_design!$E150,0,掉落_design!O$2,1,1)="","",OFFSET(掉落_design!$E150,0,掉落_design!O$2,1,1)&amp;";"&amp;OFFSET(掉落_design!$E150,0,掉落_design!O$2+1,1,1)&amp;";"&amp;OFFSET(掉落_design!$E150,0,掉落_design!O$2+2,1,1)&amp;";"&amp;OFFSET(掉落_design!$E150,0,掉落_design!O$2+3,1,1))</f>
        <v/>
      </c>
      <c r="Q179" s="25"/>
      <c r="R179" s="25"/>
      <c r="S179" s="25"/>
    </row>
    <row r="180" spans="1:19" x14ac:dyDescent="0.15">
      <c r="A180" s="11" t="str">
        <f t="shared" si="32"/>
        <v/>
      </c>
      <c r="B180" s="25"/>
      <c r="C180" s="25"/>
      <c r="D180" s="15" t="str">
        <f>IF(掉落_design!C151="","",掉落_design!C151)</f>
        <v/>
      </c>
      <c r="E180" s="15" t="str">
        <f>IF(A180="","",掉落_design!D151)</f>
        <v/>
      </c>
      <c r="F180" s="16" t="str">
        <f ca="1">IF(OFFSET(掉落_design!$E151,0,掉落_design!E$2,1,1)="","",OFFSET(掉落_design!$E151,0,掉落_design!E$2,1,1)&amp;";"&amp;OFFSET(掉落_design!$E151,0,掉落_design!E$2+1,1,1)&amp;";"&amp;OFFSET(掉落_design!$E151,0,掉落_design!E$2+2,1,1)&amp;";"&amp;OFFSET(掉落_design!$E151,0,掉落_design!E$2+3,1,1))</f>
        <v/>
      </c>
      <c r="G180" s="16" t="str">
        <f ca="1">IF(OFFSET(掉落_design!$E151,0,掉落_design!F$2,1,1)="","",OFFSET(掉落_design!$E151,0,掉落_design!F$2,1,1)&amp;";"&amp;OFFSET(掉落_design!$E151,0,掉落_design!F$2+1,1,1)&amp;";"&amp;OFFSET(掉落_design!$E151,0,掉落_design!F$2+2,1,1)&amp;";"&amp;OFFSET(掉落_design!$E151,0,掉落_design!F$2+3,1,1))</f>
        <v/>
      </c>
      <c r="H180" s="16" t="str">
        <f ca="1">IF(OFFSET(掉落_design!$E151,0,掉落_design!G$2,1,1)="","",OFFSET(掉落_design!$E151,0,掉落_design!G$2,1,1)&amp;";"&amp;OFFSET(掉落_design!$E151,0,掉落_design!G$2+1,1,1)&amp;";"&amp;OFFSET(掉落_design!$E151,0,掉落_design!G$2+2,1,1)&amp;";"&amp;OFFSET(掉落_design!$E151,0,掉落_design!G$2+3,1,1))</f>
        <v/>
      </c>
      <c r="I180" s="16" t="str">
        <f ca="1">IF(OFFSET(掉落_design!$E151,0,掉落_design!H$2,1,1)="","",OFFSET(掉落_design!$E151,0,掉落_design!H$2,1,1)&amp;";"&amp;OFFSET(掉落_design!$E151,0,掉落_design!H$2+1,1,1)&amp;";"&amp;OFFSET(掉落_design!$E151,0,掉落_design!H$2+2,1,1)&amp;";"&amp;OFFSET(掉落_design!$E151,0,掉落_design!H$2+3,1,1))</f>
        <v/>
      </c>
      <c r="J180" s="16" t="str">
        <f ca="1">IF(OFFSET(掉落_design!$E151,0,掉落_design!I$2,1,1)="","",OFFSET(掉落_design!$E151,0,掉落_design!I$2,1,1)&amp;";"&amp;OFFSET(掉落_design!$E151,0,掉落_design!I$2+1,1,1)&amp;";"&amp;OFFSET(掉落_design!$E151,0,掉落_design!I$2+2,1,1)&amp;";"&amp;OFFSET(掉落_design!$E151,0,掉落_design!I$2+3,1,1))</f>
        <v/>
      </c>
      <c r="K180" s="16" t="str">
        <f ca="1">IF(OFFSET(掉落_design!$E151,0,掉落_design!J$2,1,1)="","",OFFSET(掉落_design!$E151,0,掉落_design!J$2,1,1)&amp;";"&amp;OFFSET(掉落_design!$E151,0,掉落_design!J$2+1,1,1)&amp;";"&amp;OFFSET(掉落_design!$E151,0,掉落_design!J$2+2,1,1)&amp;";"&amp;OFFSET(掉落_design!$E151,0,掉落_design!J$2+3,1,1))</f>
        <v/>
      </c>
      <c r="L180" s="16" t="str">
        <f ca="1">IF(OFFSET(掉落_design!$E151,0,掉落_design!K$2,1,1)="","",OFFSET(掉落_design!$E151,0,掉落_design!K$2,1,1)&amp;";"&amp;OFFSET(掉落_design!$E151,0,掉落_design!K$2+1,1,1)&amp;";"&amp;OFFSET(掉落_design!$E151,0,掉落_design!K$2+2,1,1)&amp;";"&amp;OFFSET(掉落_design!$E151,0,掉落_design!K$2+3,1,1))</f>
        <v/>
      </c>
      <c r="M180" s="16" t="str">
        <f ca="1">IF(OFFSET(掉落_design!$E151,0,掉落_design!L$2,1,1)="","",OFFSET(掉落_design!$E151,0,掉落_design!L$2,1,1)&amp;";"&amp;OFFSET(掉落_design!$E151,0,掉落_design!L$2+1,1,1)&amp;";"&amp;OFFSET(掉落_design!$E151,0,掉落_design!L$2+2,1,1)&amp;";"&amp;OFFSET(掉落_design!$E151,0,掉落_design!L$2+3,1,1))</f>
        <v/>
      </c>
      <c r="N180" s="16" t="str">
        <f ca="1">IF(OFFSET(掉落_design!$E151,0,掉落_design!M$2,1,1)="","",OFFSET(掉落_design!$E151,0,掉落_design!M$2,1,1)&amp;";"&amp;OFFSET(掉落_design!$E151,0,掉落_design!M$2+1,1,1)&amp;";"&amp;OFFSET(掉落_design!$E151,0,掉落_design!M$2+2,1,1)&amp;";"&amp;OFFSET(掉落_design!$E151,0,掉落_design!M$2+3,1,1))</f>
        <v/>
      </c>
      <c r="O180" s="16" t="str">
        <f ca="1">IF(OFFSET(掉落_design!$E151,0,掉落_design!N$2,1,1)="","",OFFSET(掉落_design!$E151,0,掉落_design!N$2,1,1)&amp;";"&amp;OFFSET(掉落_design!$E151,0,掉落_design!N$2+1,1,1)&amp;";"&amp;OFFSET(掉落_design!$E151,0,掉落_design!N$2+2,1,1)&amp;";"&amp;OFFSET(掉落_design!$E151,0,掉落_design!N$2+3,1,1))</f>
        <v/>
      </c>
      <c r="P180" s="16" t="str">
        <f ca="1">IF(OFFSET(掉落_design!$E151,0,掉落_design!O$2,1,1)="","",OFFSET(掉落_design!$E151,0,掉落_design!O$2,1,1)&amp;";"&amp;OFFSET(掉落_design!$E151,0,掉落_design!O$2+1,1,1)&amp;";"&amp;OFFSET(掉落_design!$E151,0,掉落_design!O$2+2,1,1)&amp;";"&amp;OFFSET(掉落_design!$E151,0,掉落_design!O$2+3,1,1))</f>
        <v/>
      </c>
      <c r="Q180" s="25"/>
      <c r="R180" s="25"/>
      <c r="S180" s="25"/>
    </row>
    <row r="181" spans="1:19" x14ac:dyDescent="0.15">
      <c r="A181" s="11" t="str">
        <f t="shared" si="32"/>
        <v/>
      </c>
      <c r="B181" s="25"/>
      <c r="C181" s="25"/>
      <c r="D181" s="15" t="str">
        <f>IF(掉落_design!C152="","",掉落_design!C152)</f>
        <v/>
      </c>
      <c r="E181" s="15" t="str">
        <f>IF(A181="","",掉落_design!D152)</f>
        <v/>
      </c>
      <c r="F181" s="16" t="str">
        <f ca="1">IF(OFFSET(掉落_design!$E152,0,掉落_design!E$2,1,1)="","",OFFSET(掉落_design!$E152,0,掉落_design!E$2,1,1)&amp;";"&amp;OFFSET(掉落_design!$E152,0,掉落_design!E$2+1,1,1)&amp;";"&amp;OFFSET(掉落_design!$E152,0,掉落_design!E$2+2,1,1)&amp;";"&amp;OFFSET(掉落_design!$E152,0,掉落_design!E$2+3,1,1))</f>
        <v/>
      </c>
      <c r="G181" s="16" t="str">
        <f ca="1">IF(OFFSET(掉落_design!$E152,0,掉落_design!F$2,1,1)="","",OFFSET(掉落_design!$E152,0,掉落_design!F$2,1,1)&amp;";"&amp;OFFSET(掉落_design!$E152,0,掉落_design!F$2+1,1,1)&amp;";"&amp;OFFSET(掉落_design!$E152,0,掉落_design!F$2+2,1,1)&amp;";"&amp;OFFSET(掉落_design!$E152,0,掉落_design!F$2+3,1,1))</f>
        <v/>
      </c>
      <c r="H181" s="16" t="str">
        <f ca="1">IF(OFFSET(掉落_design!$E152,0,掉落_design!G$2,1,1)="","",OFFSET(掉落_design!$E152,0,掉落_design!G$2,1,1)&amp;";"&amp;OFFSET(掉落_design!$E152,0,掉落_design!G$2+1,1,1)&amp;";"&amp;OFFSET(掉落_design!$E152,0,掉落_design!G$2+2,1,1)&amp;";"&amp;OFFSET(掉落_design!$E152,0,掉落_design!G$2+3,1,1))</f>
        <v/>
      </c>
      <c r="I181" s="16" t="str">
        <f ca="1">IF(OFFSET(掉落_design!$E152,0,掉落_design!H$2,1,1)="","",OFFSET(掉落_design!$E152,0,掉落_design!H$2,1,1)&amp;";"&amp;OFFSET(掉落_design!$E152,0,掉落_design!H$2+1,1,1)&amp;";"&amp;OFFSET(掉落_design!$E152,0,掉落_design!H$2+2,1,1)&amp;";"&amp;OFFSET(掉落_design!$E152,0,掉落_design!H$2+3,1,1))</f>
        <v/>
      </c>
      <c r="J181" s="16" t="str">
        <f ca="1">IF(OFFSET(掉落_design!$E152,0,掉落_design!I$2,1,1)="","",OFFSET(掉落_design!$E152,0,掉落_design!I$2,1,1)&amp;";"&amp;OFFSET(掉落_design!$E152,0,掉落_design!I$2+1,1,1)&amp;";"&amp;OFFSET(掉落_design!$E152,0,掉落_design!I$2+2,1,1)&amp;";"&amp;OFFSET(掉落_design!$E152,0,掉落_design!I$2+3,1,1))</f>
        <v/>
      </c>
      <c r="K181" s="16" t="str">
        <f ca="1">IF(OFFSET(掉落_design!$E152,0,掉落_design!J$2,1,1)="","",OFFSET(掉落_design!$E152,0,掉落_design!J$2,1,1)&amp;";"&amp;OFFSET(掉落_design!$E152,0,掉落_design!J$2+1,1,1)&amp;";"&amp;OFFSET(掉落_design!$E152,0,掉落_design!J$2+2,1,1)&amp;";"&amp;OFFSET(掉落_design!$E152,0,掉落_design!J$2+3,1,1))</f>
        <v/>
      </c>
      <c r="L181" s="16" t="str">
        <f ca="1">IF(OFFSET(掉落_design!$E152,0,掉落_design!K$2,1,1)="","",OFFSET(掉落_design!$E152,0,掉落_design!K$2,1,1)&amp;";"&amp;OFFSET(掉落_design!$E152,0,掉落_design!K$2+1,1,1)&amp;";"&amp;OFFSET(掉落_design!$E152,0,掉落_design!K$2+2,1,1)&amp;";"&amp;OFFSET(掉落_design!$E152,0,掉落_design!K$2+3,1,1))</f>
        <v/>
      </c>
      <c r="M181" s="16" t="str">
        <f ca="1">IF(OFFSET(掉落_design!$E152,0,掉落_design!L$2,1,1)="","",OFFSET(掉落_design!$E152,0,掉落_design!L$2,1,1)&amp;";"&amp;OFFSET(掉落_design!$E152,0,掉落_design!L$2+1,1,1)&amp;";"&amp;OFFSET(掉落_design!$E152,0,掉落_design!L$2+2,1,1)&amp;";"&amp;OFFSET(掉落_design!$E152,0,掉落_design!L$2+3,1,1))</f>
        <v/>
      </c>
      <c r="N181" s="16" t="str">
        <f ca="1">IF(OFFSET(掉落_design!$E152,0,掉落_design!M$2,1,1)="","",OFFSET(掉落_design!$E152,0,掉落_design!M$2,1,1)&amp;";"&amp;OFFSET(掉落_design!$E152,0,掉落_design!M$2+1,1,1)&amp;";"&amp;OFFSET(掉落_design!$E152,0,掉落_design!M$2+2,1,1)&amp;";"&amp;OFFSET(掉落_design!$E152,0,掉落_design!M$2+3,1,1))</f>
        <v/>
      </c>
      <c r="O181" s="16" t="str">
        <f ca="1">IF(OFFSET(掉落_design!$E152,0,掉落_design!N$2,1,1)="","",OFFSET(掉落_design!$E152,0,掉落_design!N$2,1,1)&amp;";"&amp;OFFSET(掉落_design!$E152,0,掉落_design!N$2+1,1,1)&amp;";"&amp;OFFSET(掉落_design!$E152,0,掉落_design!N$2+2,1,1)&amp;";"&amp;OFFSET(掉落_design!$E152,0,掉落_design!N$2+3,1,1))</f>
        <v/>
      </c>
      <c r="P181" s="16" t="str">
        <f ca="1">IF(OFFSET(掉落_design!$E152,0,掉落_design!O$2,1,1)="","",OFFSET(掉落_design!$E152,0,掉落_design!O$2,1,1)&amp;";"&amp;OFFSET(掉落_design!$E152,0,掉落_design!O$2+1,1,1)&amp;";"&amp;OFFSET(掉落_design!$E152,0,掉落_design!O$2+2,1,1)&amp;";"&amp;OFFSET(掉落_design!$E152,0,掉落_design!O$2+3,1,1))</f>
        <v/>
      </c>
      <c r="Q181" s="25"/>
      <c r="R181" s="25"/>
      <c r="S181" s="25"/>
    </row>
    <row r="182" spans="1:19" x14ac:dyDescent="0.15">
      <c r="A182" s="11" t="str">
        <f t="shared" si="32"/>
        <v/>
      </c>
      <c r="B182" s="25"/>
      <c r="C182" s="25"/>
      <c r="D182" s="15" t="str">
        <f>IF(掉落_design!C153="","",掉落_design!C153)</f>
        <v/>
      </c>
      <c r="E182" s="15" t="str">
        <f>IF(A182="","",掉落_design!D153)</f>
        <v/>
      </c>
      <c r="F182" s="16" t="str">
        <f ca="1">IF(OFFSET(掉落_design!$E153,0,掉落_design!E$2,1,1)="","",OFFSET(掉落_design!$E153,0,掉落_design!E$2,1,1)&amp;";"&amp;OFFSET(掉落_design!$E153,0,掉落_design!E$2+1,1,1)&amp;";"&amp;OFFSET(掉落_design!$E153,0,掉落_design!E$2+2,1,1)&amp;";"&amp;OFFSET(掉落_design!$E153,0,掉落_design!E$2+3,1,1))</f>
        <v/>
      </c>
      <c r="G182" s="16" t="str">
        <f ca="1">IF(OFFSET(掉落_design!$E153,0,掉落_design!F$2,1,1)="","",OFFSET(掉落_design!$E153,0,掉落_design!F$2,1,1)&amp;";"&amp;OFFSET(掉落_design!$E153,0,掉落_design!F$2+1,1,1)&amp;";"&amp;OFFSET(掉落_design!$E153,0,掉落_design!F$2+2,1,1)&amp;";"&amp;OFFSET(掉落_design!$E153,0,掉落_design!F$2+3,1,1))</f>
        <v/>
      </c>
      <c r="H182" s="16" t="str">
        <f ca="1">IF(OFFSET(掉落_design!$E153,0,掉落_design!G$2,1,1)="","",OFFSET(掉落_design!$E153,0,掉落_design!G$2,1,1)&amp;";"&amp;OFFSET(掉落_design!$E153,0,掉落_design!G$2+1,1,1)&amp;";"&amp;OFFSET(掉落_design!$E153,0,掉落_design!G$2+2,1,1)&amp;";"&amp;OFFSET(掉落_design!$E153,0,掉落_design!G$2+3,1,1))</f>
        <v/>
      </c>
      <c r="I182" s="16" t="str">
        <f ca="1">IF(OFFSET(掉落_design!$E153,0,掉落_design!H$2,1,1)="","",OFFSET(掉落_design!$E153,0,掉落_design!H$2,1,1)&amp;";"&amp;OFFSET(掉落_design!$E153,0,掉落_design!H$2+1,1,1)&amp;";"&amp;OFFSET(掉落_design!$E153,0,掉落_design!H$2+2,1,1)&amp;";"&amp;OFFSET(掉落_design!$E153,0,掉落_design!H$2+3,1,1))</f>
        <v/>
      </c>
      <c r="J182" s="16" t="str">
        <f ca="1">IF(OFFSET(掉落_design!$E153,0,掉落_design!I$2,1,1)="","",OFFSET(掉落_design!$E153,0,掉落_design!I$2,1,1)&amp;";"&amp;OFFSET(掉落_design!$E153,0,掉落_design!I$2+1,1,1)&amp;";"&amp;OFFSET(掉落_design!$E153,0,掉落_design!I$2+2,1,1)&amp;";"&amp;OFFSET(掉落_design!$E153,0,掉落_design!I$2+3,1,1))</f>
        <v/>
      </c>
      <c r="K182" s="16" t="str">
        <f ca="1">IF(OFFSET(掉落_design!$E153,0,掉落_design!J$2,1,1)="","",OFFSET(掉落_design!$E153,0,掉落_design!J$2,1,1)&amp;";"&amp;OFFSET(掉落_design!$E153,0,掉落_design!J$2+1,1,1)&amp;";"&amp;OFFSET(掉落_design!$E153,0,掉落_design!J$2+2,1,1)&amp;";"&amp;OFFSET(掉落_design!$E153,0,掉落_design!J$2+3,1,1))</f>
        <v/>
      </c>
      <c r="L182" s="16" t="str">
        <f ca="1">IF(OFFSET(掉落_design!$E153,0,掉落_design!K$2,1,1)="","",OFFSET(掉落_design!$E153,0,掉落_design!K$2,1,1)&amp;";"&amp;OFFSET(掉落_design!$E153,0,掉落_design!K$2+1,1,1)&amp;";"&amp;OFFSET(掉落_design!$E153,0,掉落_design!K$2+2,1,1)&amp;";"&amp;OFFSET(掉落_design!$E153,0,掉落_design!K$2+3,1,1))</f>
        <v/>
      </c>
      <c r="M182" s="16" t="str">
        <f ca="1">IF(OFFSET(掉落_design!$E153,0,掉落_design!L$2,1,1)="","",OFFSET(掉落_design!$E153,0,掉落_design!L$2,1,1)&amp;";"&amp;OFFSET(掉落_design!$E153,0,掉落_design!L$2+1,1,1)&amp;";"&amp;OFFSET(掉落_design!$E153,0,掉落_design!L$2+2,1,1)&amp;";"&amp;OFFSET(掉落_design!$E153,0,掉落_design!L$2+3,1,1))</f>
        <v/>
      </c>
      <c r="N182" s="16" t="str">
        <f ca="1">IF(OFFSET(掉落_design!$E153,0,掉落_design!M$2,1,1)="","",OFFSET(掉落_design!$E153,0,掉落_design!M$2,1,1)&amp;";"&amp;OFFSET(掉落_design!$E153,0,掉落_design!M$2+1,1,1)&amp;";"&amp;OFFSET(掉落_design!$E153,0,掉落_design!M$2+2,1,1)&amp;";"&amp;OFFSET(掉落_design!$E153,0,掉落_design!M$2+3,1,1))</f>
        <v/>
      </c>
      <c r="O182" s="16" t="str">
        <f ca="1">IF(OFFSET(掉落_design!$E153,0,掉落_design!N$2,1,1)="","",OFFSET(掉落_design!$E153,0,掉落_design!N$2,1,1)&amp;";"&amp;OFFSET(掉落_design!$E153,0,掉落_design!N$2+1,1,1)&amp;";"&amp;OFFSET(掉落_design!$E153,0,掉落_design!N$2+2,1,1)&amp;";"&amp;OFFSET(掉落_design!$E153,0,掉落_design!N$2+3,1,1))</f>
        <v/>
      </c>
      <c r="P182" s="16" t="str">
        <f ca="1">IF(OFFSET(掉落_design!$E153,0,掉落_design!O$2,1,1)="","",OFFSET(掉落_design!$E153,0,掉落_design!O$2,1,1)&amp;";"&amp;OFFSET(掉落_design!$E153,0,掉落_design!O$2+1,1,1)&amp;";"&amp;OFFSET(掉落_design!$E153,0,掉落_design!O$2+2,1,1)&amp;";"&amp;OFFSET(掉落_design!$E153,0,掉落_design!O$2+3,1,1))</f>
        <v/>
      </c>
      <c r="Q182" s="25"/>
      <c r="R182" s="25"/>
      <c r="S182" s="25"/>
    </row>
    <row r="183" spans="1:19" x14ac:dyDescent="0.15">
      <c r="A183" s="11" t="str">
        <f t="shared" si="32"/>
        <v/>
      </c>
      <c r="B183" s="25"/>
      <c r="C183" s="25"/>
      <c r="D183" s="15" t="str">
        <f>IF(掉落_design!C154="","",掉落_design!C154)</f>
        <v/>
      </c>
      <c r="E183" s="15" t="str">
        <f>IF(A183="","",掉落_design!D154)</f>
        <v/>
      </c>
      <c r="F183" s="16" t="str">
        <f ca="1">IF(OFFSET(掉落_design!$E154,0,掉落_design!E$2,1,1)="","",OFFSET(掉落_design!$E154,0,掉落_design!E$2,1,1)&amp;";"&amp;OFFSET(掉落_design!$E154,0,掉落_design!E$2+1,1,1)&amp;";"&amp;OFFSET(掉落_design!$E154,0,掉落_design!E$2+2,1,1)&amp;";"&amp;OFFSET(掉落_design!$E154,0,掉落_design!E$2+3,1,1))</f>
        <v/>
      </c>
      <c r="G183" s="16" t="str">
        <f ca="1">IF(OFFSET(掉落_design!$E154,0,掉落_design!F$2,1,1)="","",OFFSET(掉落_design!$E154,0,掉落_design!F$2,1,1)&amp;";"&amp;OFFSET(掉落_design!$E154,0,掉落_design!F$2+1,1,1)&amp;";"&amp;OFFSET(掉落_design!$E154,0,掉落_design!F$2+2,1,1)&amp;";"&amp;OFFSET(掉落_design!$E154,0,掉落_design!F$2+3,1,1))</f>
        <v/>
      </c>
      <c r="H183" s="16" t="str">
        <f ca="1">IF(OFFSET(掉落_design!$E154,0,掉落_design!G$2,1,1)="","",OFFSET(掉落_design!$E154,0,掉落_design!G$2,1,1)&amp;";"&amp;OFFSET(掉落_design!$E154,0,掉落_design!G$2+1,1,1)&amp;";"&amp;OFFSET(掉落_design!$E154,0,掉落_design!G$2+2,1,1)&amp;";"&amp;OFFSET(掉落_design!$E154,0,掉落_design!G$2+3,1,1))</f>
        <v/>
      </c>
      <c r="I183" s="16" t="str">
        <f ca="1">IF(OFFSET(掉落_design!$E154,0,掉落_design!H$2,1,1)="","",OFFSET(掉落_design!$E154,0,掉落_design!H$2,1,1)&amp;";"&amp;OFFSET(掉落_design!$E154,0,掉落_design!H$2+1,1,1)&amp;";"&amp;OFFSET(掉落_design!$E154,0,掉落_design!H$2+2,1,1)&amp;";"&amp;OFFSET(掉落_design!$E154,0,掉落_design!H$2+3,1,1))</f>
        <v/>
      </c>
      <c r="J183" s="16" t="str">
        <f ca="1">IF(OFFSET(掉落_design!$E154,0,掉落_design!I$2,1,1)="","",OFFSET(掉落_design!$E154,0,掉落_design!I$2,1,1)&amp;";"&amp;OFFSET(掉落_design!$E154,0,掉落_design!I$2+1,1,1)&amp;";"&amp;OFFSET(掉落_design!$E154,0,掉落_design!I$2+2,1,1)&amp;";"&amp;OFFSET(掉落_design!$E154,0,掉落_design!I$2+3,1,1))</f>
        <v/>
      </c>
      <c r="K183" s="16" t="str">
        <f ca="1">IF(OFFSET(掉落_design!$E154,0,掉落_design!J$2,1,1)="","",OFFSET(掉落_design!$E154,0,掉落_design!J$2,1,1)&amp;";"&amp;OFFSET(掉落_design!$E154,0,掉落_design!J$2+1,1,1)&amp;";"&amp;OFFSET(掉落_design!$E154,0,掉落_design!J$2+2,1,1)&amp;";"&amp;OFFSET(掉落_design!$E154,0,掉落_design!J$2+3,1,1))</f>
        <v/>
      </c>
      <c r="L183" s="16" t="str">
        <f ca="1">IF(OFFSET(掉落_design!$E154,0,掉落_design!K$2,1,1)="","",OFFSET(掉落_design!$E154,0,掉落_design!K$2,1,1)&amp;";"&amp;OFFSET(掉落_design!$E154,0,掉落_design!K$2+1,1,1)&amp;";"&amp;OFFSET(掉落_design!$E154,0,掉落_design!K$2+2,1,1)&amp;";"&amp;OFFSET(掉落_design!$E154,0,掉落_design!K$2+3,1,1))</f>
        <v/>
      </c>
      <c r="M183" s="16" t="str">
        <f ca="1">IF(OFFSET(掉落_design!$E154,0,掉落_design!L$2,1,1)="","",OFFSET(掉落_design!$E154,0,掉落_design!L$2,1,1)&amp;";"&amp;OFFSET(掉落_design!$E154,0,掉落_design!L$2+1,1,1)&amp;";"&amp;OFFSET(掉落_design!$E154,0,掉落_design!L$2+2,1,1)&amp;";"&amp;OFFSET(掉落_design!$E154,0,掉落_design!L$2+3,1,1))</f>
        <v/>
      </c>
      <c r="N183" s="16" t="str">
        <f ca="1">IF(OFFSET(掉落_design!$E154,0,掉落_design!M$2,1,1)="","",OFFSET(掉落_design!$E154,0,掉落_design!M$2,1,1)&amp;";"&amp;OFFSET(掉落_design!$E154,0,掉落_design!M$2+1,1,1)&amp;";"&amp;OFFSET(掉落_design!$E154,0,掉落_design!M$2+2,1,1)&amp;";"&amp;OFFSET(掉落_design!$E154,0,掉落_design!M$2+3,1,1))</f>
        <v/>
      </c>
      <c r="O183" s="16" t="str">
        <f ca="1">IF(OFFSET(掉落_design!$E154,0,掉落_design!N$2,1,1)="","",OFFSET(掉落_design!$E154,0,掉落_design!N$2,1,1)&amp;";"&amp;OFFSET(掉落_design!$E154,0,掉落_design!N$2+1,1,1)&amp;";"&amp;OFFSET(掉落_design!$E154,0,掉落_design!N$2+2,1,1)&amp;";"&amp;OFFSET(掉落_design!$E154,0,掉落_design!N$2+3,1,1))</f>
        <v/>
      </c>
      <c r="P183" s="16" t="str">
        <f ca="1">IF(OFFSET(掉落_design!$E154,0,掉落_design!O$2,1,1)="","",OFFSET(掉落_design!$E154,0,掉落_design!O$2,1,1)&amp;";"&amp;OFFSET(掉落_design!$E154,0,掉落_design!O$2+1,1,1)&amp;";"&amp;OFFSET(掉落_design!$E154,0,掉落_design!O$2+2,1,1)&amp;";"&amp;OFFSET(掉落_design!$E154,0,掉落_design!O$2+3,1,1))</f>
        <v/>
      </c>
      <c r="Q183" s="25"/>
      <c r="R183" s="25"/>
      <c r="S183" s="25"/>
    </row>
    <row r="184" spans="1:19" x14ac:dyDescent="0.15">
      <c r="A184" s="11" t="str">
        <f t="shared" si="32"/>
        <v/>
      </c>
      <c r="B184" s="25"/>
      <c r="C184" s="25"/>
      <c r="D184" s="15" t="str">
        <f>IF(掉落_design!C155="","",掉落_design!C155)</f>
        <v/>
      </c>
      <c r="E184" s="15" t="str">
        <f>IF(A184="","",掉落_design!D155)</f>
        <v/>
      </c>
      <c r="F184" s="16" t="str">
        <f ca="1">IF(OFFSET(掉落_design!$E155,0,掉落_design!E$2,1,1)="","",OFFSET(掉落_design!$E155,0,掉落_design!E$2,1,1)&amp;";"&amp;OFFSET(掉落_design!$E155,0,掉落_design!E$2+1,1,1)&amp;";"&amp;OFFSET(掉落_design!$E155,0,掉落_design!E$2+2,1,1)&amp;";"&amp;OFFSET(掉落_design!$E155,0,掉落_design!E$2+3,1,1))</f>
        <v/>
      </c>
      <c r="G184" s="16" t="str">
        <f ca="1">IF(OFFSET(掉落_design!$E155,0,掉落_design!F$2,1,1)="","",OFFSET(掉落_design!$E155,0,掉落_design!F$2,1,1)&amp;";"&amp;OFFSET(掉落_design!$E155,0,掉落_design!F$2+1,1,1)&amp;";"&amp;OFFSET(掉落_design!$E155,0,掉落_design!F$2+2,1,1)&amp;";"&amp;OFFSET(掉落_design!$E155,0,掉落_design!F$2+3,1,1))</f>
        <v/>
      </c>
      <c r="H184" s="16" t="str">
        <f ca="1">IF(OFFSET(掉落_design!$E155,0,掉落_design!G$2,1,1)="","",OFFSET(掉落_design!$E155,0,掉落_design!G$2,1,1)&amp;";"&amp;OFFSET(掉落_design!$E155,0,掉落_design!G$2+1,1,1)&amp;";"&amp;OFFSET(掉落_design!$E155,0,掉落_design!G$2+2,1,1)&amp;";"&amp;OFFSET(掉落_design!$E155,0,掉落_design!G$2+3,1,1))</f>
        <v/>
      </c>
      <c r="I184" s="16" t="str">
        <f ca="1">IF(OFFSET(掉落_design!$E155,0,掉落_design!H$2,1,1)="","",OFFSET(掉落_design!$E155,0,掉落_design!H$2,1,1)&amp;";"&amp;OFFSET(掉落_design!$E155,0,掉落_design!H$2+1,1,1)&amp;";"&amp;OFFSET(掉落_design!$E155,0,掉落_design!H$2+2,1,1)&amp;";"&amp;OFFSET(掉落_design!$E155,0,掉落_design!H$2+3,1,1))</f>
        <v/>
      </c>
      <c r="J184" s="16" t="str">
        <f ca="1">IF(OFFSET(掉落_design!$E155,0,掉落_design!I$2,1,1)="","",OFFSET(掉落_design!$E155,0,掉落_design!I$2,1,1)&amp;";"&amp;OFFSET(掉落_design!$E155,0,掉落_design!I$2+1,1,1)&amp;";"&amp;OFFSET(掉落_design!$E155,0,掉落_design!I$2+2,1,1)&amp;";"&amp;OFFSET(掉落_design!$E155,0,掉落_design!I$2+3,1,1))</f>
        <v/>
      </c>
      <c r="K184" s="16" t="str">
        <f ca="1">IF(OFFSET(掉落_design!$E155,0,掉落_design!J$2,1,1)="","",OFFSET(掉落_design!$E155,0,掉落_design!J$2,1,1)&amp;";"&amp;OFFSET(掉落_design!$E155,0,掉落_design!J$2+1,1,1)&amp;";"&amp;OFFSET(掉落_design!$E155,0,掉落_design!J$2+2,1,1)&amp;";"&amp;OFFSET(掉落_design!$E155,0,掉落_design!J$2+3,1,1))</f>
        <v/>
      </c>
      <c r="L184" s="16" t="str">
        <f ca="1">IF(OFFSET(掉落_design!$E155,0,掉落_design!K$2,1,1)="","",OFFSET(掉落_design!$E155,0,掉落_design!K$2,1,1)&amp;";"&amp;OFFSET(掉落_design!$E155,0,掉落_design!K$2+1,1,1)&amp;";"&amp;OFFSET(掉落_design!$E155,0,掉落_design!K$2+2,1,1)&amp;";"&amp;OFFSET(掉落_design!$E155,0,掉落_design!K$2+3,1,1))</f>
        <v/>
      </c>
      <c r="M184" s="16" t="str">
        <f ca="1">IF(OFFSET(掉落_design!$E155,0,掉落_design!L$2,1,1)="","",OFFSET(掉落_design!$E155,0,掉落_design!L$2,1,1)&amp;";"&amp;OFFSET(掉落_design!$E155,0,掉落_design!L$2+1,1,1)&amp;";"&amp;OFFSET(掉落_design!$E155,0,掉落_design!L$2+2,1,1)&amp;";"&amp;OFFSET(掉落_design!$E155,0,掉落_design!L$2+3,1,1))</f>
        <v/>
      </c>
      <c r="N184" s="16" t="str">
        <f ca="1">IF(OFFSET(掉落_design!$E155,0,掉落_design!M$2,1,1)="","",OFFSET(掉落_design!$E155,0,掉落_design!M$2,1,1)&amp;";"&amp;OFFSET(掉落_design!$E155,0,掉落_design!M$2+1,1,1)&amp;";"&amp;OFFSET(掉落_design!$E155,0,掉落_design!M$2+2,1,1)&amp;";"&amp;OFFSET(掉落_design!$E155,0,掉落_design!M$2+3,1,1))</f>
        <v/>
      </c>
      <c r="O184" s="16" t="str">
        <f ca="1">IF(OFFSET(掉落_design!$E155,0,掉落_design!N$2,1,1)="","",OFFSET(掉落_design!$E155,0,掉落_design!N$2,1,1)&amp;";"&amp;OFFSET(掉落_design!$E155,0,掉落_design!N$2+1,1,1)&amp;";"&amp;OFFSET(掉落_design!$E155,0,掉落_design!N$2+2,1,1)&amp;";"&amp;OFFSET(掉落_design!$E155,0,掉落_design!N$2+3,1,1))</f>
        <v/>
      </c>
      <c r="P184" s="16" t="str">
        <f ca="1">IF(OFFSET(掉落_design!$E155,0,掉落_design!O$2,1,1)="","",OFFSET(掉落_design!$E155,0,掉落_design!O$2,1,1)&amp;";"&amp;OFFSET(掉落_design!$E155,0,掉落_design!O$2+1,1,1)&amp;";"&amp;OFFSET(掉落_design!$E155,0,掉落_design!O$2+2,1,1)&amp;";"&amp;OFFSET(掉落_design!$E155,0,掉落_design!O$2+3,1,1))</f>
        <v/>
      </c>
      <c r="Q184" s="25"/>
      <c r="R184" s="25"/>
      <c r="S184" s="25"/>
    </row>
    <row r="185" spans="1:19" x14ac:dyDescent="0.15">
      <c r="A185" s="11" t="str">
        <f t="shared" si="32"/>
        <v/>
      </c>
      <c r="B185" s="25"/>
      <c r="C185" s="25"/>
      <c r="D185" s="15" t="str">
        <f>IF(掉落_design!C156="","",掉落_design!C156)</f>
        <v/>
      </c>
      <c r="E185" s="15" t="str">
        <f>IF(A185="","",掉落_design!D156)</f>
        <v/>
      </c>
      <c r="F185" s="16" t="str">
        <f ca="1">IF(OFFSET(掉落_design!$E156,0,掉落_design!E$2,1,1)="","",OFFSET(掉落_design!$E156,0,掉落_design!E$2,1,1)&amp;";"&amp;OFFSET(掉落_design!$E156,0,掉落_design!E$2+1,1,1)&amp;";"&amp;OFFSET(掉落_design!$E156,0,掉落_design!E$2+2,1,1)&amp;";"&amp;OFFSET(掉落_design!$E156,0,掉落_design!E$2+3,1,1))</f>
        <v/>
      </c>
      <c r="G185" s="16" t="str">
        <f ca="1">IF(OFFSET(掉落_design!$E156,0,掉落_design!F$2,1,1)="","",OFFSET(掉落_design!$E156,0,掉落_design!F$2,1,1)&amp;";"&amp;OFFSET(掉落_design!$E156,0,掉落_design!F$2+1,1,1)&amp;";"&amp;OFFSET(掉落_design!$E156,0,掉落_design!F$2+2,1,1)&amp;";"&amp;OFFSET(掉落_design!$E156,0,掉落_design!F$2+3,1,1))</f>
        <v/>
      </c>
      <c r="H185" s="16" t="str">
        <f ca="1">IF(OFFSET(掉落_design!$E156,0,掉落_design!G$2,1,1)="","",OFFSET(掉落_design!$E156,0,掉落_design!G$2,1,1)&amp;";"&amp;OFFSET(掉落_design!$E156,0,掉落_design!G$2+1,1,1)&amp;";"&amp;OFFSET(掉落_design!$E156,0,掉落_design!G$2+2,1,1)&amp;";"&amp;OFFSET(掉落_design!$E156,0,掉落_design!G$2+3,1,1))</f>
        <v/>
      </c>
      <c r="I185" s="16" t="str">
        <f ca="1">IF(OFFSET(掉落_design!$E156,0,掉落_design!H$2,1,1)="","",OFFSET(掉落_design!$E156,0,掉落_design!H$2,1,1)&amp;";"&amp;OFFSET(掉落_design!$E156,0,掉落_design!H$2+1,1,1)&amp;";"&amp;OFFSET(掉落_design!$E156,0,掉落_design!H$2+2,1,1)&amp;";"&amp;OFFSET(掉落_design!$E156,0,掉落_design!H$2+3,1,1))</f>
        <v/>
      </c>
      <c r="J185" s="16" t="str">
        <f ca="1">IF(OFFSET(掉落_design!$E156,0,掉落_design!I$2,1,1)="","",OFFSET(掉落_design!$E156,0,掉落_design!I$2,1,1)&amp;";"&amp;OFFSET(掉落_design!$E156,0,掉落_design!I$2+1,1,1)&amp;";"&amp;OFFSET(掉落_design!$E156,0,掉落_design!I$2+2,1,1)&amp;";"&amp;OFFSET(掉落_design!$E156,0,掉落_design!I$2+3,1,1))</f>
        <v/>
      </c>
      <c r="K185" s="16" t="str">
        <f ca="1">IF(OFFSET(掉落_design!$E156,0,掉落_design!J$2,1,1)="","",OFFSET(掉落_design!$E156,0,掉落_design!J$2,1,1)&amp;";"&amp;OFFSET(掉落_design!$E156,0,掉落_design!J$2+1,1,1)&amp;";"&amp;OFFSET(掉落_design!$E156,0,掉落_design!J$2+2,1,1)&amp;";"&amp;OFFSET(掉落_design!$E156,0,掉落_design!J$2+3,1,1))</f>
        <v/>
      </c>
      <c r="L185" s="16" t="str">
        <f ca="1">IF(OFFSET(掉落_design!$E156,0,掉落_design!K$2,1,1)="","",OFFSET(掉落_design!$E156,0,掉落_design!K$2,1,1)&amp;";"&amp;OFFSET(掉落_design!$E156,0,掉落_design!K$2+1,1,1)&amp;";"&amp;OFFSET(掉落_design!$E156,0,掉落_design!K$2+2,1,1)&amp;";"&amp;OFFSET(掉落_design!$E156,0,掉落_design!K$2+3,1,1))</f>
        <v/>
      </c>
      <c r="M185" s="16" t="str">
        <f ca="1">IF(OFFSET(掉落_design!$E156,0,掉落_design!L$2,1,1)="","",OFFSET(掉落_design!$E156,0,掉落_design!L$2,1,1)&amp;";"&amp;OFFSET(掉落_design!$E156,0,掉落_design!L$2+1,1,1)&amp;";"&amp;OFFSET(掉落_design!$E156,0,掉落_design!L$2+2,1,1)&amp;";"&amp;OFFSET(掉落_design!$E156,0,掉落_design!L$2+3,1,1))</f>
        <v/>
      </c>
      <c r="N185" s="16" t="str">
        <f ca="1">IF(OFFSET(掉落_design!$E156,0,掉落_design!M$2,1,1)="","",OFFSET(掉落_design!$E156,0,掉落_design!M$2,1,1)&amp;";"&amp;OFFSET(掉落_design!$E156,0,掉落_design!M$2+1,1,1)&amp;";"&amp;OFFSET(掉落_design!$E156,0,掉落_design!M$2+2,1,1)&amp;";"&amp;OFFSET(掉落_design!$E156,0,掉落_design!M$2+3,1,1))</f>
        <v/>
      </c>
      <c r="O185" s="16" t="str">
        <f ca="1">IF(OFFSET(掉落_design!$E156,0,掉落_design!N$2,1,1)="","",OFFSET(掉落_design!$E156,0,掉落_design!N$2,1,1)&amp;";"&amp;OFFSET(掉落_design!$E156,0,掉落_design!N$2+1,1,1)&amp;";"&amp;OFFSET(掉落_design!$E156,0,掉落_design!N$2+2,1,1)&amp;";"&amp;OFFSET(掉落_design!$E156,0,掉落_design!N$2+3,1,1))</f>
        <v/>
      </c>
      <c r="P185" s="16" t="str">
        <f ca="1">IF(OFFSET(掉落_design!$E156,0,掉落_design!O$2,1,1)="","",OFFSET(掉落_design!$E156,0,掉落_design!O$2,1,1)&amp;";"&amp;OFFSET(掉落_design!$E156,0,掉落_design!O$2+1,1,1)&amp;";"&amp;OFFSET(掉落_design!$E156,0,掉落_design!O$2+2,1,1)&amp;";"&amp;OFFSET(掉落_design!$E156,0,掉落_design!O$2+3,1,1))</f>
        <v/>
      </c>
      <c r="Q185" s="25"/>
      <c r="R185" s="25"/>
      <c r="S185" s="25"/>
    </row>
    <row r="186" spans="1:19" x14ac:dyDescent="0.15">
      <c r="A186" s="11" t="str">
        <f t="shared" si="32"/>
        <v/>
      </c>
      <c r="B186" s="25"/>
      <c r="C186" s="25"/>
      <c r="D186" s="15" t="str">
        <f>IF(掉落_design!C157="","",掉落_design!C157)</f>
        <v/>
      </c>
      <c r="E186" s="15" t="str">
        <f>IF(A186="","",掉落_design!D157)</f>
        <v/>
      </c>
      <c r="F186" s="16" t="str">
        <f ca="1">IF(OFFSET(掉落_design!$E157,0,掉落_design!E$2,1,1)="","",OFFSET(掉落_design!$E157,0,掉落_design!E$2,1,1)&amp;";"&amp;OFFSET(掉落_design!$E157,0,掉落_design!E$2+1,1,1)&amp;";"&amp;OFFSET(掉落_design!$E157,0,掉落_design!E$2+2,1,1)&amp;";"&amp;OFFSET(掉落_design!$E157,0,掉落_design!E$2+3,1,1))</f>
        <v/>
      </c>
      <c r="G186" s="16" t="str">
        <f ca="1">IF(OFFSET(掉落_design!$E157,0,掉落_design!F$2,1,1)="","",OFFSET(掉落_design!$E157,0,掉落_design!F$2,1,1)&amp;";"&amp;OFFSET(掉落_design!$E157,0,掉落_design!F$2+1,1,1)&amp;";"&amp;OFFSET(掉落_design!$E157,0,掉落_design!F$2+2,1,1)&amp;";"&amp;OFFSET(掉落_design!$E157,0,掉落_design!F$2+3,1,1))</f>
        <v/>
      </c>
      <c r="H186" s="16" t="str">
        <f ca="1">IF(OFFSET(掉落_design!$E157,0,掉落_design!G$2,1,1)="","",OFFSET(掉落_design!$E157,0,掉落_design!G$2,1,1)&amp;";"&amp;OFFSET(掉落_design!$E157,0,掉落_design!G$2+1,1,1)&amp;";"&amp;OFFSET(掉落_design!$E157,0,掉落_design!G$2+2,1,1)&amp;";"&amp;OFFSET(掉落_design!$E157,0,掉落_design!G$2+3,1,1))</f>
        <v/>
      </c>
      <c r="I186" s="16" t="str">
        <f ca="1">IF(OFFSET(掉落_design!$E157,0,掉落_design!H$2,1,1)="","",OFFSET(掉落_design!$E157,0,掉落_design!H$2,1,1)&amp;";"&amp;OFFSET(掉落_design!$E157,0,掉落_design!H$2+1,1,1)&amp;";"&amp;OFFSET(掉落_design!$E157,0,掉落_design!H$2+2,1,1)&amp;";"&amp;OFFSET(掉落_design!$E157,0,掉落_design!H$2+3,1,1))</f>
        <v/>
      </c>
      <c r="J186" s="16" t="str">
        <f ca="1">IF(OFFSET(掉落_design!$E157,0,掉落_design!I$2,1,1)="","",OFFSET(掉落_design!$E157,0,掉落_design!I$2,1,1)&amp;";"&amp;OFFSET(掉落_design!$E157,0,掉落_design!I$2+1,1,1)&amp;";"&amp;OFFSET(掉落_design!$E157,0,掉落_design!I$2+2,1,1)&amp;";"&amp;OFFSET(掉落_design!$E157,0,掉落_design!I$2+3,1,1))</f>
        <v/>
      </c>
      <c r="K186" s="16" t="str">
        <f ca="1">IF(OFFSET(掉落_design!$E157,0,掉落_design!J$2,1,1)="","",OFFSET(掉落_design!$E157,0,掉落_design!J$2,1,1)&amp;";"&amp;OFFSET(掉落_design!$E157,0,掉落_design!J$2+1,1,1)&amp;";"&amp;OFFSET(掉落_design!$E157,0,掉落_design!J$2+2,1,1)&amp;";"&amp;OFFSET(掉落_design!$E157,0,掉落_design!J$2+3,1,1))</f>
        <v/>
      </c>
      <c r="L186" s="16" t="str">
        <f ca="1">IF(OFFSET(掉落_design!$E157,0,掉落_design!K$2,1,1)="","",OFFSET(掉落_design!$E157,0,掉落_design!K$2,1,1)&amp;";"&amp;OFFSET(掉落_design!$E157,0,掉落_design!K$2+1,1,1)&amp;";"&amp;OFFSET(掉落_design!$E157,0,掉落_design!K$2+2,1,1)&amp;";"&amp;OFFSET(掉落_design!$E157,0,掉落_design!K$2+3,1,1))</f>
        <v/>
      </c>
      <c r="M186" s="16" t="str">
        <f ca="1">IF(OFFSET(掉落_design!$E157,0,掉落_design!L$2,1,1)="","",OFFSET(掉落_design!$E157,0,掉落_design!L$2,1,1)&amp;";"&amp;OFFSET(掉落_design!$E157,0,掉落_design!L$2+1,1,1)&amp;";"&amp;OFFSET(掉落_design!$E157,0,掉落_design!L$2+2,1,1)&amp;";"&amp;OFFSET(掉落_design!$E157,0,掉落_design!L$2+3,1,1))</f>
        <v/>
      </c>
      <c r="N186" s="16" t="str">
        <f ca="1">IF(OFFSET(掉落_design!$E157,0,掉落_design!M$2,1,1)="","",OFFSET(掉落_design!$E157,0,掉落_design!M$2,1,1)&amp;";"&amp;OFFSET(掉落_design!$E157,0,掉落_design!M$2+1,1,1)&amp;";"&amp;OFFSET(掉落_design!$E157,0,掉落_design!M$2+2,1,1)&amp;";"&amp;OFFSET(掉落_design!$E157,0,掉落_design!M$2+3,1,1))</f>
        <v/>
      </c>
      <c r="O186" s="16" t="str">
        <f ca="1">IF(OFFSET(掉落_design!$E157,0,掉落_design!N$2,1,1)="","",OFFSET(掉落_design!$E157,0,掉落_design!N$2,1,1)&amp;";"&amp;OFFSET(掉落_design!$E157,0,掉落_design!N$2+1,1,1)&amp;";"&amp;OFFSET(掉落_design!$E157,0,掉落_design!N$2+2,1,1)&amp;";"&amp;OFFSET(掉落_design!$E157,0,掉落_design!N$2+3,1,1))</f>
        <v/>
      </c>
      <c r="P186" s="16" t="str">
        <f ca="1">IF(OFFSET(掉落_design!$E157,0,掉落_design!O$2,1,1)="","",OFFSET(掉落_design!$E157,0,掉落_design!O$2,1,1)&amp;";"&amp;OFFSET(掉落_design!$E157,0,掉落_design!O$2+1,1,1)&amp;";"&amp;OFFSET(掉落_design!$E157,0,掉落_design!O$2+2,1,1)&amp;";"&amp;OFFSET(掉落_design!$E157,0,掉落_design!O$2+3,1,1))</f>
        <v/>
      </c>
      <c r="Q186" s="25"/>
      <c r="R186" s="25"/>
      <c r="S186" s="25"/>
    </row>
    <row r="187" spans="1:19" x14ac:dyDescent="0.15">
      <c r="A187" s="11" t="str">
        <f t="shared" si="32"/>
        <v/>
      </c>
      <c r="B187" s="25"/>
      <c r="C187" s="25"/>
      <c r="D187" s="15" t="str">
        <f>IF(掉落_design!C158="","",掉落_design!C158)</f>
        <v/>
      </c>
      <c r="E187" s="15" t="str">
        <f>IF(A187="","",掉落_design!D158)</f>
        <v/>
      </c>
      <c r="F187" s="16" t="str">
        <f ca="1">IF(OFFSET(掉落_design!$E158,0,掉落_design!E$2,1,1)="","",OFFSET(掉落_design!$E158,0,掉落_design!E$2,1,1)&amp;";"&amp;OFFSET(掉落_design!$E158,0,掉落_design!E$2+1,1,1)&amp;";"&amp;OFFSET(掉落_design!$E158,0,掉落_design!E$2+2,1,1)&amp;";"&amp;OFFSET(掉落_design!$E158,0,掉落_design!E$2+3,1,1))</f>
        <v/>
      </c>
      <c r="G187" s="16" t="str">
        <f ca="1">IF(OFFSET(掉落_design!$E158,0,掉落_design!F$2,1,1)="","",OFFSET(掉落_design!$E158,0,掉落_design!F$2,1,1)&amp;";"&amp;OFFSET(掉落_design!$E158,0,掉落_design!F$2+1,1,1)&amp;";"&amp;OFFSET(掉落_design!$E158,0,掉落_design!F$2+2,1,1)&amp;";"&amp;OFFSET(掉落_design!$E158,0,掉落_design!F$2+3,1,1))</f>
        <v/>
      </c>
      <c r="H187" s="16" t="str">
        <f ca="1">IF(OFFSET(掉落_design!$E158,0,掉落_design!G$2,1,1)="","",OFFSET(掉落_design!$E158,0,掉落_design!G$2,1,1)&amp;";"&amp;OFFSET(掉落_design!$E158,0,掉落_design!G$2+1,1,1)&amp;";"&amp;OFFSET(掉落_design!$E158,0,掉落_design!G$2+2,1,1)&amp;";"&amp;OFFSET(掉落_design!$E158,0,掉落_design!G$2+3,1,1))</f>
        <v/>
      </c>
      <c r="I187" s="16" t="str">
        <f ca="1">IF(OFFSET(掉落_design!$E158,0,掉落_design!H$2,1,1)="","",OFFSET(掉落_design!$E158,0,掉落_design!H$2,1,1)&amp;";"&amp;OFFSET(掉落_design!$E158,0,掉落_design!H$2+1,1,1)&amp;";"&amp;OFFSET(掉落_design!$E158,0,掉落_design!H$2+2,1,1)&amp;";"&amp;OFFSET(掉落_design!$E158,0,掉落_design!H$2+3,1,1))</f>
        <v/>
      </c>
      <c r="J187" s="16" t="str">
        <f ca="1">IF(OFFSET(掉落_design!$E158,0,掉落_design!I$2,1,1)="","",OFFSET(掉落_design!$E158,0,掉落_design!I$2,1,1)&amp;";"&amp;OFFSET(掉落_design!$E158,0,掉落_design!I$2+1,1,1)&amp;";"&amp;OFFSET(掉落_design!$E158,0,掉落_design!I$2+2,1,1)&amp;";"&amp;OFFSET(掉落_design!$E158,0,掉落_design!I$2+3,1,1))</f>
        <v/>
      </c>
      <c r="K187" s="16" t="str">
        <f ca="1">IF(OFFSET(掉落_design!$E158,0,掉落_design!J$2,1,1)="","",OFFSET(掉落_design!$E158,0,掉落_design!J$2,1,1)&amp;";"&amp;OFFSET(掉落_design!$E158,0,掉落_design!J$2+1,1,1)&amp;";"&amp;OFFSET(掉落_design!$E158,0,掉落_design!J$2+2,1,1)&amp;";"&amp;OFFSET(掉落_design!$E158,0,掉落_design!J$2+3,1,1))</f>
        <v/>
      </c>
      <c r="L187" s="16" t="str">
        <f ca="1">IF(OFFSET(掉落_design!$E158,0,掉落_design!K$2,1,1)="","",OFFSET(掉落_design!$E158,0,掉落_design!K$2,1,1)&amp;";"&amp;OFFSET(掉落_design!$E158,0,掉落_design!K$2+1,1,1)&amp;";"&amp;OFFSET(掉落_design!$E158,0,掉落_design!K$2+2,1,1)&amp;";"&amp;OFFSET(掉落_design!$E158,0,掉落_design!K$2+3,1,1))</f>
        <v/>
      </c>
      <c r="M187" s="16" t="str">
        <f ca="1">IF(OFFSET(掉落_design!$E158,0,掉落_design!L$2,1,1)="","",OFFSET(掉落_design!$E158,0,掉落_design!L$2,1,1)&amp;";"&amp;OFFSET(掉落_design!$E158,0,掉落_design!L$2+1,1,1)&amp;";"&amp;OFFSET(掉落_design!$E158,0,掉落_design!L$2+2,1,1)&amp;";"&amp;OFFSET(掉落_design!$E158,0,掉落_design!L$2+3,1,1))</f>
        <v/>
      </c>
      <c r="N187" s="16" t="str">
        <f ca="1">IF(OFFSET(掉落_design!$E158,0,掉落_design!M$2,1,1)="","",OFFSET(掉落_design!$E158,0,掉落_design!M$2,1,1)&amp;";"&amp;OFFSET(掉落_design!$E158,0,掉落_design!M$2+1,1,1)&amp;";"&amp;OFFSET(掉落_design!$E158,0,掉落_design!M$2+2,1,1)&amp;";"&amp;OFFSET(掉落_design!$E158,0,掉落_design!M$2+3,1,1))</f>
        <v/>
      </c>
      <c r="O187" s="16" t="str">
        <f ca="1">IF(OFFSET(掉落_design!$E158,0,掉落_design!N$2,1,1)="","",OFFSET(掉落_design!$E158,0,掉落_design!N$2,1,1)&amp;";"&amp;OFFSET(掉落_design!$E158,0,掉落_design!N$2+1,1,1)&amp;";"&amp;OFFSET(掉落_design!$E158,0,掉落_design!N$2+2,1,1)&amp;";"&amp;OFFSET(掉落_design!$E158,0,掉落_design!N$2+3,1,1))</f>
        <v/>
      </c>
      <c r="P187" s="16" t="str">
        <f ca="1">IF(OFFSET(掉落_design!$E158,0,掉落_design!O$2,1,1)="","",OFFSET(掉落_design!$E158,0,掉落_design!O$2,1,1)&amp;";"&amp;OFFSET(掉落_design!$E158,0,掉落_design!O$2+1,1,1)&amp;";"&amp;OFFSET(掉落_design!$E158,0,掉落_design!O$2+2,1,1)&amp;";"&amp;OFFSET(掉落_design!$E158,0,掉落_design!O$2+3,1,1))</f>
        <v/>
      </c>
      <c r="Q187" s="25"/>
      <c r="R187" s="25"/>
      <c r="S187" s="25"/>
    </row>
    <row r="188" spans="1:19" x14ac:dyDescent="0.15">
      <c r="A188" s="11" t="str">
        <f t="shared" si="32"/>
        <v/>
      </c>
      <c r="B188" s="25"/>
      <c r="C188" s="25"/>
      <c r="D188" s="15" t="str">
        <f>IF(掉落_design!C159="","",掉落_design!C159)</f>
        <v/>
      </c>
      <c r="E188" s="15" t="str">
        <f>IF(A188="","",掉落_design!D159)</f>
        <v/>
      </c>
      <c r="F188" s="16" t="str">
        <f ca="1">IF(OFFSET(掉落_design!$E159,0,掉落_design!E$2,1,1)="","",OFFSET(掉落_design!$E159,0,掉落_design!E$2,1,1)&amp;";"&amp;OFFSET(掉落_design!$E159,0,掉落_design!E$2+1,1,1)&amp;";"&amp;OFFSET(掉落_design!$E159,0,掉落_design!E$2+2,1,1)&amp;";"&amp;OFFSET(掉落_design!$E159,0,掉落_design!E$2+3,1,1))</f>
        <v/>
      </c>
      <c r="G188" s="16" t="str">
        <f ca="1">IF(OFFSET(掉落_design!$E159,0,掉落_design!F$2,1,1)="","",OFFSET(掉落_design!$E159,0,掉落_design!F$2,1,1)&amp;";"&amp;OFFSET(掉落_design!$E159,0,掉落_design!F$2+1,1,1)&amp;";"&amp;OFFSET(掉落_design!$E159,0,掉落_design!F$2+2,1,1)&amp;";"&amp;OFFSET(掉落_design!$E159,0,掉落_design!F$2+3,1,1))</f>
        <v/>
      </c>
      <c r="H188" s="16" t="str">
        <f ca="1">IF(OFFSET(掉落_design!$E159,0,掉落_design!G$2,1,1)="","",OFFSET(掉落_design!$E159,0,掉落_design!G$2,1,1)&amp;";"&amp;OFFSET(掉落_design!$E159,0,掉落_design!G$2+1,1,1)&amp;";"&amp;OFFSET(掉落_design!$E159,0,掉落_design!G$2+2,1,1)&amp;";"&amp;OFFSET(掉落_design!$E159,0,掉落_design!G$2+3,1,1))</f>
        <v/>
      </c>
      <c r="I188" s="16" t="str">
        <f ca="1">IF(OFFSET(掉落_design!$E159,0,掉落_design!H$2,1,1)="","",OFFSET(掉落_design!$E159,0,掉落_design!H$2,1,1)&amp;";"&amp;OFFSET(掉落_design!$E159,0,掉落_design!H$2+1,1,1)&amp;";"&amp;OFFSET(掉落_design!$E159,0,掉落_design!H$2+2,1,1)&amp;";"&amp;OFFSET(掉落_design!$E159,0,掉落_design!H$2+3,1,1))</f>
        <v/>
      </c>
      <c r="J188" s="16" t="str">
        <f ca="1">IF(OFFSET(掉落_design!$E159,0,掉落_design!I$2,1,1)="","",OFFSET(掉落_design!$E159,0,掉落_design!I$2,1,1)&amp;";"&amp;OFFSET(掉落_design!$E159,0,掉落_design!I$2+1,1,1)&amp;";"&amp;OFFSET(掉落_design!$E159,0,掉落_design!I$2+2,1,1)&amp;";"&amp;OFFSET(掉落_design!$E159,0,掉落_design!I$2+3,1,1))</f>
        <v/>
      </c>
      <c r="K188" s="16" t="str">
        <f ca="1">IF(OFFSET(掉落_design!$E159,0,掉落_design!J$2,1,1)="","",OFFSET(掉落_design!$E159,0,掉落_design!J$2,1,1)&amp;";"&amp;OFFSET(掉落_design!$E159,0,掉落_design!J$2+1,1,1)&amp;";"&amp;OFFSET(掉落_design!$E159,0,掉落_design!J$2+2,1,1)&amp;";"&amp;OFFSET(掉落_design!$E159,0,掉落_design!J$2+3,1,1))</f>
        <v/>
      </c>
      <c r="L188" s="16" t="str">
        <f ca="1">IF(OFFSET(掉落_design!$E159,0,掉落_design!K$2,1,1)="","",OFFSET(掉落_design!$E159,0,掉落_design!K$2,1,1)&amp;";"&amp;OFFSET(掉落_design!$E159,0,掉落_design!K$2+1,1,1)&amp;";"&amp;OFFSET(掉落_design!$E159,0,掉落_design!K$2+2,1,1)&amp;";"&amp;OFFSET(掉落_design!$E159,0,掉落_design!K$2+3,1,1))</f>
        <v/>
      </c>
      <c r="M188" s="16" t="str">
        <f ca="1">IF(OFFSET(掉落_design!$E159,0,掉落_design!L$2,1,1)="","",OFFSET(掉落_design!$E159,0,掉落_design!L$2,1,1)&amp;";"&amp;OFFSET(掉落_design!$E159,0,掉落_design!L$2+1,1,1)&amp;";"&amp;OFFSET(掉落_design!$E159,0,掉落_design!L$2+2,1,1)&amp;";"&amp;OFFSET(掉落_design!$E159,0,掉落_design!L$2+3,1,1))</f>
        <v/>
      </c>
      <c r="N188" s="16" t="str">
        <f ca="1">IF(OFFSET(掉落_design!$E159,0,掉落_design!M$2,1,1)="","",OFFSET(掉落_design!$E159,0,掉落_design!M$2,1,1)&amp;";"&amp;OFFSET(掉落_design!$E159,0,掉落_design!M$2+1,1,1)&amp;";"&amp;OFFSET(掉落_design!$E159,0,掉落_design!M$2+2,1,1)&amp;";"&amp;OFFSET(掉落_design!$E159,0,掉落_design!M$2+3,1,1))</f>
        <v/>
      </c>
      <c r="O188" s="16" t="str">
        <f ca="1">IF(OFFSET(掉落_design!$E159,0,掉落_design!N$2,1,1)="","",OFFSET(掉落_design!$E159,0,掉落_design!N$2,1,1)&amp;";"&amp;OFFSET(掉落_design!$E159,0,掉落_design!N$2+1,1,1)&amp;";"&amp;OFFSET(掉落_design!$E159,0,掉落_design!N$2+2,1,1)&amp;";"&amp;OFFSET(掉落_design!$E159,0,掉落_design!N$2+3,1,1))</f>
        <v/>
      </c>
      <c r="P188" s="16" t="str">
        <f ca="1">IF(OFFSET(掉落_design!$E159,0,掉落_design!O$2,1,1)="","",OFFSET(掉落_design!$E159,0,掉落_design!O$2,1,1)&amp;";"&amp;OFFSET(掉落_design!$E159,0,掉落_design!O$2+1,1,1)&amp;";"&amp;OFFSET(掉落_design!$E159,0,掉落_design!O$2+2,1,1)&amp;";"&amp;OFFSET(掉落_design!$E159,0,掉落_design!O$2+3,1,1))</f>
        <v/>
      </c>
      <c r="Q188" s="25"/>
      <c r="R188" s="25"/>
      <c r="S188" s="25"/>
    </row>
    <row r="189" spans="1:19" x14ac:dyDescent="0.15">
      <c r="A189" s="11" t="str">
        <f t="shared" si="32"/>
        <v/>
      </c>
      <c r="B189" s="25"/>
      <c r="C189" s="25"/>
      <c r="D189" s="15" t="str">
        <f>IF(掉落_design!C160="","",掉落_design!C160)</f>
        <v/>
      </c>
      <c r="E189" s="15" t="str">
        <f>IF(A189="","",掉落_design!D160)</f>
        <v/>
      </c>
      <c r="F189" s="16" t="str">
        <f ca="1">IF(OFFSET(掉落_design!$E160,0,掉落_design!E$2,1,1)="","",OFFSET(掉落_design!$E160,0,掉落_design!E$2,1,1)&amp;";"&amp;OFFSET(掉落_design!$E160,0,掉落_design!E$2+1,1,1)&amp;";"&amp;OFFSET(掉落_design!$E160,0,掉落_design!E$2+2,1,1)&amp;";"&amp;OFFSET(掉落_design!$E160,0,掉落_design!E$2+3,1,1))</f>
        <v/>
      </c>
      <c r="G189" s="16" t="str">
        <f ca="1">IF(OFFSET(掉落_design!$E160,0,掉落_design!F$2,1,1)="","",OFFSET(掉落_design!$E160,0,掉落_design!F$2,1,1)&amp;";"&amp;OFFSET(掉落_design!$E160,0,掉落_design!F$2+1,1,1)&amp;";"&amp;OFFSET(掉落_design!$E160,0,掉落_design!F$2+2,1,1)&amp;";"&amp;OFFSET(掉落_design!$E160,0,掉落_design!F$2+3,1,1))</f>
        <v/>
      </c>
      <c r="H189" s="16" t="str">
        <f ca="1">IF(OFFSET(掉落_design!$E160,0,掉落_design!G$2,1,1)="","",OFFSET(掉落_design!$E160,0,掉落_design!G$2,1,1)&amp;";"&amp;OFFSET(掉落_design!$E160,0,掉落_design!G$2+1,1,1)&amp;";"&amp;OFFSET(掉落_design!$E160,0,掉落_design!G$2+2,1,1)&amp;";"&amp;OFFSET(掉落_design!$E160,0,掉落_design!G$2+3,1,1))</f>
        <v/>
      </c>
      <c r="I189" s="16" t="str">
        <f ca="1">IF(OFFSET(掉落_design!$E160,0,掉落_design!H$2,1,1)="","",OFFSET(掉落_design!$E160,0,掉落_design!H$2,1,1)&amp;";"&amp;OFFSET(掉落_design!$E160,0,掉落_design!H$2+1,1,1)&amp;";"&amp;OFFSET(掉落_design!$E160,0,掉落_design!H$2+2,1,1)&amp;";"&amp;OFFSET(掉落_design!$E160,0,掉落_design!H$2+3,1,1))</f>
        <v/>
      </c>
      <c r="J189" s="16" t="str">
        <f ca="1">IF(OFFSET(掉落_design!$E160,0,掉落_design!I$2,1,1)="","",OFFSET(掉落_design!$E160,0,掉落_design!I$2,1,1)&amp;";"&amp;OFFSET(掉落_design!$E160,0,掉落_design!I$2+1,1,1)&amp;";"&amp;OFFSET(掉落_design!$E160,0,掉落_design!I$2+2,1,1)&amp;";"&amp;OFFSET(掉落_design!$E160,0,掉落_design!I$2+3,1,1))</f>
        <v/>
      </c>
      <c r="K189" s="16" t="str">
        <f ca="1">IF(OFFSET(掉落_design!$E160,0,掉落_design!J$2,1,1)="","",OFFSET(掉落_design!$E160,0,掉落_design!J$2,1,1)&amp;";"&amp;OFFSET(掉落_design!$E160,0,掉落_design!J$2+1,1,1)&amp;";"&amp;OFFSET(掉落_design!$E160,0,掉落_design!J$2+2,1,1)&amp;";"&amp;OFFSET(掉落_design!$E160,0,掉落_design!J$2+3,1,1))</f>
        <v/>
      </c>
      <c r="L189" s="16" t="str">
        <f ca="1">IF(OFFSET(掉落_design!$E160,0,掉落_design!K$2,1,1)="","",OFFSET(掉落_design!$E160,0,掉落_design!K$2,1,1)&amp;";"&amp;OFFSET(掉落_design!$E160,0,掉落_design!K$2+1,1,1)&amp;";"&amp;OFFSET(掉落_design!$E160,0,掉落_design!K$2+2,1,1)&amp;";"&amp;OFFSET(掉落_design!$E160,0,掉落_design!K$2+3,1,1))</f>
        <v/>
      </c>
      <c r="M189" s="16" t="str">
        <f ca="1">IF(OFFSET(掉落_design!$E160,0,掉落_design!L$2,1,1)="","",OFFSET(掉落_design!$E160,0,掉落_design!L$2,1,1)&amp;";"&amp;OFFSET(掉落_design!$E160,0,掉落_design!L$2+1,1,1)&amp;";"&amp;OFFSET(掉落_design!$E160,0,掉落_design!L$2+2,1,1)&amp;";"&amp;OFFSET(掉落_design!$E160,0,掉落_design!L$2+3,1,1))</f>
        <v/>
      </c>
      <c r="N189" s="16" t="str">
        <f ca="1">IF(OFFSET(掉落_design!$E160,0,掉落_design!M$2,1,1)="","",OFFSET(掉落_design!$E160,0,掉落_design!M$2,1,1)&amp;";"&amp;OFFSET(掉落_design!$E160,0,掉落_design!M$2+1,1,1)&amp;";"&amp;OFFSET(掉落_design!$E160,0,掉落_design!M$2+2,1,1)&amp;";"&amp;OFFSET(掉落_design!$E160,0,掉落_design!M$2+3,1,1))</f>
        <v/>
      </c>
      <c r="O189" s="16" t="str">
        <f ca="1">IF(OFFSET(掉落_design!$E160,0,掉落_design!N$2,1,1)="","",OFFSET(掉落_design!$E160,0,掉落_design!N$2,1,1)&amp;";"&amp;OFFSET(掉落_design!$E160,0,掉落_design!N$2+1,1,1)&amp;";"&amp;OFFSET(掉落_design!$E160,0,掉落_design!N$2+2,1,1)&amp;";"&amp;OFFSET(掉落_design!$E160,0,掉落_design!N$2+3,1,1))</f>
        <v/>
      </c>
      <c r="P189" s="16" t="str">
        <f ca="1">IF(OFFSET(掉落_design!$E160,0,掉落_design!O$2,1,1)="","",OFFSET(掉落_design!$E160,0,掉落_design!O$2,1,1)&amp;";"&amp;OFFSET(掉落_design!$E160,0,掉落_design!O$2+1,1,1)&amp;";"&amp;OFFSET(掉落_design!$E160,0,掉落_design!O$2+2,1,1)&amp;";"&amp;OFFSET(掉落_design!$E160,0,掉落_design!O$2+3,1,1))</f>
        <v/>
      </c>
      <c r="Q189" s="25"/>
      <c r="R189" s="25"/>
      <c r="S189" s="25"/>
    </row>
    <row r="190" spans="1:19" x14ac:dyDescent="0.15">
      <c r="A190" s="11" t="str">
        <f t="shared" si="32"/>
        <v/>
      </c>
      <c r="B190" s="25"/>
      <c r="C190" s="25"/>
      <c r="D190" s="15" t="str">
        <f>IF(掉落_design!C161="","",掉落_design!C161)</f>
        <v/>
      </c>
      <c r="E190" s="15" t="str">
        <f>IF(A190="","",掉落_design!D161)</f>
        <v/>
      </c>
      <c r="F190" s="16" t="str">
        <f ca="1">IF(OFFSET(掉落_design!$E161,0,掉落_design!E$2,1,1)="","",OFFSET(掉落_design!$E161,0,掉落_design!E$2,1,1)&amp;";"&amp;OFFSET(掉落_design!$E161,0,掉落_design!E$2+1,1,1)&amp;";"&amp;OFFSET(掉落_design!$E161,0,掉落_design!E$2+2,1,1)&amp;";"&amp;OFFSET(掉落_design!$E161,0,掉落_design!E$2+3,1,1))</f>
        <v/>
      </c>
      <c r="G190" s="16" t="str">
        <f ca="1">IF(OFFSET(掉落_design!$E161,0,掉落_design!F$2,1,1)="","",OFFSET(掉落_design!$E161,0,掉落_design!F$2,1,1)&amp;";"&amp;OFFSET(掉落_design!$E161,0,掉落_design!F$2+1,1,1)&amp;";"&amp;OFFSET(掉落_design!$E161,0,掉落_design!F$2+2,1,1)&amp;";"&amp;OFFSET(掉落_design!$E161,0,掉落_design!F$2+3,1,1))</f>
        <v/>
      </c>
      <c r="H190" s="16" t="str">
        <f ca="1">IF(OFFSET(掉落_design!$E161,0,掉落_design!G$2,1,1)="","",OFFSET(掉落_design!$E161,0,掉落_design!G$2,1,1)&amp;";"&amp;OFFSET(掉落_design!$E161,0,掉落_design!G$2+1,1,1)&amp;";"&amp;OFFSET(掉落_design!$E161,0,掉落_design!G$2+2,1,1)&amp;";"&amp;OFFSET(掉落_design!$E161,0,掉落_design!G$2+3,1,1))</f>
        <v/>
      </c>
      <c r="I190" s="16" t="str">
        <f ca="1">IF(OFFSET(掉落_design!$E161,0,掉落_design!H$2,1,1)="","",OFFSET(掉落_design!$E161,0,掉落_design!H$2,1,1)&amp;";"&amp;OFFSET(掉落_design!$E161,0,掉落_design!H$2+1,1,1)&amp;";"&amp;OFFSET(掉落_design!$E161,0,掉落_design!H$2+2,1,1)&amp;";"&amp;OFFSET(掉落_design!$E161,0,掉落_design!H$2+3,1,1))</f>
        <v/>
      </c>
      <c r="J190" s="16" t="str">
        <f ca="1">IF(OFFSET(掉落_design!$E161,0,掉落_design!I$2,1,1)="","",OFFSET(掉落_design!$E161,0,掉落_design!I$2,1,1)&amp;";"&amp;OFFSET(掉落_design!$E161,0,掉落_design!I$2+1,1,1)&amp;";"&amp;OFFSET(掉落_design!$E161,0,掉落_design!I$2+2,1,1)&amp;";"&amp;OFFSET(掉落_design!$E161,0,掉落_design!I$2+3,1,1))</f>
        <v/>
      </c>
      <c r="K190" s="16" t="str">
        <f ca="1">IF(OFFSET(掉落_design!$E161,0,掉落_design!J$2,1,1)="","",OFFSET(掉落_design!$E161,0,掉落_design!J$2,1,1)&amp;";"&amp;OFFSET(掉落_design!$E161,0,掉落_design!J$2+1,1,1)&amp;";"&amp;OFFSET(掉落_design!$E161,0,掉落_design!J$2+2,1,1)&amp;";"&amp;OFFSET(掉落_design!$E161,0,掉落_design!J$2+3,1,1))</f>
        <v/>
      </c>
      <c r="L190" s="16" t="str">
        <f ca="1">IF(OFFSET(掉落_design!$E161,0,掉落_design!K$2,1,1)="","",OFFSET(掉落_design!$E161,0,掉落_design!K$2,1,1)&amp;";"&amp;OFFSET(掉落_design!$E161,0,掉落_design!K$2+1,1,1)&amp;";"&amp;OFFSET(掉落_design!$E161,0,掉落_design!K$2+2,1,1)&amp;";"&amp;OFFSET(掉落_design!$E161,0,掉落_design!K$2+3,1,1))</f>
        <v/>
      </c>
      <c r="M190" s="16" t="str">
        <f ca="1">IF(OFFSET(掉落_design!$E161,0,掉落_design!L$2,1,1)="","",OFFSET(掉落_design!$E161,0,掉落_design!L$2,1,1)&amp;";"&amp;OFFSET(掉落_design!$E161,0,掉落_design!L$2+1,1,1)&amp;";"&amp;OFFSET(掉落_design!$E161,0,掉落_design!L$2+2,1,1)&amp;";"&amp;OFFSET(掉落_design!$E161,0,掉落_design!L$2+3,1,1))</f>
        <v/>
      </c>
      <c r="N190" s="16" t="str">
        <f ca="1">IF(OFFSET(掉落_design!$E161,0,掉落_design!M$2,1,1)="","",OFFSET(掉落_design!$E161,0,掉落_design!M$2,1,1)&amp;";"&amp;OFFSET(掉落_design!$E161,0,掉落_design!M$2+1,1,1)&amp;";"&amp;OFFSET(掉落_design!$E161,0,掉落_design!M$2+2,1,1)&amp;";"&amp;OFFSET(掉落_design!$E161,0,掉落_design!M$2+3,1,1))</f>
        <v/>
      </c>
      <c r="O190" s="16" t="str">
        <f ca="1">IF(OFFSET(掉落_design!$E161,0,掉落_design!N$2,1,1)="","",OFFSET(掉落_design!$E161,0,掉落_design!N$2,1,1)&amp;";"&amp;OFFSET(掉落_design!$E161,0,掉落_design!N$2+1,1,1)&amp;";"&amp;OFFSET(掉落_design!$E161,0,掉落_design!N$2+2,1,1)&amp;";"&amp;OFFSET(掉落_design!$E161,0,掉落_design!N$2+3,1,1))</f>
        <v/>
      </c>
      <c r="P190" s="16" t="str">
        <f ca="1">IF(OFFSET(掉落_design!$E161,0,掉落_design!O$2,1,1)="","",OFFSET(掉落_design!$E161,0,掉落_design!O$2,1,1)&amp;";"&amp;OFFSET(掉落_design!$E161,0,掉落_design!O$2+1,1,1)&amp;";"&amp;OFFSET(掉落_design!$E161,0,掉落_design!O$2+2,1,1)&amp;";"&amp;OFFSET(掉落_design!$E161,0,掉落_design!O$2+3,1,1))</f>
        <v/>
      </c>
      <c r="Q190" s="25"/>
      <c r="R190" s="25"/>
      <c r="S190" s="25"/>
    </row>
    <row r="191" spans="1:19" x14ac:dyDescent="0.15">
      <c r="A191" s="11" t="str">
        <f t="shared" si="32"/>
        <v/>
      </c>
      <c r="B191" s="25"/>
      <c r="C191" s="25"/>
      <c r="D191" s="15" t="str">
        <f>IF(掉落_design!C162="","",掉落_design!C162)</f>
        <v/>
      </c>
      <c r="E191" s="15" t="str">
        <f>IF(A191="","",掉落_design!D162)</f>
        <v/>
      </c>
      <c r="F191" s="16" t="str">
        <f ca="1">IF(OFFSET(掉落_design!$E162,0,掉落_design!E$2,1,1)="","",OFFSET(掉落_design!$E162,0,掉落_design!E$2,1,1)&amp;";"&amp;OFFSET(掉落_design!$E162,0,掉落_design!E$2+1,1,1)&amp;";"&amp;OFFSET(掉落_design!$E162,0,掉落_design!E$2+2,1,1)&amp;";"&amp;OFFSET(掉落_design!$E162,0,掉落_design!E$2+3,1,1))</f>
        <v/>
      </c>
      <c r="G191" s="16" t="str">
        <f ca="1">IF(OFFSET(掉落_design!$E162,0,掉落_design!F$2,1,1)="","",OFFSET(掉落_design!$E162,0,掉落_design!F$2,1,1)&amp;";"&amp;OFFSET(掉落_design!$E162,0,掉落_design!F$2+1,1,1)&amp;";"&amp;OFFSET(掉落_design!$E162,0,掉落_design!F$2+2,1,1)&amp;";"&amp;OFFSET(掉落_design!$E162,0,掉落_design!F$2+3,1,1))</f>
        <v/>
      </c>
      <c r="H191" s="16" t="str">
        <f ca="1">IF(OFFSET(掉落_design!$E162,0,掉落_design!G$2,1,1)="","",OFFSET(掉落_design!$E162,0,掉落_design!G$2,1,1)&amp;";"&amp;OFFSET(掉落_design!$E162,0,掉落_design!G$2+1,1,1)&amp;";"&amp;OFFSET(掉落_design!$E162,0,掉落_design!G$2+2,1,1)&amp;";"&amp;OFFSET(掉落_design!$E162,0,掉落_design!G$2+3,1,1))</f>
        <v/>
      </c>
      <c r="I191" s="16" t="str">
        <f ca="1">IF(OFFSET(掉落_design!$E162,0,掉落_design!H$2,1,1)="","",OFFSET(掉落_design!$E162,0,掉落_design!H$2,1,1)&amp;";"&amp;OFFSET(掉落_design!$E162,0,掉落_design!H$2+1,1,1)&amp;";"&amp;OFFSET(掉落_design!$E162,0,掉落_design!H$2+2,1,1)&amp;";"&amp;OFFSET(掉落_design!$E162,0,掉落_design!H$2+3,1,1))</f>
        <v/>
      </c>
      <c r="J191" s="16" t="str">
        <f ca="1">IF(OFFSET(掉落_design!$E162,0,掉落_design!I$2,1,1)="","",OFFSET(掉落_design!$E162,0,掉落_design!I$2,1,1)&amp;";"&amp;OFFSET(掉落_design!$E162,0,掉落_design!I$2+1,1,1)&amp;";"&amp;OFFSET(掉落_design!$E162,0,掉落_design!I$2+2,1,1)&amp;";"&amp;OFFSET(掉落_design!$E162,0,掉落_design!I$2+3,1,1))</f>
        <v/>
      </c>
      <c r="K191" s="16" t="str">
        <f ca="1">IF(OFFSET(掉落_design!$E162,0,掉落_design!J$2,1,1)="","",OFFSET(掉落_design!$E162,0,掉落_design!J$2,1,1)&amp;";"&amp;OFFSET(掉落_design!$E162,0,掉落_design!J$2+1,1,1)&amp;";"&amp;OFFSET(掉落_design!$E162,0,掉落_design!J$2+2,1,1)&amp;";"&amp;OFFSET(掉落_design!$E162,0,掉落_design!J$2+3,1,1))</f>
        <v/>
      </c>
      <c r="L191" s="16" t="str">
        <f ca="1">IF(OFFSET(掉落_design!$E162,0,掉落_design!K$2,1,1)="","",OFFSET(掉落_design!$E162,0,掉落_design!K$2,1,1)&amp;";"&amp;OFFSET(掉落_design!$E162,0,掉落_design!K$2+1,1,1)&amp;";"&amp;OFFSET(掉落_design!$E162,0,掉落_design!K$2+2,1,1)&amp;";"&amp;OFFSET(掉落_design!$E162,0,掉落_design!K$2+3,1,1))</f>
        <v/>
      </c>
      <c r="M191" s="16" t="str">
        <f ca="1">IF(OFFSET(掉落_design!$E162,0,掉落_design!L$2,1,1)="","",OFFSET(掉落_design!$E162,0,掉落_design!L$2,1,1)&amp;";"&amp;OFFSET(掉落_design!$E162,0,掉落_design!L$2+1,1,1)&amp;";"&amp;OFFSET(掉落_design!$E162,0,掉落_design!L$2+2,1,1)&amp;";"&amp;OFFSET(掉落_design!$E162,0,掉落_design!L$2+3,1,1))</f>
        <v/>
      </c>
      <c r="N191" s="16" t="str">
        <f ca="1">IF(OFFSET(掉落_design!$E162,0,掉落_design!M$2,1,1)="","",OFFSET(掉落_design!$E162,0,掉落_design!M$2,1,1)&amp;";"&amp;OFFSET(掉落_design!$E162,0,掉落_design!M$2+1,1,1)&amp;";"&amp;OFFSET(掉落_design!$E162,0,掉落_design!M$2+2,1,1)&amp;";"&amp;OFFSET(掉落_design!$E162,0,掉落_design!M$2+3,1,1))</f>
        <v/>
      </c>
      <c r="O191" s="16" t="str">
        <f ca="1">IF(OFFSET(掉落_design!$E162,0,掉落_design!N$2,1,1)="","",OFFSET(掉落_design!$E162,0,掉落_design!N$2,1,1)&amp;";"&amp;OFFSET(掉落_design!$E162,0,掉落_design!N$2+1,1,1)&amp;";"&amp;OFFSET(掉落_design!$E162,0,掉落_design!N$2+2,1,1)&amp;";"&amp;OFFSET(掉落_design!$E162,0,掉落_design!N$2+3,1,1))</f>
        <v/>
      </c>
      <c r="P191" s="16" t="str">
        <f ca="1">IF(OFFSET(掉落_design!$E162,0,掉落_design!O$2,1,1)="","",OFFSET(掉落_design!$E162,0,掉落_design!O$2,1,1)&amp;";"&amp;OFFSET(掉落_design!$E162,0,掉落_design!O$2+1,1,1)&amp;";"&amp;OFFSET(掉落_design!$E162,0,掉落_design!O$2+2,1,1)&amp;";"&amp;OFFSET(掉落_design!$E162,0,掉落_design!O$2+3,1,1))</f>
        <v/>
      </c>
      <c r="Q191" s="25"/>
      <c r="R191" s="25"/>
      <c r="S191" s="25"/>
    </row>
    <row r="192" spans="1:19" x14ac:dyDescent="0.15">
      <c r="A192" s="11" t="str">
        <f t="shared" si="32"/>
        <v/>
      </c>
      <c r="B192" s="25"/>
      <c r="C192" s="25"/>
      <c r="D192" s="15" t="str">
        <f>IF(掉落_design!C163="","",掉落_design!C163)</f>
        <v/>
      </c>
      <c r="E192" s="15" t="str">
        <f>IF(A192="","",掉落_design!D163)</f>
        <v/>
      </c>
      <c r="F192" s="16" t="str">
        <f ca="1">IF(OFFSET(掉落_design!$E163,0,掉落_design!E$2,1,1)="","",OFFSET(掉落_design!$E163,0,掉落_design!E$2,1,1)&amp;";"&amp;OFFSET(掉落_design!$E163,0,掉落_design!E$2+1,1,1)&amp;";"&amp;OFFSET(掉落_design!$E163,0,掉落_design!E$2+2,1,1)&amp;";"&amp;OFFSET(掉落_design!$E163,0,掉落_design!E$2+3,1,1))</f>
        <v/>
      </c>
      <c r="G192" s="16" t="str">
        <f ca="1">IF(OFFSET(掉落_design!$E163,0,掉落_design!F$2,1,1)="","",OFFSET(掉落_design!$E163,0,掉落_design!F$2,1,1)&amp;";"&amp;OFFSET(掉落_design!$E163,0,掉落_design!F$2+1,1,1)&amp;";"&amp;OFFSET(掉落_design!$E163,0,掉落_design!F$2+2,1,1)&amp;";"&amp;OFFSET(掉落_design!$E163,0,掉落_design!F$2+3,1,1))</f>
        <v/>
      </c>
      <c r="H192" s="16" t="str">
        <f ca="1">IF(OFFSET(掉落_design!$E163,0,掉落_design!G$2,1,1)="","",OFFSET(掉落_design!$E163,0,掉落_design!G$2,1,1)&amp;";"&amp;OFFSET(掉落_design!$E163,0,掉落_design!G$2+1,1,1)&amp;";"&amp;OFFSET(掉落_design!$E163,0,掉落_design!G$2+2,1,1)&amp;";"&amp;OFFSET(掉落_design!$E163,0,掉落_design!G$2+3,1,1))</f>
        <v/>
      </c>
      <c r="I192" s="16" t="str">
        <f ca="1">IF(OFFSET(掉落_design!$E163,0,掉落_design!H$2,1,1)="","",OFFSET(掉落_design!$E163,0,掉落_design!H$2,1,1)&amp;";"&amp;OFFSET(掉落_design!$E163,0,掉落_design!H$2+1,1,1)&amp;";"&amp;OFFSET(掉落_design!$E163,0,掉落_design!H$2+2,1,1)&amp;";"&amp;OFFSET(掉落_design!$E163,0,掉落_design!H$2+3,1,1))</f>
        <v/>
      </c>
      <c r="J192" s="16" t="str">
        <f ca="1">IF(OFFSET(掉落_design!$E163,0,掉落_design!I$2,1,1)="","",OFFSET(掉落_design!$E163,0,掉落_design!I$2,1,1)&amp;";"&amp;OFFSET(掉落_design!$E163,0,掉落_design!I$2+1,1,1)&amp;";"&amp;OFFSET(掉落_design!$E163,0,掉落_design!I$2+2,1,1)&amp;";"&amp;OFFSET(掉落_design!$E163,0,掉落_design!I$2+3,1,1))</f>
        <v/>
      </c>
      <c r="K192" s="16" t="str">
        <f ca="1">IF(OFFSET(掉落_design!$E163,0,掉落_design!J$2,1,1)="","",OFFSET(掉落_design!$E163,0,掉落_design!J$2,1,1)&amp;";"&amp;OFFSET(掉落_design!$E163,0,掉落_design!J$2+1,1,1)&amp;";"&amp;OFFSET(掉落_design!$E163,0,掉落_design!J$2+2,1,1)&amp;";"&amp;OFFSET(掉落_design!$E163,0,掉落_design!J$2+3,1,1))</f>
        <v/>
      </c>
      <c r="L192" s="16" t="str">
        <f ca="1">IF(OFFSET(掉落_design!$E163,0,掉落_design!K$2,1,1)="","",OFFSET(掉落_design!$E163,0,掉落_design!K$2,1,1)&amp;";"&amp;OFFSET(掉落_design!$E163,0,掉落_design!K$2+1,1,1)&amp;";"&amp;OFFSET(掉落_design!$E163,0,掉落_design!K$2+2,1,1)&amp;";"&amp;OFFSET(掉落_design!$E163,0,掉落_design!K$2+3,1,1))</f>
        <v/>
      </c>
      <c r="M192" s="16" t="str">
        <f ca="1">IF(OFFSET(掉落_design!$E163,0,掉落_design!L$2,1,1)="","",OFFSET(掉落_design!$E163,0,掉落_design!L$2,1,1)&amp;";"&amp;OFFSET(掉落_design!$E163,0,掉落_design!L$2+1,1,1)&amp;";"&amp;OFFSET(掉落_design!$E163,0,掉落_design!L$2+2,1,1)&amp;";"&amp;OFFSET(掉落_design!$E163,0,掉落_design!L$2+3,1,1))</f>
        <v/>
      </c>
      <c r="N192" s="16" t="str">
        <f ca="1">IF(OFFSET(掉落_design!$E163,0,掉落_design!M$2,1,1)="","",OFFSET(掉落_design!$E163,0,掉落_design!M$2,1,1)&amp;";"&amp;OFFSET(掉落_design!$E163,0,掉落_design!M$2+1,1,1)&amp;";"&amp;OFFSET(掉落_design!$E163,0,掉落_design!M$2+2,1,1)&amp;";"&amp;OFFSET(掉落_design!$E163,0,掉落_design!M$2+3,1,1))</f>
        <v/>
      </c>
      <c r="O192" s="16" t="str">
        <f ca="1">IF(OFFSET(掉落_design!$E163,0,掉落_design!N$2,1,1)="","",OFFSET(掉落_design!$E163,0,掉落_design!N$2,1,1)&amp;";"&amp;OFFSET(掉落_design!$E163,0,掉落_design!N$2+1,1,1)&amp;";"&amp;OFFSET(掉落_design!$E163,0,掉落_design!N$2+2,1,1)&amp;";"&amp;OFFSET(掉落_design!$E163,0,掉落_design!N$2+3,1,1))</f>
        <v/>
      </c>
      <c r="P192" s="16" t="str">
        <f ca="1">IF(OFFSET(掉落_design!$E163,0,掉落_design!O$2,1,1)="","",OFFSET(掉落_design!$E163,0,掉落_design!O$2,1,1)&amp;";"&amp;OFFSET(掉落_design!$E163,0,掉落_design!O$2+1,1,1)&amp;";"&amp;OFFSET(掉落_design!$E163,0,掉落_design!O$2+2,1,1)&amp;";"&amp;OFFSET(掉落_design!$E163,0,掉落_design!O$2+3,1,1))</f>
        <v/>
      </c>
      <c r="Q192" s="25"/>
      <c r="R192" s="25"/>
      <c r="S192" s="25"/>
    </row>
    <row r="193" spans="1:19" x14ac:dyDescent="0.15">
      <c r="A193" s="11" t="str">
        <f t="shared" si="32"/>
        <v/>
      </c>
      <c r="B193" s="25"/>
      <c r="C193" s="25"/>
      <c r="D193" s="15" t="str">
        <f>IF(掉落_design!C164="","",掉落_design!C164)</f>
        <v/>
      </c>
      <c r="E193" s="15" t="str">
        <f>IF(A193="","",掉落_design!D164)</f>
        <v/>
      </c>
      <c r="F193" s="16" t="str">
        <f ca="1">IF(OFFSET(掉落_design!$E164,0,掉落_design!E$2,1,1)="","",OFFSET(掉落_design!$E164,0,掉落_design!E$2,1,1)&amp;";"&amp;OFFSET(掉落_design!$E164,0,掉落_design!E$2+1,1,1)&amp;";"&amp;OFFSET(掉落_design!$E164,0,掉落_design!E$2+2,1,1)&amp;";"&amp;OFFSET(掉落_design!$E164,0,掉落_design!E$2+3,1,1))</f>
        <v/>
      </c>
      <c r="G193" s="16" t="str">
        <f ca="1">IF(OFFSET(掉落_design!$E164,0,掉落_design!F$2,1,1)="","",OFFSET(掉落_design!$E164,0,掉落_design!F$2,1,1)&amp;";"&amp;OFFSET(掉落_design!$E164,0,掉落_design!F$2+1,1,1)&amp;";"&amp;OFFSET(掉落_design!$E164,0,掉落_design!F$2+2,1,1)&amp;";"&amp;OFFSET(掉落_design!$E164,0,掉落_design!F$2+3,1,1))</f>
        <v/>
      </c>
      <c r="H193" s="16" t="str">
        <f ca="1">IF(OFFSET(掉落_design!$E164,0,掉落_design!G$2,1,1)="","",OFFSET(掉落_design!$E164,0,掉落_design!G$2,1,1)&amp;";"&amp;OFFSET(掉落_design!$E164,0,掉落_design!G$2+1,1,1)&amp;";"&amp;OFFSET(掉落_design!$E164,0,掉落_design!G$2+2,1,1)&amp;";"&amp;OFFSET(掉落_design!$E164,0,掉落_design!G$2+3,1,1))</f>
        <v/>
      </c>
      <c r="I193" s="16" t="str">
        <f ca="1">IF(OFFSET(掉落_design!$E164,0,掉落_design!H$2,1,1)="","",OFFSET(掉落_design!$E164,0,掉落_design!H$2,1,1)&amp;";"&amp;OFFSET(掉落_design!$E164,0,掉落_design!H$2+1,1,1)&amp;";"&amp;OFFSET(掉落_design!$E164,0,掉落_design!H$2+2,1,1)&amp;";"&amp;OFFSET(掉落_design!$E164,0,掉落_design!H$2+3,1,1))</f>
        <v/>
      </c>
      <c r="J193" s="16" t="str">
        <f ca="1">IF(OFFSET(掉落_design!$E164,0,掉落_design!I$2,1,1)="","",OFFSET(掉落_design!$E164,0,掉落_design!I$2,1,1)&amp;";"&amp;OFFSET(掉落_design!$E164,0,掉落_design!I$2+1,1,1)&amp;";"&amp;OFFSET(掉落_design!$E164,0,掉落_design!I$2+2,1,1)&amp;";"&amp;OFFSET(掉落_design!$E164,0,掉落_design!I$2+3,1,1))</f>
        <v/>
      </c>
      <c r="K193" s="16" t="str">
        <f ca="1">IF(OFFSET(掉落_design!$E164,0,掉落_design!J$2,1,1)="","",OFFSET(掉落_design!$E164,0,掉落_design!J$2,1,1)&amp;";"&amp;OFFSET(掉落_design!$E164,0,掉落_design!J$2+1,1,1)&amp;";"&amp;OFFSET(掉落_design!$E164,0,掉落_design!J$2+2,1,1)&amp;";"&amp;OFFSET(掉落_design!$E164,0,掉落_design!J$2+3,1,1))</f>
        <v/>
      </c>
      <c r="L193" s="16" t="str">
        <f ca="1">IF(OFFSET(掉落_design!$E164,0,掉落_design!K$2,1,1)="","",OFFSET(掉落_design!$E164,0,掉落_design!K$2,1,1)&amp;";"&amp;OFFSET(掉落_design!$E164,0,掉落_design!K$2+1,1,1)&amp;";"&amp;OFFSET(掉落_design!$E164,0,掉落_design!K$2+2,1,1)&amp;";"&amp;OFFSET(掉落_design!$E164,0,掉落_design!K$2+3,1,1))</f>
        <v/>
      </c>
      <c r="M193" s="16" t="str">
        <f ca="1">IF(OFFSET(掉落_design!$E164,0,掉落_design!L$2,1,1)="","",OFFSET(掉落_design!$E164,0,掉落_design!L$2,1,1)&amp;";"&amp;OFFSET(掉落_design!$E164,0,掉落_design!L$2+1,1,1)&amp;";"&amp;OFFSET(掉落_design!$E164,0,掉落_design!L$2+2,1,1)&amp;";"&amp;OFFSET(掉落_design!$E164,0,掉落_design!L$2+3,1,1))</f>
        <v/>
      </c>
      <c r="N193" s="16" t="str">
        <f ca="1">IF(OFFSET(掉落_design!$E164,0,掉落_design!M$2,1,1)="","",OFFSET(掉落_design!$E164,0,掉落_design!M$2,1,1)&amp;";"&amp;OFFSET(掉落_design!$E164,0,掉落_design!M$2+1,1,1)&amp;";"&amp;OFFSET(掉落_design!$E164,0,掉落_design!M$2+2,1,1)&amp;";"&amp;OFFSET(掉落_design!$E164,0,掉落_design!M$2+3,1,1))</f>
        <v/>
      </c>
      <c r="O193" s="16" t="str">
        <f ca="1">IF(OFFSET(掉落_design!$E164,0,掉落_design!N$2,1,1)="","",OFFSET(掉落_design!$E164,0,掉落_design!N$2,1,1)&amp;";"&amp;OFFSET(掉落_design!$E164,0,掉落_design!N$2+1,1,1)&amp;";"&amp;OFFSET(掉落_design!$E164,0,掉落_design!N$2+2,1,1)&amp;";"&amp;OFFSET(掉落_design!$E164,0,掉落_design!N$2+3,1,1))</f>
        <v/>
      </c>
      <c r="P193" s="16" t="str">
        <f ca="1">IF(OFFSET(掉落_design!$E164,0,掉落_design!O$2,1,1)="","",OFFSET(掉落_design!$E164,0,掉落_design!O$2,1,1)&amp;";"&amp;OFFSET(掉落_design!$E164,0,掉落_design!O$2+1,1,1)&amp;";"&amp;OFFSET(掉落_design!$E164,0,掉落_design!O$2+2,1,1)&amp;";"&amp;OFFSET(掉落_design!$E164,0,掉落_design!O$2+3,1,1))</f>
        <v/>
      </c>
      <c r="Q193" s="25"/>
      <c r="R193" s="25"/>
      <c r="S193" s="25"/>
    </row>
    <row r="194" spans="1:19" x14ac:dyDescent="0.15">
      <c r="A194" s="11" t="str">
        <f t="shared" ref="A194:A234" si="33">IF(D194="","","DATA")</f>
        <v/>
      </c>
      <c r="B194" s="25"/>
      <c r="C194" s="25"/>
      <c r="D194" s="15" t="str">
        <f>IF(掉落_design!C165="","",掉落_design!C165)</f>
        <v/>
      </c>
      <c r="E194" s="15" t="str">
        <f>IF(A194="","",掉落_design!D165)</f>
        <v/>
      </c>
      <c r="F194" s="16" t="str">
        <f ca="1">IF(OFFSET(掉落_design!$E165,0,掉落_design!E$2,1,1)="","",OFFSET(掉落_design!$E165,0,掉落_design!E$2,1,1)&amp;";"&amp;OFFSET(掉落_design!$E165,0,掉落_design!E$2+1,1,1)&amp;";"&amp;OFFSET(掉落_design!$E165,0,掉落_design!E$2+2,1,1)&amp;";"&amp;OFFSET(掉落_design!$E165,0,掉落_design!E$2+3,1,1))</f>
        <v/>
      </c>
      <c r="G194" s="16" t="str">
        <f ca="1">IF(OFFSET(掉落_design!$E165,0,掉落_design!F$2,1,1)="","",OFFSET(掉落_design!$E165,0,掉落_design!F$2,1,1)&amp;";"&amp;OFFSET(掉落_design!$E165,0,掉落_design!F$2+1,1,1)&amp;";"&amp;OFFSET(掉落_design!$E165,0,掉落_design!F$2+2,1,1)&amp;";"&amp;OFFSET(掉落_design!$E165,0,掉落_design!F$2+3,1,1))</f>
        <v/>
      </c>
      <c r="H194" s="16" t="str">
        <f ca="1">IF(OFFSET(掉落_design!$E165,0,掉落_design!G$2,1,1)="","",OFFSET(掉落_design!$E165,0,掉落_design!G$2,1,1)&amp;";"&amp;OFFSET(掉落_design!$E165,0,掉落_design!G$2+1,1,1)&amp;";"&amp;OFFSET(掉落_design!$E165,0,掉落_design!G$2+2,1,1)&amp;";"&amp;OFFSET(掉落_design!$E165,0,掉落_design!G$2+3,1,1))</f>
        <v/>
      </c>
      <c r="I194" s="16" t="str">
        <f ca="1">IF(OFFSET(掉落_design!$E165,0,掉落_design!H$2,1,1)="","",OFFSET(掉落_design!$E165,0,掉落_design!H$2,1,1)&amp;";"&amp;OFFSET(掉落_design!$E165,0,掉落_design!H$2+1,1,1)&amp;";"&amp;OFFSET(掉落_design!$E165,0,掉落_design!H$2+2,1,1)&amp;";"&amp;OFFSET(掉落_design!$E165,0,掉落_design!H$2+3,1,1))</f>
        <v/>
      </c>
      <c r="J194" s="16" t="str">
        <f ca="1">IF(OFFSET(掉落_design!$E165,0,掉落_design!I$2,1,1)="","",OFFSET(掉落_design!$E165,0,掉落_design!I$2,1,1)&amp;";"&amp;OFFSET(掉落_design!$E165,0,掉落_design!I$2+1,1,1)&amp;";"&amp;OFFSET(掉落_design!$E165,0,掉落_design!I$2+2,1,1)&amp;";"&amp;OFFSET(掉落_design!$E165,0,掉落_design!I$2+3,1,1))</f>
        <v/>
      </c>
      <c r="K194" s="16" t="str">
        <f ca="1">IF(OFFSET(掉落_design!$E165,0,掉落_design!J$2,1,1)="","",OFFSET(掉落_design!$E165,0,掉落_design!J$2,1,1)&amp;";"&amp;OFFSET(掉落_design!$E165,0,掉落_design!J$2+1,1,1)&amp;";"&amp;OFFSET(掉落_design!$E165,0,掉落_design!J$2+2,1,1)&amp;";"&amp;OFFSET(掉落_design!$E165,0,掉落_design!J$2+3,1,1))</f>
        <v/>
      </c>
      <c r="L194" s="16" t="str">
        <f ca="1">IF(OFFSET(掉落_design!$E165,0,掉落_design!K$2,1,1)="","",OFFSET(掉落_design!$E165,0,掉落_design!K$2,1,1)&amp;";"&amp;OFFSET(掉落_design!$E165,0,掉落_design!K$2+1,1,1)&amp;";"&amp;OFFSET(掉落_design!$E165,0,掉落_design!K$2+2,1,1)&amp;";"&amp;OFFSET(掉落_design!$E165,0,掉落_design!K$2+3,1,1))</f>
        <v/>
      </c>
      <c r="M194" s="16" t="str">
        <f ca="1">IF(OFFSET(掉落_design!$E165,0,掉落_design!L$2,1,1)="","",OFFSET(掉落_design!$E165,0,掉落_design!L$2,1,1)&amp;";"&amp;OFFSET(掉落_design!$E165,0,掉落_design!L$2+1,1,1)&amp;";"&amp;OFFSET(掉落_design!$E165,0,掉落_design!L$2+2,1,1)&amp;";"&amp;OFFSET(掉落_design!$E165,0,掉落_design!L$2+3,1,1))</f>
        <v/>
      </c>
      <c r="N194" s="16" t="str">
        <f ca="1">IF(OFFSET(掉落_design!$E165,0,掉落_design!M$2,1,1)="","",OFFSET(掉落_design!$E165,0,掉落_design!M$2,1,1)&amp;";"&amp;OFFSET(掉落_design!$E165,0,掉落_design!M$2+1,1,1)&amp;";"&amp;OFFSET(掉落_design!$E165,0,掉落_design!M$2+2,1,1)&amp;";"&amp;OFFSET(掉落_design!$E165,0,掉落_design!M$2+3,1,1))</f>
        <v/>
      </c>
      <c r="O194" s="16" t="str">
        <f ca="1">IF(OFFSET(掉落_design!$E165,0,掉落_design!N$2,1,1)="","",OFFSET(掉落_design!$E165,0,掉落_design!N$2,1,1)&amp;";"&amp;OFFSET(掉落_design!$E165,0,掉落_design!N$2+1,1,1)&amp;";"&amp;OFFSET(掉落_design!$E165,0,掉落_design!N$2+2,1,1)&amp;";"&amp;OFFSET(掉落_design!$E165,0,掉落_design!N$2+3,1,1))</f>
        <v/>
      </c>
      <c r="P194" s="16" t="str">
        <f ca="1">IF(OFFSET(掉落_design!$E165,0,掉落_design!O$2,1,1)="","",OFFSET(掉落_design!$E165,0,掉落_design!O$2,1,1)&amp;";"&amp;OFFSET(掉落_design!$E165,0,掉落_design!O$2+1,1,1)&amp;";"&amp;OFFSET(掉落_design!$E165,0,掉落_design!O$2+2,1,1)&amp;";"&amp;OFFSET(掉落_design!$E165,0,掉落_design!O$2+3,1,1))</f>
        <v/>
      </c>
      <c r="Q194" s="25"/>
      <c r="R194" s="25"/>
      <c r="S194" s="25"/>
    </row>
    <row r="195" spans="1:19" x14ac:dyDescent="0.15">
      <c r="A195" s="11" t="str">
        <f t="shared" si="33"/>
        <v/>
      </c>
      <c r="B195" s="25"/>
      <c r="C195" s="25"/>
      <c r="D195" s="15" t="str">
        <f>IF(掉落_design!C166="","",掉落_design!C166)</f>
        <v/>
      </c>
      <c r="E195" s="15" t="str">
        <f>IF(A195="","",掉落_design!D166)</f>
        <v/>
      </c>
      <c r="F195" s="16" t="str">
        <f ca="1">IF(OFFSET(掉落_design!$E166,0,掉落_design!E$2,1,1)="","",OFFSET(掉落_design!$E166,0,掉落_design!E$2,1,1)&amp;";"&amp;OFFSET(掉落_design!$E166,0,掉落_design!E$2+1,1,1)&amp;";"&amp;OFFSET(掉落_design!$E166,0,掉落_design!E$2+2,1,1)&amp;";"&amp;OFFSET(掉落_design!$E166,0,掉落_design!E$2+3,1,1))</f>
        <v/>
      </c>
      <c r="G195" s="16" t="str">
        <f ca="1">IF(OFFSET(掉落_design!$E166,0,掉落_design!F$2,1,1)="","",OFFSET(掉落_design!$E166,0,掉落_design!F$2,1,1)&amp;";"&amp;OFFSET(掉落_design!$E166,0,掉落_design!F$2+1,1,1)&amp;";"&amp;OFFSET(掉落_design!$E166,0,掉落_design!F$2+2,1,1)&amp;";"&amp;OFFSET(掉落_design!$E166,0,掉落_design!F$2+3,1,1))</f>
        <v/>
      </c>
      <c r="H195" s="16" t="str">
        <f ca="1">IF(OFFSET(掉落_design!$E166,0,掉落_design!G$2,1,1)="","",OFFSET(掉落_design!$E166,0,掉落_design!G$2,1,1)&amp;";"&amp;OFFSET(掉落_design!$E166,0,掉落_design!G$2+1,1,1)&amp;";"&amp;OFFSET(掉落_design!$E166,0,掉落_design!G$2+2,1,1)&amp;";"&amp;OFFSET(掉落_design!$E166,0,掉落_design!G$2+3,1,1))</f>
        <v/>
      </c>
      <c r="I195" s="16" t="str">
        <f ca="1">IF(OFFSET(掉落_design!$E166,0,掉落_design!H$2,1,1)="","",OFFSET(掉落_design!$E166,0,掉落_design!H$2,1,1)&amp;";"&amp;OFFSET(掉落_design!$E166,0,掉落_design!H$2+1,1,1)&amp;";"&amp;OFFSET(掉落_design!$E166,0,掉落_design!H$2+2,1,1)&amp;";"&amp;OFFSET(掉落_design!$E166,0,掉落_design!H$2+3,1,1))</f>
        <v/>
      </c>
      <c r="J195" s="16" t="str">
        <f ca="1">IF(OFFSET(掉落_design!$E166,0,掉落_design!I$2,1,1)="","",OFFSET(掉落_design!$E166,0,掉落_design!I$2,1,1)&amp;";"&amp;OFFSET(掉落_design!$E166,0,掉落_design!I$2+1,1,1)&amp;";"&amp;OFFSET(掉落_design!$E166,0,掉落_design!I$2+2,1,1)&amp;";"&amp;OFFSET(掉落_design!$E166,0,掉落_design!I$2+3,1,1))</f>
        <v/>
      </c>
      <c r="K195" s="16" t="str">
        <f ca="1">IF(OFFSET(掉落_design!$E166,0,掉落_design!J$2,1,1)="","",OFFSET(掉落_design!$E166,0,掉落_design!J$2,1,1)&amp;";"&amp;OFFSET(掉落_design!$E166,0,掉落_design!J$2+1,1,1)&amp;";"&amp;OFFSET(掉落_design!$E166,0,掉落_design!J$2+2,1,1)&amp;";"&amp;OFFSET(掉落_design!$E166,0,掉落_design!J$2+3,1,1))</f>
        <v/>
      </c>
      <c r="L195" s="16" t="str">
        <f ca="1">IF(OFFSET(掉落_design!$E166,0,掉落_design!K$2,1,1)="","",OFFSET(掉落_design!$E166,0,掉落_design!K$2,1,1)&amp;";"&amp;OFFSET(掉落_design!$E166,0,掉落_design!K$2+1,1,1)&amp;";"&amp;OFFSET(掉落_design!$E166,0,掉落_design!K$2+2,1,1)&amp;";"&amp;OFFSET(掉落_design!$E166,0,掉落_design!K$2+3,1,1))</f>
        <v/>
      </c>
      <c r="M195" s="16" t="str">
        <f ca="1">IF(OFFSET(掉落_design!$E166,0,掉落_design!L$2,1,1)="","",OFFSET(掉落_design!$E166,0,掉落_design!L$2,1,1)&amp;";"&amp;OFFSET(掉落_design!$E166,0,掉落_design!L$2+1,1,1)&amp;";"&amp;OFFSET(掉落_design!$E166,0,掉落_design!L$2+2,1,1)&amp;";"&amp;OFFSET(掉落_design!$E166,0,掉落_design!L$2+3,1,1))</f>
        <v/>
      </c>
      <c r="N195" s="16" t="str">
        <f ca="1">IF(OFFSET(掉落_design!$E166,0,掉落_design!M$2,1,1)="","",OFFSET(掉落_design!$E166,0,掉落_design!M$2,1,1)&amp;";"&amp;OFFSET(掉落_design!$E166,0,掉落_design!M$2+1,1,1)&amp;";"&amp;OFFSET(掉落_design!$E166,0,掉落_design!M$2+2,1,1)&amp;";"&amp;OFFSET(掉落_design!$E166,0,掉落_design!M$2+3,1,1))</f>
        <v/>
      </c>
      <c r="O195" s="16" t="str">
        <f ca="1">IF(OFFSET(掉落_design!$E166,0,掉落_design!N$2,1,1)="","",OFFSET(掉落_design!$E166,0,掉落_design!N$2,1,1)&amp;";"&amp;OFFSET(掉落_design!$E166,0,掉落_design!N$2+1,1,1)&amp;";"&amp;OFFSET(掉落_design!$E166,0,掉落_design!N$2+2,1,1)&amp;";"&amp;OFFSET(掉落_design!$E166,0,掉落_design!N$2+3,1,1))</f>
        <v/>
      </c>
      <c r="P195" s="16" t="str">
        <f ca="1">IF(OFFSET(掉落_design!$E166,0,掉落_design!O$2,1,1)="","",OFFSET(掉落_design!$E166,0,掉落_design!O$2,1,1)&amp;";"&amp;OFFSET(掉落_design!$E166,0,掉落_design!O$2+1,1,1)&amp;";"&amp;OFFSET(掉落_design!$E166,0,掉落_design!O$2+2,1,1)&amp;";"&amp;OFFSET(掉落_design!$E166,0,掉落_design!O$2+3,1,1))</f>
        <v/>
      </c>
      <c r="Q195" s="25"/>
      <c r="R195" s="25"/>
      <c r="S195" s="25"/>
    </row>
    <row r="196" spans="1:19" x14ac:dyDescent="0.15">
      <c r="A196" s="11" t="str">
        <f t="shared" si="33"/>
        <v/>
      </c>
      <c r="B196" s="25"/>
      <c r="C196" s="25"/>
      <c r="D196" s="15" t="str">
        <f>IF(掉落_design!C167="","",掉落_design!C167)</f>
        <v/>
      </c>
      <c r="E196" s="15" t="str">
        <f>IF(A196="","",掉落_design!D167)</f>
        <v/>
      </c>
      <c r="F196" s="16" t="str">
        <f ca="1">IF(OFFSET(掉落_design!$E167,0,掉落_design!E$2,1,1)="","",OFFSET(掉落_design!$E167,0,掉落_design!E$2,1,1)&amp;";"&amp;OFFSET(掉落_design!$E167,0,掉落_design!E$2+1,1,1)&amp;";"&amp;OFFSET(掉落_design!$E167,0,掉落_design!E$2+2,1,1)&amp;";"&amp;OFFSET(掉落_design!$E167,0,掉落_design!E$2+3,1,1))</f>
        <v/>
      </c>
      <c r="G196" s="16" t="str">
        <f ca="1">IF(OFFSET(掉落_design!$E167,0,掉落_design!F$2,1,1)="","",OFFSET(掉落_design!$E167,0,掉落_design!F$2,1,1)&amp;";"&amp;OFFSET(掉落_design!$E167,0,掉落_design!F$2+1,1,1)&amp;";"&amp;OFFSET(掉落_design!$E167,0,掉落_design!F$2+2,1,1)&amp;";"&amp;OFFSET(掉落_design!$E167,0,掉落_design!F$2+3,1,1))</f>
        <v/>
      </c>
      <c r="H196" s="16" t="str">
        <f ca="1">IF(OFFSET(掉落_design!$E167,0,掉落_design!G$2,1,1)="","",OFFSET(掉落_design!$E167,0,掉落_design!G$2,1,1)&amp;";"&amp;OFFSET(掉落_design!$E167,0,掉落_design!G$2+1,1,1)&amp;";"&amp;OFFSET(掉落_design!$E167,0,掉落_design!G$2+2,1,1)&amp;";"&amp;OFFSET(掉落_design!$E167,0,掉落_design!G$2+3,1,1))</f>
        <v/>
      </c>
      <c r="I196" s="16" t="str">
        <f ca="1">IF(OFFSET(掉落_design!$E167,0,掉落_design!H$2,1,1)="","",OFFSET(掉落_design!$E167,0,掉落_design!H$2,1,1)&amp;";"&amp;OFFSET(掉落_design!$E167,0,掉落_design!H$2+1,1,1)&amp;";"&amp;OFFSET(掉落_design!$E167,0,掉落_design!H$2+2,1,1)&amp;";"&amp;OFFSET(掉落_design!$E167,0,掉落_design!H$2+3,1,1))</f>
        <v/>
      </c>
      <c r="J196" s="16" t="str">
        <f ca="1">IF(OFFSET(掉落_design!$E167,0,掉落_design!I$2,1,1)="","",OFFSET(掉落_design!$E167,0,掉落_design!I$2,1,1)&amp;";"&amp;OFFSET(掉落_design!$E167,0,掉落_design!I$2+1,1,1)&amp;";"&amp;OFFSET(掉落_design!$E167,0,掉落_design!I$2+2,1,1)&amp;";"&amp;OFFSET(掉落_design!$E167,0,掉落_design!I$2+3,1,1))</f>
        <v/>
      </c>
      <c r="K196" s="16" t="str">
        <f ca="1">IF(OFFSET(掉落_design!$E167,0,掉落_design!J$2,1,1)="","",OFFSET(掉落_design!$E167,0,掉落_design!J$2,1,1)&amp;";"&amp;OFFSET(掉落_design!$E167,0,掉落_design!J$2+1,1,1)&amp;";"&amp;OFFSET(掉落_design!$E167,0,掉落_design!J$2+2,1,1)&amp;";"&amp;OFFSET(掉落_design!$E167,0,掉落_design!J$2+3,1,1))</f>
        <v/>
      </c>
      <c r="L196" s="16" t="str">
        <f ca="1">IF(OFFSET(掉落_design!$E167,0,掉落_design!K$2,1,1)="","",OFFSET(掉落_design!$E167,0,掉落_design!K$2,1,1)&amp;";"&amp;OFFSET(掉落_design!$E167,0,掉落_design!K$2+1,1,1)&amp;";"&amp;OFFSET(掉落_design!$E167,0,掉落_design!K$2+2,1,1)&amp;";"&amp;OFFSET(掉落_design!$E167,0,掉落_design!K$2+3,1,1))</f>
        <v/>
      </c>
      <c r="M196" s="16" t="str">
        <f ca="1">IF(OFFSET(掉落_design!$E167,0,掉落_design!L$2,1,1)="","",OFFSET(掉落_design!$E167,0,掉落_design!L$2,1,1)&amp;";"&amp;OFFSET(掉落_design!$E167,0,掉落_design!L$2+1,1,1)&amp;";"&amp;OFFSET(掉落_design!$E167,0,掉落_design!L$2+2,1,1)&amp;";"&amp;OFFSET(掉落_design!$E167,0,掉落_design!L$2+3,1,1))</f>
        <v/>
      </c>
      <c r="N196" s="16" t="str">
        <f ca="1">IF(OFFSET(掉落_design!$E167,0,掉落_design!M$2,1,1)="","",OFFSET(掉落_design!$E167,0,掉落_design!M$2,1,1)&amp;";"&amp;OFFSET(掉落_design!$E167,0,掉落_design!M$2+1,1,1)&amp;";"&amp;OFFSET(掉落_design!$E167,0,掉落_design!M$2+2,1,1)&amp;";"&amp;OFFSET(掉落_design!$E167,0,掉落_design!M$2+3,1,1))</f>
        <v/>
      </c>
      <c r="O196" s="16" t="str">
        <f ca="1">IF(OFFSET(掉落_design!$E167,0,掉落_design!N$2,1,1)="","",OFFSET(掉落_design!$E167,0,掉落_design!N$2,1,1)&amp;";"&amp;OFFSET(掉落_design!$E167,0,掉落_design!N$2+1,1,1)&amp;";"&amp;OFFSET(掉落_design!$E167,0,掉落_design!N$2+2,1,1)&amp;";"&amp;OFFSET(掉落_design!$E167,0,掉落_design!N$2+3,1,1))</f>
        <v/>
      </c>
      <c r="P196" s="16" t="str">
        <f ca="1">IF(OFFSET(掉落_design!$E167,0,掉落_design!O$2,1,1)="","",OFFSET(掉落_design!$E167,0,掉落_design!O$2,1,1)&amp;";"&amp;OFFSET(掉落_design!$E167,0,掉落_design!O$2+1,1,1)&amp;";"&amp;OFFSET(掉落_design!$E167,0,掉落_design!O$2+2,1,1)&amp;";"&amp;OFFSET(掉落_design!$E167,0,掉落_design!O$2+3,1,1))</f>
        <v/>
      </c>
      <c r="Q196" s="25"/>
      <c r="R196" s="25"/>
      <c r="S196" s="25"/>
    </row>
    <row r="197" spans="1:19" x14ac:dyDescent="0.15">
      <c r="A197" s="11" t="str">
        <f t="shared" si="33"/>
        <v/>
      </c>
      <c r="B197" s="25"/>
      <c r="C197" s="25"/>
      <c r="D197" s="15" t="str">
        <f>IF(掉落_design!C168="","",掉落_design!C168)</f>
        <v/>
      </c>
      <c r="E197" s="15" t="str">
        <f>IF(A197="","",掉落_design!D168)</f>
        <v/>
      </c>
      <c r="F197" s="16" t="str">
        <f ca="1">IF(OFFSET(掉落_design!$E168,0,掉落_design!E$2,1,1)="","",OFFSET(掉落_design!$E168,0,掉落_design!E$2,1,1)&amp;";"&amp;OFFSET(掉落_design!$E168,0,掉落_design!E$2+1,1,1)&amp;";"&amp;OFFSET(掉落_design!$E168,0,掉落_design!E$2+2,1,1)&amp;";"&amp;OFFSET(掉落_design!$E168,0,掉落_design!E$2+3,1,1))</f>
        <v/>
      </c>
      <c r="G197" s="16" t="str">
        <f ca="1">IF(OFFSET(掉落_design!$E168,0,掉落_design!F$2,1,1)="","",OFFSET(掉落_design!$E168,0,掉落_design!F$2,1,1)&amp;";"&amp;OFFSET(掉落_design!$E168,0,掉落_design!F$2+1,1,1)&amp;";"&amp;OFFSET(掉落_design!$E168,0,掉落_design!F$2+2,1,1)&amp;";"&amp;OFFSET(掉落_design!$E168,0,掉落_design!F$2+3,1,1))</f>
        <v/>
      </c>
      <c r="H197" s="16" t="str">
        <f ca="1">IF(OFFSET(掉落_design!$E168,0,掉落_design!G$2,1,1)="","",OFFSET(掉落_design!$E168,0,掉落_design!G$2,1,1)&amp;";"&amp;OFFSET(掉落_design!$E168,0,掉落_design!G$2+1,1,1)&amp;";"&amp;OFFSET(掉落_design!$E168,0,掉落_design!G$2+2,1,1)&amp;";"&amp;OFFSET(掉落_design!$E168,0,掉落_design!G$2+3,1,1))</f>
        <v/>
      </c>
      <c r="I197" s="16" t="str">
        <f ca="1">IF(OFFSET(掉落_design!$E168,0,掉落_design!H$2,1,1)="","",OFFSET(掉落_design!$E168,0,掉落_design!H$2,1,1)&amp;";"&amp;OFFSET(掉落_design!$E168,0,掉落_design!H$2+1,1,1)&amp;";"&amp;OFFSET(掉落_design!$E168,0,掉落_design!H$2+2,1,1)&amp;";"&amp;OFFSET(掉落_design!$E168,0,掉落_design!H$2+3,1,1))</f>
        <v/>
      </c>
      <c r="J197" s="16" t="str">
        <f ca="1">IF(OFFSET(掉落_design!$E168,0,掉落_design!I$2,1,1)="","",OFFSET(掉落_design!$E168,0,掉落_design!I$2,1,1)&amp;";"&amp;OFFSET(掉落_design!$E168,0,掉落_design!I$2+1,1,1)&amp;";"&amp;OFFSET(掉落_design!$E168,0,掉落_design!I$2+2,1,1)&amp;";"&amp;OFFSET(掉落_design!$E168,0,掉落_design!I$2+3,1,1))</f>
        <v/>
      </c>
      <c r="K197" s="16" t="str">
        <f ca="1">IF(OFFSET(掉落_design!$E168,0,掉落_design!J$2,1,1)="","",OFFSET(掉落_design!$E168,0,掉落_design!J$2,1,1)&amp;";"&amp;OFFSET(掉落_design!$E168,0,掉落_design!J$2+1,1,1)&amp;";"&amp;OFFSET(掉落_design!$E168,0,掉落_design!J$2+2,1,1)&amp;";"&amp;OFFSET(掉落_design!$E168,0,掉落_design!J$2+3,1,1))</f>
        <v/>
      </c>
      <c r="L197" s="16" t="str">
        <f ca="1">IF(OFFSET(掉落_design!$E168,0,掉落_design!K$2,1,1)="","",OFFSET(掉落_design!$E168,0,掉落_design!K$2,1,1)&amp;";"&amp;OFFSET(掉落_design!$E168,0,掉落_design!K$2+1,1,1)&amp;";"&amp;OFFSET(掉落_design!$E168,0,掉落_design!K$2+2,1,1)&amp;";"&amp;OFFSET(掉落_design!$E168,0,掉落_design!K$2+3,1,1))</f>
        <v/>
      </c>
      <c r="M197" s="16" t="str">
        <f ca="1">IF(OFFSET(掉落_design!$E168,0,掉落_design!L$2,1,1)="","",OFFSET(掉落_design!$E168,0,掉落_design!L$2,1,1)&amp;";"&amp;OFFSET(掉落_design!$E168,0,掉落_design!L$2+1,1,1)&amp;";"&amp;OFFSET(掉落_design!$E168,0,掉落_design!L$2+2,1,1)&amp;";"&amp;OFFSET(掉落_design!$E168,0,掉落_design!L$2+3,1,1))</f>
        <v/>
      </c>
      <c r="N197" s="16" t="str">
        <f ca="1">IF(OFFSET(掉落_design!$E168,0,掉落_design!M$2,1,1)="","",OFFSET(掉落_design!$E168,0,掉落_design!M$2,1,1)&amp;";"&amp;OFFSET(掉落_design!$E168,0,掉落_design!M$2+1,1,1)&amp;";"&amp;OFFSET(掉落_design!$E168,0,掉落_design!M$2+2,1,1)&amp;";"&amp;OFFSET(掉落_design!$E168,0,掉落_design!M$2+3,1,1))</f>
        <v/>
      </c>
      <c r="O197" s="16" t="str">
        <f ca="1">IF(OFFSET(掉落_design!$E168,0,掉落_design!N$2,1,1)="","",OFFSET(掉落_design!$E168,0,掉落_design!N$2,1,1)&amp;";"&amp;OFFSET(掉落_design!$E168,0,掉落_design!N$2+1,1,1)&amp;";"&amp;OFFSET(掉落_design!$E168,0,掉落_design!N$2+2,1,1)&amp;";"&amp;OFFSET(掉落_design!$E168,0,掉落_design!N$2+3,1,1))</f>
        <v/>
      </c>
      <c r="P197" s="16" t="str">
        <f ca="1">IF(OFFSET(掉落_design!$E168,0,掉落_design!O$2,1,1)="","",OFFSET(掉落_design!$E168,0,掉落_design!O$2,1,1)&amp;";"&amp;OFFSET(掉落_design!$E168,0,掉落_design!O$2+1,1,1)&amp;";"&amp;OFFSET(掉落_design!$E168,0,掉落_design!O$2+2,1,1)&amp;";"&amp;OFFSET(掉落_design!$E168,0,掉落_design!O$2+3,1,1))</f>
        <v/>
      </c>
      <c r="Q197" s="25"/>
      <c r="R197" s="25"/>
      <c r="S197" s="25"/>
    </row>
    <row r="198" spans="1:19" x14ac:dyDescent="0.15">
      <c r="A198" s="11" t="str">
        <f t="shared" si="33"/>
        <v/>
      </c>
      <c r="B198" s="25"/>
      <c r="C198" s="25"/>
      <c r="D198" s="15" t="str">
        <f>IF(掉落_design!C169="","",掉落_design!C169)</f>
        <v/>
      </c>
      <c r="E198" s="15" t="str">
        <f>IF(A198="","",掉落_design!D169)</f>
        <v/>
      </c>
      <c r="F198" s="16" t="str">
        <f ca="1">IF(OFFSET(掉落_design!$E169,0,掉落_design!E$2,1,1)="","",OFFSET(掉落_design!$E169,0,掉落_design!E$2,1,1)&amp;";"&amp;OFFSET(掉落_design!$E169,0,掉落_design!E$2+1,1,1)&amp;";"&amp;OFFSET(掉落_design!$E169,0,掉落_design!E$2+2,1,1)&amp;";"&amp;OFFSET(掉落_design!$E169,0,掉落_design!E$2+3,1,1))</f>
        <v/>
      </c>
      <c r="G198" s="16" t="str">
        <f ca="1">IF(OFFSET(掉落_design!$E169,0,掉落_design!F$2,1,1)="","",OFFSET(掉落_design!$E169,0,掉落_design!F$2,1,1)&amp;";"&amp;OFFSET(掉落_design!$E169,0,掉落_design!F$2+1,1,1)&amp;";"&amp;OFFSET(掉落_design!$E169,0,掉落_design!F$2+2,1,1)&amp;";"&amp;OFFSET(掉落_design!$E169,0,掉落_design!F$2+3,1,1))</f>
        <v/>
      </c>
      <c r="H198" s="16" t="str">
        <f ca="1">IF(OFFSET(掉落_design!$E169,0,掉落_design!G$2,1,1)="","",OFFSET(掉落_design!$E169,0,掉落_design!G$2,1,1)&amp;";"&amp;OFFSET(掉落_design!$E169,0,掉落_design!G$2+1,1,1)&amp;";"&amp;OFFSET(掉落_design!$E169,0,掉落_design!G$2+2,1,1)&amp;";"&amp;OFFSET(掉落_design!$E169,0,掉落_design!G$2+3,1,1))</f>
        <v/>
      </c>
      <c r="I198" s="16" t="str">
        <f ca="1">IF(OFFSET(掉落_design!$E169,0,掉落_design!H$2,1,1)="","",OFFSET(掉落_design!$E169,0,掉落_design!H$2,1,1)&amp;";"&amp;OFFSET(掉落_design!$E169,0,掉落_design!H$2+1,1,1)&amp;";"&amp;OFFSET(掉落_design!$E169,0,掉落_design!H$2+2,1,1)&amp;";"&amp;OFFSET(掉落_design!$E169,0,掉落_design!H$2+3,1,1))</f>
        <v/>
      </c>
      <c r="J198" s="16" t="str">
        <f ca="1">IF(OFFSET(掉落_design!$E169,0,掉落_design!I$2,1,1)="","",OFFSET(掉落_design!$E169,0,掉落_design!I$2,1,1)&amp;";"&amp;OFFSET(掉落_design!$E169,0,掉落_design!I$2+1,1,1)&amp;";"&amp;OFFSET(掉落_design!$E169,0,掉落_design!I$2+2,1,1)&amp;";"&amp;OFFSET(掉落_design!$E169,0,掉落_design!I$2+3,1,1))</f>
        <v/>
      </c>
      <c r="K198" s="16" t="str">
        <f ca="1">IF(OFFSET(掉落_design!$E169,0,掉落_design!J$2,1,1)="","",OFFSET(掉落_design!$E169,0,掉落_design!J$2,1,1)&amp;";"&amp;OFFSET(掉落_design!$E169,0,掉落_design!J$2+1,1,1)&amp;";"&amp;OFFSET(掉落_design!$E169,0,掉落_design!J$2+2,1,1)&amp;";"&amp;OFFSET(掉落_design!$E169,0,掉落_design!J$2+3,1,1))</f>
        <v/>
      </c>
      <c r="L198" s="16" t="str">
        <f ca="1">IF(OFFSET(掉落_design!$E169,0,掉落_design!K$2,1,1)="","",OFFSET(掉落_design!$E169,0,掉落_design!K$2,1,1)&amp;";"&amp;OFFSET(掉落_design!$E169,0,掉落_design!K$2+1,1,1)&amp;";"&amp;OFFSET(掉落_design!$E169,0,掉落_design!K$2+2,1,1)&amp;";"&amp;OFFSET(掉落_design!$E169,0,掉落_design!K$2+3,1,1))</f>
        <v/>
      </c>
      <c r="M198" s="16" t="str">
        <f ca="1">IF(OFFSET(掉落_design!$E169,0,掉落_design!L$2,1,1)="","",OFFSET(掉落_design!$E169,0,掉落_design!L$2,1,1)&amp;";"&amp;OFFSET(掉落_design!$E169,0,掉落_design!L$2+1,1,1)&amp;";"&amp;OFFSET(掉落_design!$E169,0,掉落_design!L$2+2,1,1)&amp;";"&amp;OFFSET(掉落_design!$E169,0,掉落_design!L$2+3,1,1))</f>
        <v/>
      </c>
      <c r="N198" s="16" t="str">
        <f ca="1">IF(OFFSET(掉落_design!$E169,0,掉落_design!M$2,1,1)="","",OFFSET(掉落_design!$E169,0,掉落_design!M$2,1,1)&amp;";"&amp;OFFSET(掉落_design!$E169,0,掉落_design!M$2+1,1,1)&amp;";"&amp;OFFSET(掉落_design!$E169,0,掉落_design!M$2+2,1,1)&amp;";"&amp;OFFSET(掉落_design!$E169,0,掉落_design!M$2+3,1,1))</f>
        <v/>
      </c>
      <c r="O198" s="16" t="str">
        <f ca="1">IF(OFFSET(掉落_design!$E169,0,掉落_design!N$2,1,1)="","",OFFSET(掉落_design!$E169,0,掉落_design!N$2,1,1)&amp;";"&amp;OFFSET(掉落_design!$E169,0,掉落_design!N$2+1,1,1)&amp;";"&amp;OFFSET(掉落_design!$E169,0,掉落_design!N$2+2,1,1)&amp;";"&amp;OFFSET(掉落_design!$E169,0,掉落_design!N$2+3,1,1))</f>
        <v/>
      </c>
      <c r="P198" s="16" t="str">
        <f ca="1">IF(OFFSET(掉落_design!$E169,0,掉落_design!O$2,1,1)="","",OFFSET(掉落_design!$E169,0,掉落_design!O$2,1,1)&amp;";"&amp;OFFSET(掉落_design!$E169,0,掉落_design!O$2+1,1,1)&amp;";"&amp;OFFSET(掉落_design!$E169,0,掉落_design!O$2+2,1,1)&amp;";"&amp;OFFSET(掉落_design!$E169,0,掉落_design!O$2+3,1,1))</f>
        <v/>
      </c>
      <c r="Q198" s="25"/>
      <c r="R198" s="25"/>
      <c r="S198" s="25"/>
    </row>
    <row r="199" spans="1:19" x14ac:dyDescent="0.15">
      <c r="A199" s="11" t="str">
        <f t="shared" si="33"/>
        <v/>
      </c>
      <c r="B199" s="25"/>
      <c r="C199" s="25"/>
      <c r="D199" s="15" t="str">
        <f>IF(掉落_design!C170="","",掉落_design!C170)</f>
        <v/>
      </c>
      <c r="E199" s="15" t="str">
        <f>IF(A199="","",掉落_design!D170)</f>
        <v/>
      </c>
      <c r="F199" s="16" t="str">
        <f ca="1">IF(OFFSET(掉落_design!$E170,0,掉落_design!E$2,1,1)="","",OFFSET(掉落_design!$E170,0,掉落_design!E$2,1,1)&amp;";"&amp;OFFSET(掉落_design!$E170,0,掉落_design!E$2+1,1,1)&amp;";"&amp;OFFSET(掉落_design!$E170,0,掉落_design!E$2+2,1,1)&amp;";"&amp;OFFSET(掉落_design!$E170,0,掉落_design!E$2+3,1,1))</f>
        <v/>
      </c>
      <c r="G199" s="16" t="str">
        <f ca="1">IF(OFFSET(掉落_design!$E170,0,掉落_design!F$2,1,1)="","",OFFSET(掉落_design!$E170,0,掉落_design!F$2,1,1)&amp;";"&amp;OFFSET(掉落_design!$E170,0,掉落_design!F$2+1,1,1)&amp;";"&amp;OFFSET(掉落_design!$E170,0,掉落_design!F$2+2,1,1)&amp;";"&amp;OFFSET(掉落_design!$E170,0,掉落_design!F$2+3,1,1))</f>
        <v/>
      </c>
      <c r="H199" s="16" t="str">
        <f ca="1">IF(OFFSET(掉落_design!$E170,0,掉落_design!G$2,1,1)="","",OFFSET(掉落_design!$E170,0,掉落_design!G$2,1,1)&amp;";"&amp;OFFSET(掉落_design!$E170,0,掉落_design!G$2+1,1,1)&amp;";"&amp;OFFSET(掉落_design!$E170,0,掉落_design!G$2+2,1,1)&amp;";"&amp;OFFSET(掉落_design!$E170,0,掉落_design!G$2+3,1,1))</f>
        <v/>
      </c>
      <c r="I199" s="16" t="str">
        <f ca="1">IF(OFFSET(掉落_design!$E170,0,掉落_design!H$2,1,1)="","",OFFSET(掉落_design!$E170,0,掉落_design!H$2,1,1)&amp;";"&amp;OFFSET(掉落_design!$E170,0,掉落_design!H$2+1,1,1)&amp;";"&amp;OFFSET(掉落_design!$E170,0,掉落_design!H$2+2,1,1)&amp;";"&amp;OFFSET(掉落_design!$E170,0,掉落_design!H$2+3,1,1))</f>
        <v/>
      </c>
      <c r="J199" s="16" t="str">
        <f ca="1">IF(OFFSET(掉落_design!$E170,0,掉落_design!I$2,1,1)="","",OFFSET(掉落_design!$E170,0,掉落_design!I$2,1,1)&amp;";"&amp;OFFSET(掉落_design!$E170,0,掉落_design!I$2+1,1,1)&amp;";"&amp;OFFSET(掉落_design!$E170,0,掉落_design!I$2+2,1,1)&amp;";"&amp;OFFSET(掉落_design!$E170,0,掉落_design!I$2+3,1,1))</f>
        <v/>
      </c>
      <c r="K199" s="16" t="str">
        <f ca="1">IF(OFFSET(掉落_design!$E170,0,掉落_design!J$2,1,1)="","",OFFSET(掉落_design!$E170,0,掉落_design!J$2,1,1)&amp;";"&amp;OFFSET(掉落_design!$E170,0,掉落_design!J$2+1,1,1)&amp;";"&amp;OFFSET(掉落_design!$E170,0,掉落_design!J$2+2,1,1)&amp;";"&amp;OFFSET(掉落_design!$E170,0,掉落_design!J$2+3,1,1))</f>
        <v/>
      </c>
      <c r="L199" s="16" t="str">
        <f ca="1">IF(OFFSET(掉落_design!$E170,0,掉落_design!K$2,1,1)="","",OFFSET(掉落_design!$E170,0,掉落_design!K$2,1,1)&amp;";"&amp;OFFSET(掉落_design!$E170,0,掉落_design!K$2+1,1,1)&amp;";"&amp;OFFSET(掉落_design!$E170,0,掉落_design!K$2+2,1,1)&amp;";"&amp;OFFSET(掉落_design!$E170,0,掉落_design!K$2+3,1,1))</f>
        <v/>
      </c>
      <c r="M199" s="16" t="str">
        <f ca="1">IF(OFFSET(掉落_design!$E170,0,掉落_design!L$2,1,1)="","",OFFSET(掉落_design!$E170,0,掉落_design!L$2,1,1)&amp;";"&amp;OFFSET(掉落_design!$E170,0,掉落_design!L$2+1,1,1)&amp;";"&amp;OFFSET(掉落_design!$E170,0,掉落_design!L$2+2,1,1)&amp;";"&amp;OFFSET(掉落_design!$E170,0,掉落_design!L$2+3,1,1))</f>
        <v/>
      </c>
      <c r="N199" s="16" t="str">
        <f ca="1">IF(OFFSET(掉落_design!$E170,0,掉落_design!M$2,1,1)="","",OFFSET(掉落_design!$E170,0,掉落_design!M$2,1,1)&amp;";"&amp;OFFSET(掉落_design!$E170,0,掉落_design!M$2+1,1,1)&amp;";"&amp;OFFSET(掉落_design!$E170,0,掉落_design!M$2+2,1,1)&amp;";"&amp;OFFSET(掉落_design!$E170,0,掉落_design!M$2+3,1,1))</f>
        <v/>
      </c>
      <c r="O199" s="16" t="str">
        <f ca="1">IF(OFFSET(掉落_design!$E170,0,掉落_design!N$2,1,1)="","",OFFSET(掉落_design!$E170,0,掉落_design!N$2,1,1)&amp;";"&amp;OFFSET(掉落_design!$E170,0,掉落_design!N$2+1,1,1)&amp;";"&amp;OFFSET(掉落_design!$E170,0,掉落_design!N$2+2,1,1)&amp;";"&amp;OFFSET(掉落_design!$E170,0,掉落_design!N$2+3,1,1))</f>
        <v/>
      </c>
      <c r="P199" s="16" t="str">
        <f ca="1">IF(OFFSET(掉落_design!$E170,0,掉落_design!O$2,1,1)="","",OFFSET(掉落_design!$E170,0,掉落_design!O$2,1,1)&amp;";"&amp;OFFSET(掉落_design!$E170,0,掉落_design!O$2+1,1,1)&amp;";"&amp;OFFSET(掉落_design!$E170,0,掉落_design!O$2+2,1,1)&amp;";"&amp;OFFSET(掉落_design!$E170,0,掉落_design!O$2+3,1,1))</f>
        <v/>
      </c>
      <c r="Q199" s="25"/>
      <c r="R199" s="25"/>
      <c r="S199" s="25"/>
    </row>
    <row r="200" spans="1:19" x14ac:dyDescent="0.15">
      <c r="A200" s="11" t="str">
        <f t="shared" si="33"/>
        <v/>
      </c>
      <c r="B200" s="25"/>
      <c r="C200" s="25"/>
      <c r="D200" s="15" t="str">
        <f>IF(掉落_design!C171="","",掉落_design!C171)</f>
        <v/>
      </c>
      <c r="E200" s="15" t="str">
        <f>IF(A200="","",掉落_design!D171)</f>
        <v/>
      </c>
      <c r="F200" s="16" t="str">
        <f ca="1">IF(OFFSET(掉落_design!$E171,0,掉落_design!E$2,1,1)="","",OFFSET(掉落_design!$E171,0,掉落_design!E$2,1,1)&amp;";"&amp;OFFSET(掉落_design!$E171,0,掉落_design!E$2+1,1,1)&amp;";"&amp;OFFSET(掉落_design!$E171,0,掉落_design!E$2+2,1,1)&amp;";"&amp;OFFSET(掉落_design!$E171,0,掉落_design!E$2+3,1,1))</f>
        <v/>
      </c>
      <c r="G200" s="16" t="str">
        <f ca="1">IF(OFFSET(掉落_design!$E171,0,掉落_design!F$2,1,1)="","",OFFSET(掉落_design!$E171,0,掉落_design!F$2,1,1)&amp;";"&amp;OFFSET(掉落_design!$E171,0,掉落_design!F$2+1,1,1)&amp;";"&amp;OFFSET(掉落_design!$E171,0,掉落_design!F$2+2,1,1)&amp;";"&amp;OFFSET(掉落_design!$E171,0,掉落_design!F$2+3,1,1))</f>
        <v/>
      </c>
      <c r="H200" s="16" t="str">
        <f ca="1">IF(OFFSET(掉落_design!$E171,0,掉落_design!G$2,1,1)="","",OFFSET(掉落_design!$E171,0,掉落_design!G$2,1,1)&amp;";"&amp;OFFSET(掉落_design!$E171,0,掉落_design!G$2+1,1,1)&amp;";"&amp;OFFSET(掉落_design!$E171,0,掉落_design!G$2+2,1,1)&amp;";"&amp;OFFSET(掉落_design!$E171,0,掉落_design!G$2+3,1,1))</f>
        <v/>
      </c>
      <c r="I200" s="16" t="str">
        <f ca="1">IF(OFFSET(掉落_design!$E171,0,掉落_design!H$2,1,1)="","",OFFSET(掉落_design!$E171,0,掉落_design!H$2,1,1)&amp;";"&amp;OFFSET(掉落_design!$E171,0,掉落_design!H$2+1,1,1)&amp;";"&amp;OFFSET(掉落_design!$E171,0,掉落_design!H$2+2,1,1)&amp;";"&amp;OFFSET(掉落_design!$E171,0,掉落_design!H$2+3,1,1))</f>
        <v/>
      </c>
      <c r="J200" s="16" t="str">
        <f ca="1">IF(OFFSET(掉落_design!$E171,0,掉落_design!I$2,1,1)="","",OFFSET(掉落_design!$E171,0,掉落_design!I$2,1,1)&amp;";"&amp;OFFSET(掉落_design!$E171,0,掉落_design!I$2+1,1,1)&amp;";"&amp;OFFSET(掉落_design!$E171,0,掉落_design!I$2+2,1,1)&amp;";"&amp;OFFSET(掉落_design!$E171,0,掉落_design!I$2+3,1,1))</f>
        <v/>
      </c>
      <c r="K200" s="16" t="str">
        <f ca="1">IF(OFFSET(掉落_design!$E171,0,掉落_design!J$2,1,1)="","",OFFSET(掉落_design!$E171,0,掉落_design!J$2,1,1)&amp;";"&amp;OFFSET(掉落_design!$E171,0,掉落_design!J$2+1,1,1)&amp;";"&amp;OFFSET(掉落_design!$E171,0,掉落_design!J$2+2,1,1)&amp;";"&amp;OFFSET(掉落_design!$E171,0,掉落_design!J$2+3,1,1))</f>
        <v/>
      </c>
      <c r="L200" s="16" t="str">
        <f ca="1">IF(OFFSET(掉落_design!$E171,0,掉落_design!K$2,1,1)="","",OFFSET(掉落_design!$E171,0,掉落_design!K$2,1,1)&amp;";"&amp;OFFSET(掉落_design!$E171,0,掉落_design!K$2+1,1,1)&amp;";"&amp;OFFSET(掉落_design!$E171,0,掉落_design!K$2+2,1,1)&amp;";"&amp;OFFSET(掉落_design!$E171,0,掉落_design!K$2+3,1,1))</f>
        <v/>
      </c>
      <c r="M200" s="16" t="str">
        <f ca="1">IF(OFFSET(掉落_design!$E171,0,掉落_design!L$2,1,1)="","",OFFSET(掉落_design!$E171,0,掉落_design!L$2,1,1)&amp;";"&amp;OFFSET(掉落_design!$E171,0,掉落_design!L$2+1,1,1)&amp;";"&amp;OFFSET(掉落_design!$E171,0,掉落_design!L$2+2,1,1)&amp;";"&amp;OFFSET(掉落_design!$E171,0,掉落_design!L$2+3,1,1))</f>
        <v/>
      </c>
      <c r="N200" s="16" t="str">
        <f ca="1">IF(OFFSET(掉落_design!$E171,0,掉落_design!M$2,1,1)="","",OFFSET(掉落_design!$E171,0,掉落_design!M$2,1,1)&amp;";"&amp;OFFSET(掉落_design!$E171,0,掉落_design!M$2+1,1,1)&amp;";"&amp;OFFSET(掉落_design!$E171,0,掉落_design!M$2+2,1,1)&amp;";"&amp;OFFSET(掉落_design!$E171,0,掉落_design!M$2+3,1,1))</f>
        <v/>
      </c>
      <c r="O200" s="16" t="str">
        <f ca="1">IF(OFFSET(掉落_design!$E171,0,掉落_design!N$2,1,1)="","",OFFSET(掉落_design!$E171,0,掉落_design!N$2,1,1)&amp;";"&amp;OFFSET(掉落_design!$E171,0,掉落_design!N$2+1,1,1)&amp;";"&amp;OFFSET(掉落_design!$E171,0,掉落_design!N$2+2,1,1)&amp;";"&amp;OFFSET(掉落_design!$E171,0,掉落_design!N$2+3,1,1))</f>
        <v/>
      </c>
      <c r="P200" s="16" t="str">
        <f ca="1">IF(OFFSET(掉落_design!$E171,0,掉落_design!O$2,1,1)="","",OFFSET(掉落_design!$E171,0,掉落_design!O$2,1,1)&amp;";"&amp;OFFSET(掉落_design!$E171,0,掉落_design!O$2+1,1,1)&amp;";"&amp;OFFSET(掉落_design!$E171,0,掉落_design!O$2+2,1,1)&amp;";"&amp;OFFSET(掉落_design!$E171,0,掉落_design!O$2+3,1,1))</f>
        <v/>
      </c>
      <c r="Q200" s="25"/>
      <c r="R200" s="25"/>
      <c r="S200" s="25"/>
    </row>
    <row r="201" spans="1:19" x14ac:dyDescent="0.15">
      <c r="A201" s="11" t="str">
        <f t="shared" si="33"/>
        <v/>
      </c>
      <c r="B201" s="25"/>
      <c r="C201" s="25"/>
      <c r="D201" s="15" t="str">
        <f>IF(掉落_design!C172="","",掉落_design!C172)</f>
        <v/>
      </c>
      <c r="E201" s="15" t="str">
        <f>IF(A201="","",掉落_design!D172)</f>
        <v/>
      </c>
      <c r="F201" s="16" t="str">
        <f ca="1">IF(OFFSET(掉落_design!$E172,0,掉落_design!E$2,1,1)="","",OFFSET(掉落_design!$E172,0,掉落_design!E$2,1,1)&amp;";"&amp;OFFSET(掉落_design!$E172,0,掉落_design!E$2+1,1,1)&amp;";"&amp;OFFSET(掉落_design!$E172,0,掉落_design!E$2+2,1,1)&amp;";"&amp;OFFSET(掉落_design!$E172,0,掉落_design!E$2+3,1,1))</f>
        <v/>
      </c>
      <c r="G201" s="16" t="str">
        <f ca="1">IF(OFFSET(掉落_design!$E172,0,掉落_design!F$2,1,1)="","",OFFSET(掉落_design!$E172,0,掉落_design!F$2,1,1)&amp;";"&amp;OFFSET(掉落_design!$E172,0,掉落_design!F$2+1,1,1)&amp;";"&amp;OFFSET(掉落_design!$E172,0,掉落_design!F$2+2,1,1)&amp;";"&amp;OFFSET(掉落_design!$E172,0,掉落_design!F$2+3,1,1))</f>
        <v/>
      </c>
      <c r="H201" s="16" t="str">
        <f ca="1">IF(OFFSET(掉落_design!$E172,0,掉落_design!G$2,1,1)="","",OFFSET(掉落_design!$E172,0,掉落_design!G$2,1,1)&amp;";"&amp;OFFSET(掉落_design!$E172,0,掉落_design!G$2+1,1,1)&amp;";"&amp;OFFSET(掉落_design!$E172,0,掉落_design!G$2+2,1,1)&amp;";"&amp;OFFSET(掉落_design!$E172,0,掉落_design!G$2+3,1,1))</f>
        <v/>
      </c>
      <c r="I201" s="16" t="str">
        <f ca="1">IF(OFFSET(掉落_design!$E172,0,掉落_design!H$2,1,1)="","",OFFSET(掉落_design!$E172,0,掉落_design!H$2,1,1)&amp;";"&amp;OFFSET(掉落_design!$E172,0,掉落_design!H$2+1,1,1)&amp;";"&amp;OFFSET(掉落_design!$E172,0,掉落_design!H$2+2,1,1)&amp;";"&amp;OFFSET(掉落_design!$E172,0,掉落_design!H$2+3,1,1))</f>
        <v/>
      </c>
      <c r="J201" s="16" t="str">
        <f ca="1">IF(OFFSET(掉落_design!$E172,0,掉落_design!I$2,1,1)="","",OFFSET(掉落_design!$E172,0,掉落_design!I$2,1,1)&amp;";"&amp;OFFSET(掉落_design!$E172,0,掉落_design!I$2+1,1,1)&amp;";"&amp;OFFSET(掉落_design!$E172,0,掉落_design!I$2+2,1,1)&amp;";"&amp;OFFSET(掉落_design!$E172,0,掉落_design!I$2+3,1,1))</f>
        <v/>
      </c>
      <c r="K201" s="16" t="str">
        <f ca="1">IF(OFFSET(掉落_design!$E172,0,掉落_design!J$2,1,1)="","",OFFSET(掉落_design!$E172,0,掉落_design!J$2,1,1)&amp;";"&amp;OFFSET(掉落_design!$E172,0,掉落_design!J$2+1,1,1)&amp;";"&amp;OFFSET(掉落_design!$E172,0,掉落_design!J$2+2,1,1)&amp;";"&amp;OFFSET(掉落_design!$E172,0,掉落_design!J$2+3,1,1))</f>
        <v/>
      </c>
      <c r="L201" s="16" t="str">
        <f ca="1">IF(OFFSET(掉落_design!$E172,0,掉落_design!K$2,1,1)="","",OFFSET(掉落_design!$E172,0,掉落_design!K$2,1,1)&amp;";"&amp;OFFSET(掉落_design!$E172,0,掉落_design!K$2+1,1,1)&amp;";"&amp;OFFSET(掉落_design!$E172,0,掉落_design!K$2+2,1,1)&amp;";"&amp;OFFSET(掉落_design!$E172,0,掉落_design!K$2+3,1,1))</f>
        <v/>
      </c>
      <c r="M201" s="16" t="str">
        <f ca="1">IF(OFFSET(掉落_design!$E172,0,掉落_design!L$2,1,1)="","",OFFSET(掉落_design!$E172,0,掉落_design!L$2,1,1)&amp;";"&amp;OFFSET(掉落_design!$E172,0,掉落_design!L$2+1,1,1)&amp;";"&amp;OFFSET(掉落_design!$E172,0,掉落_design!L$2+2,1,1)&amp;";"&amp;OFFSET(掉落_design!$E172,0,掉落_design!L$2+3,1,1))</f>
        <v/>
      </c>
      <c r="N201" s="16" t="str">
        <f ca="1">IF(OFFSET(掉落_design!$E172,0,掉落_design!M$2,1,1)="","",OFFSET(掉落_design!$E172,0,掉落_design!M$2,1,1)&amp;";"&amp;OFFSET(掉落_design!$E172,0,掉落_design!M$2+1,1,1)&amp;";"&amp;OFFSET(掉落_design!$E172,0,掉落_design!M$2+2,1,1)&amp;";"&amp;OFFSET(掉落_design!$E172,0,掉落_design!M$2+3,1,1))</f>
        <v/>
      </c>
      <c r="O201" s="16" t="str">
        <f ca="1">IF(OFFSET(掉落_design!$E172,0,掉落_design!N$2,1,1)="","",OFFSET(掉落_design!$E172,0,掉落_design!N$2,1,1)&amp;";"&amp;OFFSET(掉落_design!$E172,0,掉落_design!N$2+1,1,1)&amp;";"&amp;OFFSET(掉落_design!$E172,0,掉落_design!N$2+2,1,1)&amp;";"&amp;OFFSET(掉落_design!$E172,0,掉落_design!N$2+3,1,1))</f>
        <v/>
      </c>
      <c r="P201" s="16" t="str">
        <f ca="1">IF(OFFSET(掉落_design!$E172,0,掉落_design!O$2,1,1)="","",OFFSET(掉落_design!$E172,0,掉落_design!O$2,1,1)&amp;";"&amp;OFFSET(掉落_design!$E172,0,掉落_design!O$2+1,1,1)&amp;";"&amp;OFFSET(掉落_design!$E172,0,掉落_design!O$2+2,1,1)&amp;";"&amp;OFFSET(掉落_design!$E172,0,掉落_design!O$2+3,1,1))</f>
        <v/>
      </c>
      <c r="Q201" s="25"/>
      <c r="R201" s="25"/>
      <c r="S201" s="25"/>
    </row>
    <row r="202" spans="1:19" x14ac:dyDescent="0.15">
      <c r="A202" s="11" t="str">
        <f t="shared" si="33"/>
        <v/>
      </c>
      <c r="B202" s="25"/>
      <c r="C202" s="25"/>
      <c r="D202" s="15" t="str">
        <f>IF(掉落_design!C173="","",掉落_design!C173)</f>
        <v/>
      </c>
      <c r="E202" s="15" t="str">
        <f>IF(A202="","",掉落_design!D173)</f>
        <v/>
      </c>
      <c r="F202" s="16" t="str">
        <f ca="1">IF(OFFSET(掉落_design!$E173,0,掉落_design!E$2,1,1)="","",OFFSET(掉落_design!$E173,0,掉落_design!E$2,1,1)&amp;";"&amp;OFFSET(掉落_design!$E173,0,掉落_design!E$2+1,1,1)&amp;";"&amp;OFFSET(掉落_design!$E173,0,掉落_design!E$2+2,1,1)&amp;";"&amp;OFFSET(掉落_design!$E173,0,掉落_design!E$2+3,1,1))</f>
        <v/>
      </c>
      <c r="G202" s="16" t="str">
        <f ca="1">IF(OFFSET(掉落_design!$E173,0,掉落_design!F$2,1,1)="","",OFFSET(掉落_design!$E173,0,掉落_design!F$2,1,1)&amp;";"&amp;OFFSET(掉落_design!$E173,0,掉落_design!F$2+1,1,1)&amp;";"&amp;OFFSET(掉落_design!$E173,0,掉落_design!F$2+2,1,1)&amp;";"&amp;OFFSET(掉落_design!$E173,0,掉落_design!F$2+3,1,1))</f>
        <v/>
      </c>
      <c r="H202" s="16" t="str">
        <f ca="1">IF(OFFSET(掉落_design!$E173,0,掉落_design!G$2,1,1)="","",OFFSET(掉落_design!$E173,0,掉落_design!G$2,1,1)&amp;";"&amp;OFFSET(掉落_design!$E173,0,掉落_design!G$2+1,1,1)&amp;";"&amp;OFFSET(掉落_design!$E173,0,掉落_design!G$2+2,1,1)&amp;";"&amp;OFFSET(掉落_design!$E173,0,掉落_design!G$2+3,1,1))</f>
        <v/>
      </c>
      <c r="I202" s="16" t="str">
        <f ca="1">IF(OFFSET(掉落_design!$E173,0,掉落_design!H$2,1,1)="","",OFFSET(掉落_design!$E173,0,掉落_design!H$2,1,1)&amp;";"&amp;OFFSET(掉落_design!$E173,0,掉落_design!H$2+1,1,1)&amp;";"&amp;OFFSET(掉落_design!$E173,0,掉落_design!H$2+2,1,1)&amp;";"&amp;OFFSET(掉落_design!$E173,0,掉落_design!H$2+3,1,1))</f>
        <v/>
      </c>
      <c r="J202" s="16" t="str">
        <f ca="1">IF(OFFSET(掉落_design!$E173,0,掉落_design!I$2,1,1)="","",OFFSET(掉落_design!$E173,0,掉落_design!I$2,1,1)&amp;";"&amp;OFFSET(掉落_design!$E173,0,掉落_design!I$2+1,1,1)&amp;";"&amp;OFFSET(掉落_design!$E173,0,掉落_design!I$2+2,1,1)&amp;";"&amp;OFFSET(掉落_design!$E173,0,掉落_design!I$2+3,1,1))</f>
        <v/>
      </c>
      <c r="K202" s="16" t="str">
        <f ca="1">IF(OFFSET(掉落_design!$E173,0,掉落_design!J$2,1,1)="","",OFFSET(掉落_design!$E173,0,掉落_design!J$2,1,1)&amp;";"&amp;OFFSET(掉落_design!$E173,0,掉落_design!J$2+1,1,1)&amp;";"&amp;OFFSET(掉落_design!$E173,0,掉落_design!J$2+2,1,1)&amp;";"&amp;OFFSET(掉落_design!$E173,0,掉落_design!J$2+3,1,1))</f>
        <v/>
      </c>
      <c r="L202" s="16" t="str">
        <f ca="1">IF(OFFSET(掉落_design!$E173,0,掉落_design!K$2,1,1)="","",OFFSET(掉落_design!$E173,0,掉落_design!K$2,1,1)&amp;";"&amp;OFFSET(掉落_design!$E173,0,掉落_design!K$2+1,1,1)&amp;";"&amp;OFFSET(掉落_design!$E173,0,掉落_design!K$2+2,1,1)&amp;";"&amp;OFFSET(掉落_design!$E173,0,掉落_design!K$2+3,1,1))</f>
        <v/>
      </c>
      <c r="M202" s="16" t="str">
        <f ca="1">IF(OFFSET(掉落_design!$E173,0,掉落_design!L$2,1,1)="","",OFFSET(掉落_design!$E173,0,掉落_design!L$2,1,1)&amp;";"&amp;OFFSET(掉落_design!$E173,0,掉落_design!L$2+1,1,1)&amp;";"&amp;OFFSET(掉落_design!$E173,0,掉落_design!L$2+2,1,1)&amp;";"&amp;OFFSET(掉落_design!$E173,0,掉落_design!L$2+3,1,1))</f>
        <v/>
      </c>
      <c r="N202" s="16" t="str">
        <f ca="1">IF(OFFSET(掉落_design!$E173,0,掉落_design!M$2,1,1)="","",OFFSET(掉落_design!$E173,0,掉落_design!M$2,1,1)&amp;";"&amp;OFFSET(掉落_design!$E173,0,掉落_design!M$2+1,1,1)&amp;";"&amp;OFFSET(掉落_design!$E173,0,掉落_design!M$2+2,1,1)&amp;";"&amp;OFFSET(掉落_design!$E173,0,掉落_design!M$2+3,1,1))</f>
        <v/>
      </c>
      <c r="O202" s="16" t="str">
        <f ca="1">IF(OFFSET(掉落_design!$E173,0,掉落_design!N$2,1,1)="","",OFFSET(掉落_design!$E173,0,掉落_design!N$2,1,1)&amp;";"&amp;OFFSET(掉落_design!$E173,0,掉落_design!N$2+1,1,1)&amp;";"&amp;OFFSET(掉落_design!$E173,0,掉落_design!N$2+2,1,1)&amp;";"&amp;OFFSET(掉落_design!$E173,0,掉落_design!N$2+3,1,1))</f>
        <v/>
      </c>
      <c r="P202" s="16" t="str">
        <f ca="1">IF(OFFSET(掉落_design!$E173,0,掉落_design!O$2,1,1)="","",OFFSET(掉落_design!$E173,0,掉落_design!O$2,1,1)&amp;";"&amp;OFFSET(掉落_design!$E173,0,掉落_design!O$2+1,1,1)&amp;";"&amp;OFFSET(掉落_design!$E173,0,掉落_design!O$2+2,1,1)&amp;";"&amp;OFFSET(掉落_design!$E173,0,掉落_design!O$2+3,1,1))</f>
        <v/>
      </c>
      <c r="Q202" s="25"/>
      <c r="R202" s="25"/>
      <c r="S202" s="25"/>
    </row>
    <row r="203" spans="1:19" x14ac:dyDescent="0.15">
      <c r="A203" s="11" t="str">
        <f t="shared" si="33"/>
        <v/>
      </c>
      <c r="B203" s="25"/>
      <c r="C203" s="25"/>
      <c r="D203" s="15" t="str">
        <f>IF(掉落_design!C174="","",掉落_design!C174)</f>
        <v/>
      </c>
      <c r="E203" s="15" t="str">
        <f>IF(A203="","",掉落_design!D174)</f>
        <v/>
      </c>
      <c r="F203" s="16" t="str">
        <f ca="1">IF(OFFSET(掉落_design!$E174,0,掉落_design!E$2,1,1)="","",OFFSET(掉落_design!$E174,0,掉落_design!E$2,1,1)&amp;";"&amp;OFFSET(掉落_design!$E174,0,掉落_design!E$2+1,1,1)&amp;";"&amp;OFFSET(掉落_design!$E174,0,掉落_design!E$2+2,1,1)&amp;";"&amp;OFFSET(掉落_design!$E174,0,掉落_design!E$2+3,1,1))</f>
        <v/>
      </c>
      <c r="G203" s="16" t="str">
        <f ca="1">IF(OFFSET(掉落_design!$E174,0,掉落_design!F$2,1,1)="","",OFFSET(掉落_design!$E174,0,掉落_design!F$2,1,1)&amp;";"&amp;OFFSET(掉落_design!$E174,0,掉落_design!F$2+1,1,1)&amp;";"&amp;OFFSET(掉落_design!$E174,0,掉落_design!F$2+2,1,1)&amp;";"&amp;OFFSET(掉落_design!$E174,0,掉落_design!F$2+3,1,1))</f>
        <v/>
      </c>
      <c r="H203" s="16" t="str">
        <f ca="1">IF(OFFSET(掉落_design!$E174,0,掉落_design!G$2,1,1)="","",OFFSET(掉落_design!$E174,0,掉落_design!G$2,1,1)&amp;";"&amp;OFFSET(掉落_design!$E174,0,掉落_design!G$2+1,1,1)&amp;";"&amp;OFFSET(掉落_design!$E174,0,掉落_design!G$2+2,1,1)&amp;";"&amp;OFFSET(掉落_design!$E174,0,掉落_design!G$2+3,1,1))</f>
        <v/>
      </c>
      <c r="I203" s="16" t="str">
        <f ca="1">IF(OFFSET(掉落_design!$E174,0,掉落_design!H$2,1,1)="","",OFFSET(掉落_design!$E174,0,掉落_design!H$2,1,1)&amp;";"&amp;OFFSET(掉落_design!$E174,0,掉落_design!H$2+1,1,1)&amp;";"&amp;OFFSET(掉落_design!$E174,0,掉落_design!H$2+2,1,1)&amp;";"&amp;OFFSET(掉落_design!$E174,0,掉落_design!H$2+3,1,1))</f>
        <v/>
      </c>
      <c r="J203" s="16" t="str">
        <f ca="1">IF(OFFSET(掉落_design!$E174,0,掉落_design!I$2,1,1)="","",OFFSET(掉落_design!$E174,0,掉落_design!I$2,1,1)&amp;";"&amp;OFFSET(掉落_design!$E174,0,掉落_design!I$2+1,1,1)&amp;";"&amp;OFFSET(掉落_design!$E174,0,掉落_design!I$2+2,1,1)&amp;";"&amp;OFFSET(掉落_design!$E174,0,掉落_design!I$2+3,1,1))</f>
        <v/>
      </c>
      <c r="K203" s="16" t="str">
        <f ca="1">IF(OFFSET(掉落_design!$E174,0,掉落_design!J$2,1,1)="","",OFFSET(掉落_design!$E174,0,掉落_design!J$2,1,1)&amp;";"&amp;OFFSET(掉落_design!$E174,0,掉落_design!J$2+1,1,1)&amp;";"&amp;OFFSET(掉落_design!$E174,0,掉落_design!J$2+2,1,1)&amp;";"&amp;OFFSET(掉落_design!$E174,0,掉落_design!J$2+3,1,1))</f>
        <v/>
      </c>
      <c r="L203" s="16" t="str">
        <f ca="1">IF(OFFSET(掉落_design!$E174,0,掉落_design!K$2,1,1)="","",OFFSET(掉落_design!$E174,0,掉落_design!K$2,1,1)&amp;";"&amp;OFFSET(掉落_design!$E174,0,掉落_design!K$2+1,1,1)&amp;";"&amp;OFFSET(掉落_design!$E174,0,掉落_design!K$2+2,1,1)&amp;";"&amp;OFFSET(掉落_design!$E174,0,掉落_design!K$2+3,1,1))</f>
        <v/>
      </c>
      <c r="M203" s="16" t="str">
        <f ca="1">IF(OFFSET(掉落_design!$E174,0,掉落_design!L$2,1,1)="","",OFFSET(掉落_design!$E174,0,掉落_design!L$2,1,1)&amp;";"&amp;OFFSET(掉落_design!$E174,0,掉落_design!L$2+1,1,1)&amp;";"&amp;OFFSET(掉落_design!$E174,0,掉落_design!L$2+2,1,1)&amp;";"&amp;OFFSET(掉落_design!$E174,0,掉落_design!L$2+3,1,1))</f>
        <v/>
      </c>
      <c r="N203" s="16" t="str">
        <f ca="1">IF(OFFSET(掉落_design!$E174,0,掉落_design!M$2,1,1)="","",OFFSET(掉落_design!$E174,0,掉落_design!M$2,1,1)&amp;";"&amp;OFFSET(掉落_design!$E174,0,掉落_design!M$2+1,1,1)&amp;";"&amp;OFFSET(掉落_design!$E174,0,掉落_design!M$2+2,1,1)&amp;";"&amp;OFFSET(掉落_design!$E174,0,掉落_design!M$2+3,1,1))</f>
        <v/>
      </c>
      <c r="O203" s="16" t="str">
        <f ca="1">IF(OFFSET(掉落_design!$E174,0,掉落_design!N$2,1,1)="","",OFFSET(掉落_design!$E174,0,掉落_design!N$2,1,1)&amp;";"&amp;OFFSET(掉落_design!$E174,0,掉落_design!N$2+1,1,1)&amp;";"&amp;OFFSET(掉落_design!$E174,0,掉落_design!N$2+2,1,1)&amp;";"&amp;OFFSET(掉落_design!$E174,0,掉落_design!N$2+3,1,1))</f>
        <v/>
      </c>
      <c r="P203" s="16" t="str">
        <f ca="1">IF(OFFSET(掉落_design!$E174,0,掉落_design!O$2,1,1)="","",OFFSET(掉落_design!$E174,0,掉落_design!O$2,1,1)&amp;";"&amp;OFFSET(掉落_design!$E174,0,掉落_design!O$2+1,1,1)&amp;";"&amp;OFFSET(掉落_design!$E174,0,掉落_design!O$2+2,1,1)&amp;";"&amp;OFFSET(掉落_design!$E174,0,掉落_design!O$2+3,1,1))</f>
        <v/>
      </c>
      <c r="Q203" s="25"/>
      <c r="R203" s="25"/>
      <c r="S203" s="25"/>
    </row>
    <row r="204" spans="1:19" x14ac:dyDescent="0.15">
      <c r="A204" s="11" t="str">
        <f t="shared" si="33"/>
        <v/>
      </c>
      <c r="B204" s="25"/>
      <c r="C204" s="25"/>
      <c r="D204" s="15" t="str">
        <f>IF(掉落_design!C175="","",掉落_design!C175)</f>
        <v/>
      </c>
      <c r="E204" s="15" t="str">
        <f>IF(A204="","",掉落_design!D175)</f>
        <v/>
      </c>
      <c r="F204" s="16" t="str">
        <f ca="1">IF(OFFSET(掉落_design!$E175,0,掉落_design!E$2,1,1)="","",OFFSET(掉落_design!$E175,0,掉落_design!E$2,1,1)&amp;";"&amp;OFFSET(掉落_design!$E175,0,掉落_design!E$2+1,1,1)&amp;";"&amp;OFFSET(掉落_design!$E175,0,掉落_design!E$2+2,1,1)&amp;";"&amp;OFFSET(掉落_design!$E175,0,掉落_design!E$2+3,1,1))</f>
        <v/>
      </c>
      <c r="G204" s="16" t="str">
        <f ca="1">IF(OFFSET(掉落_design!$E175,0,掉落_design!F$2,1,1)="","",OFFSET(掉落_design!$E175,0,掉落_design!F$2,1,1)&amp;";"&amp;OFFSET(掉落_design!$E175,0,掉落_design!F$2+1,1,1)&amp;";"&amp;OFFSET(掉落_design!$E175,0,掉落_design!F$2+2,1,1)&amp;";"&amp;OFFSET(掉落_design!$E175,0,掉落_design!F$2+3,1,1))</f>
        <v/>
      </c>
      <c r="H204" s="16" t="str">
        <f ca="1">IF(OFFSET(掉落_design!$E175,0,掉落_design!G$2,1,1)="","",OFFSET(掉落_design!$E175,0,掉落_design!G$2,1,1)&amp;";"&amp;OFFSET(掉落_design!$E175,0,掉落_design!G$2+1,1,1)&amp;";"&amp;OFFSET(掉落_design!$E175,0,掉落_design!G$2+2,1,1)&amp;";"&amp;OFFSET(掉落_design!$E175,0,掉落_design!G$2+3,1,1))</f>
        <v/>
      </c>
      <c r="I204" s="16" t="str">
        <f ca="1">IF(OFFSET(掉落_design!$E175,0,掉落_design!H$2,1,1)="","",OFFSET(掉落_design!$E175,0,掉落_design!H$2,1,1)&amp;";"&amp;OFFSET(掉落_design!$E175,0,掉落_design!H$2+1,1,1)&amp;";"&amp;OFFSET(掉落_design!$E175,0,掉落_design!H$2+2,1,1)&amp;";"&amp;OFFSET(掉落_design!$E175,0,掉落_design!H$2+3,1,1))</f>
        <v/>
      </c>
      <c r="J204" s="16" t="str">
        <f ca="1">IF(OFFSET(掉落_design!$E175,0,掉落_design!I$2,1,1)="","",OFFSET(掉落_design!$E175,0,掉落_design!I$2,1,1)&amp;";"&amp;OFFSET(掉落_design!$E175,0,掉落_design!I$2+1,1,1)&amp;";"&amp;OFFSET(掉落_design!$E175,0,掉落_design!I$2+2,1,1)&amp;";"&amp;OFFSET(掉落_design!$E175,0,掉落_design!I$2+3,1,1))</f>
        <v/>
      </c>
      <c r="K204" s="16" t="str">
        <f ca="1">IF(OFFSET(掉落_design!$E175,0,掉落_design!J$2,1,1)="","",OFFSET(掉落_design!$E175,0,掉落_design!J$2,1,1)&amp;";"&amp;OFFSET(掉落_design!$E175,0,掉落_design!J$2+1,1,1)&amp;";"&amp;OFFSET(掉落_design!$E175,0,掉落_design!J$2+2,1,1)&amp;";"&amp;OFFSET(掉落_design!$E175,0,掉落_design!J$2+3,1,1))</f>
        <v/>
      </c>
      <c r="L204" s="16" t="str">
        <f ca="1">IF(OFFSET(掉落_design!$E175,0,掉落_design!K$2,1,1)="","",OFFSET(掉落_design!$E175,0,掉落_design!K$2,1,1)&amp;";"&amp;OFFSET(掉落_design!$E175,0,掉落_design!K$2+1,1,1)&amp;";"&amp;OFFSET(掉落_design!$E175,0,掉落_design!K$2+2,1,1)&amp;";"&amp;OFFSET(掉落_design!$E175,0,掉落_design!K$2+3,1,1))</f>
        <v/>
      </c>
      <c r="M204" s="16" t="str">
        <f ca="1">IF(OFFSET(掉落_design!$E175,0,掉落_design!L$2,1,1)="","",OFFSET(掉落_design!$E175,0,掉落_design!L$2,1,1)&amp;";"&amp;OFFSET(掉落_design!$E175,0,掉落_design!L$2+1,1,1)&amp;";"&amp;OFFSET(掉落_design!$E175,0,掉落_design!L$2+2,1,1)&amp;";"&amp;OFFSET(掉落_design!$E175,0,掉落_design!L$2+3,1,1))</f>
        <v/>
      </c>
      <c r="N204" s="16" t="str">
        <f ca="1">IF(OFFSET(掉落_design!$E175,0,掉落_design!M$2,1,1)="","",OFFSET(掉落_design!$E175,0,掉落_design!M$2,1,1)&amp;";"&amp;OFFSET(掉落_design!$E175,0,掉落_design!M$2+1,1,1)&amp;";"&amp;OFFSET(掉落_design!$E175,0,掉落_design!M$2+2,1,1)&amp;";"&amp;OFFSET(掉落_design!$E175,0,掉落_design!M$2+3,1,1))</f>
        <v/>
      </c>
      <c r="O204" s="16" t="str">
        <f ca="1">IF(OFFSET(掉落_design!$E175,0,掉落_design!N$2,1,1)="","",OFFSET(掉落_design!$E175,0,掉落_design!N$2,1,1)&amp;";"&amp;OFFSET(掉落_design!$E175,0,掉落_design!N$2+1,1,1)&amp;";"&amp;OFFSET(掉落_design!$E175,0,掉落_design!N$2+2,1,1)&amp;";"&amp;OFFSET(掉落_design!$E175,0,掉落_design!N$2+3,1,1))</f>
        <v/>
      </c>
      <c r="P204" s="16" t="str">
        <f ca="1">IF(OFFSET(掉落_design!$E175,0,掉落_design!O$2,1,1)="","",OFFSET(掉落_design!$E175,0,掉落_design!O$2,1,1)&amp;";"&amp;OFFSET(掉落_design!$E175,0,掉落_design!O$2+1,1,1)&amp;";"&amp;OFFSET(掉落_design!$E175,0,掉落_design!O$2+2,1,1)&amp;";"&amp;OFFSET(掉落_design!$E175,0,掉落_design!O$2+3,1,1))</f>
        <v/>
      </c>
      <c r="Q204" s="25"/>
      <c r="R204" s="25"/>
      <c r="S204" s="25"/>
    </row>
    <row r="205" spans="1:19" x14ac:dyDescent="0.15">
      <c r="A205" s="11" t="str">
        <f t="shared" si="33"/>
        <v/>
      </c>
      <c r="B205" s="25"/>
      <c r="C205" s="25"/>
      <c r="D205" s="15" t="str">
        <f>IF(掉落_design!C176="","",掉落_design!C176)</f>
        <v/>
      </c>
      <c r="E205" s="15" t="str">
        <f>IF(A205="","",掉落_design!D176)</f>
        <v/>
      </c>
      <c r="F205" s="16" t="str">
        <f ca="1">IF(OFFSET(掉落_design!$E176,0,掉落_design!E$2,1,1)="","",OFFSET(掉落_design!$E176,0,掉落_design!E$2,1,1)&amp;";"&amp;OFFSET(掉落_design!$E176,0,掉落_design!E$2+1,1,1)&amp;";"&amp;OFFSET(掉落_design!$E176,0,掉落_design!E$2+2,1,1)&amp;";"&amp;OFFSET(掉落_design!$E176,0,掉落_design!E$2+3,1,1))</f>
        <v/>
      </c>
      <c r="G205" s="16" t="str">
        <f ca="1">IF(OFFSET(掉落_design!$E176,0,掉落_design!F$2,1,1)="","",OFFSET(掉落_design!$E176,0,掉落_design!F$2,1,1)&amp;";"&amp;OFFSET(掉落_design!$E176,0,掉落_design!F$2+1,1,1)&amp;";"&amp;OFFSET(掉落_design!$E176,0,掉落_design!F$2+2,1,1)&amp;";"&amp;OFFSET(掉落_design!$E176,0,掉落_design!F$2+3,1,1))</f>
        <v/>
      </c>
      <c r="H205" s="16" t="str">
        <f ca="1">IF(OFFSET(掉落_design!$E176,0,掉落_design!G$2,1,1)="","",OFFSET(掉落_design!$E176,0,掉落_design!G$2,1,1)&amp;";"&amp;OFFSET(掉落_design!$E176,0,掉落_design!G$2+1,1,1)&amp;";"&amp;OFFSET(掉落_design!$E176,0,掉落_design!G$2+2,1,1)&amp;";"&amp;OFFSET(掉落_design!$E176,0,掉落_design!G$2+3,1,1))</f>
        <v/>
      </c>
      <c r="I205" s="16" t="str">
        <f ca="1">IF(OFFSET(掉落_design!$E176,0,掉落_design!H$2,1,1)="","",OFFSET(掉落_design!$E176,0,掉落_design!H$2,1,1)&amp;";"&amp;OFFSET(掉落_design!$E176,0,掉落_design!H$2+1,1,1)&amp;";"&amp;OFFSET(掉落_design!$E176,0,掉落_design!H$2+2,1,1)&amp;";"&amp;OFFSET(掉落_design!$E176,0,掉落_design!H$2+3,1,1))</f>
        <v/>
      </c>
      <c r="J205" s="16" t="str">
        <f ca="1">IF(OFFSET(掉落_design!$E176,0,掉落_design!I$2,1,1)="","",OFFSET(掉落_design!$E176,0,掉落_design!I$2,1,1)&amp;";"&amp;OFFSET(掉落_design!$E176,0,掉落_design!I$2+1,1,1)&amp;";"&amp;OFFSET(掉落_design!$E176,0,掉落_design!I$2+2,1,1)&amp;";"&amp;OFFSET(掉落_design!$E176,0,掉落_design!I$2+3,1,1))</f>
        <v/>
      </c>
      <c r="K205" s="16" t="str">
        <f ca="1">IF(OFFSET(掉落_design!$E176,0,掉落_design!J$2,1,1)="","",OFFSET(掉落_design!$E176,0,掉落_design!J$2,1,1)&amp;";"&amp;OFFSET(掉落_design!$E176,0,掉落_design!J$2+1,1,1)&amp;";"&amp;OFFSET(掉落_design!$E176,0,掉落_design!J$2+2,1,1)&amp;";"&amp;OFFSET(掉落_design!$E176,0,掉落_design!J$2+3,1,1))</f>
        <v/>
      </c>
      <c r="L205" s="16" t="str">
        <f ca="1">IF(OFFSET(掉落_design!$E176,0,掉落_design!K$2,1,1)="","",OFFSET(掉落_design!$E176,0,掉落_design!K$2,1,1)&amp;";"&amp;OFFSET(掉落_design!$E176,0,掉落_design!K$2+1,1,1)&amp;";"&amp;OFFSET(掉落_design!$E176,0,掉落_design!K$2+2,1,1)&amp;";"&amp;OFFSET(掉落_design!$E176,0,掉落_design!K$2+3,1,1))</f>
        <v/>
      </c>
      <c r="M205" s="16" t="str">
        <f ca="1">IF(OFFSET(掉落_design!$E176,0,掉落_design!L$2,1,1)="","",OFFSET(掉落_design!$E176,0,掉落_design!L$2,1,1)&amp;";"&amp;OFFSET(掉落_design!$E176,0,掉落_design!L$2+1,1,1)&amp;";"&amp;OFFSET(掉落_design!$E176,0,掉落_design!L$2+2,1,1)&amp;";"&amp;OFFSET(掉落_design!$E176,0,掉落_design!L$2+3,1,1))</f>
        <v/>
      </c>
      <c r="N205" s="16" t="str">
        <f ca="1">IF(OFFSET(掉落_design!$E176,0,掉落_design!M$2,1,1)="","",OFFSET(掉落_design!$E176,0,掉落_design!M$2,1,1)&amp;";"&amp;OFFSET(掉落_design!$E176,0,掉落_design!M$2+1,1,1)&amp;";"&amp;OFFSET(掉落_design!$E176,0,掉落_design!M$2+2,1,1)&amp;";"&amp;OFFSET(掉落_design!$E176,0,掉落_design!M$2+3,1,1))</f>
        <v/>
      </c>
      <c r="O205" s="16" t="str">
        <f ca="1">IF(OFFSET(掉落_design!$E176,0,掉落_design!N$2,1,1)="","",OFFSET(掉落_design!$E176,0,掉落_design!N$2,1,1)&amp;";"&amp;OFFSET(掉落_design!$E176,0,掉落_design!N$2+1,1,1)&amp;";"&amp;OFFSET(掉落_design!$E176,0,掉落_design!N$2+2,1,1)&amp;";"&amp;OFFSET(掉落_design!$E176,0,掉落_design!N$2+3,1,1))</f>
        <v/>
      </c>
      <c r="P205" s="16" t="str">
        <f ca="1">IF(OFFSET(掉落_design!$E176,0,掉落_design!O$2,1,1)="","",OFFSET(掉落_design!$E176,0,掉落_design!O$2,1,1)&amp;";"&amp;OFFSET(掉落_design!$E176,0,掉落_design!O$2+1,1,1)&amp;";"&amp;OFFSET(掉落_design!$E176,0,掉落_design!O$2+2,1,1)&amp;";"&amp;OFFSET(掉落_design!$E176,0,掉落_design!O$2+3,1,1))</f>
        <v/>
      </c>
      <c r="Q205" s="25"/>
      <c r="R205" s="25"/>
      <c r="S205" s="25"/>
    </row>
    <row r="206" spans="1:19" x14ac:dyDescent="0.15">
      <c r="A206" s="11" t="str">
        <f t="shared" si="33"/>
        <v/>
      </c>
      <c r="B206" s="25"/>
      <c r="C206" s="25"/>
      <c r="D206" s="15" t="str">
        <f>IF(掉落_design!C177="","",掉落_design!C177)</f>
        <v/>
      </c>
      <c r="E206" s="15" t="str">
        <f>IF(A206="","",掉落_design!D177)</f>
        <v/>
      </c>
      <c r="F206" s="16" t="str">
        <f ca="1">IF(OFFSET(掉落_design!$E177,0,掉落_design!E$2,1,1)="","",OFFSET(掉落_design!$E177,0,掉落_design!E$2,1,1)&amp;";"&amp;OFFSET(掉落_design!$E177,0,掉落_design!E$2+1,1,1)&amp;";"&amp;OFFSET(掉落_design!$E177,0,掉落_design!E$2+2,1,1)&amp;";"&amp;OFFSET(掉落_design!$E177,0,掉落_design!E$2+3,1,1))</f>
        <v/>
      </c>
      <c r="G206" s="16" t="str">
        <f ca="1">IF(OFFSET(掉落_design!$E177,0,掉落_design!F$2,1,1)="","",OFFSET(掉落_design!$E177,0,掉落_design!F$2,1,1)&amp;";"&amp;OFFSET(掉落_design!$E177,0,掉落_design!F$2+1,1,1)&amp;";"&amp;OFFSET(掉落_design!$E177,0,掉落_design!F$2+2,1,1)&amp;";"&amp;OFFSET(掉落_design!$E177,0,掉落_design!F$2+3,1,1))</f>
        <v/>
      </c>
      <c r="H206" s="16" t="str">
        <f ca="1">IF(OFFSET(掉落_design!$E177,0,掉落_design!G$2,1,1)="","",OFFSET(掉落_design!$E177,0,掉落_design!G$2,1,1)&amp;";"&amp;OFFSET(掉落_design!$E177,0,掉落_design!G$2+1,1,1)&amp;";"&amp;OFFSET(掉落_design!$E177,0,掉落_design!G$2+2,1,1)&amp;";"&amp;OFFSET(掉落_design!$E177,0,掉落_design!G$2+3,1,1))</f>
        <v/>
      </c>
      <c r="I206" s="16" t="str">
        <f ca="1">IF(OFFSET(掉落_design!$E177,0,掉落_design!H$2,1,1)="","",OFFSET(掉落_design!$E177,0,掉落_design!H$2,1,1)&amp;";"&amp;OFFSET(掉落_design!$E177,0,掉落_design!H$2+1,1,1)&amp;";"&amp;OFFSET(掉落_design!$E177,0,掉落_design!H$2+2,1,1)&amp;";"&amp;OFFSET(掉落_design!$E177,0,掉落_design!H$2+3,1,1))</f>
        <v/>
      </c>
      <c r="J206" s="16" t="str">
        <f ca="1">IF(OFFSET(掉落_design!$E177,0,掉落_design!I$2,1,1)="","",OFFSET(掉落_design!$E177,0,掉落_design!I$2,1,1)&amp;";"&amp;OFFSET(掉落_design!$E177,0,掉落_design!I$2+1,1,1)&amp;";"&amp;OFFSET(掉落_design!$E177,0,掉落_design!I$2+2,1,1)&amp;";"&amp;OFFSET(掉落_design!$E177,0,掉落_design!I$2+3,1,1))</f>
        <v/>
      </c>
      <c r="K206" s="16" t="str">
        <f ca="1">IF(OFFSET(掉落_design!$E177,0,掉落_design!J$2,1,1)="","",OFFSET(掉落_design!$E177,0,掉落_design!J$2,1,1)&amp;";"&amp;OFFSET(掉落_design!$E177,0,掉落_design!J$2+1,1,1)&amp;";"&amp;OFFSET(掉落_design!$E177,0,掉落_design!J$2+2,1,1)&amp;";"&amp;OFFSET(掉落_design!$E177,0,掉落_design!J$2+3,1,1))</f>
        <v/>
      </c>
      <c r="L206" s="16" t="str">
        <f ca="1">IF(OFFSET(掉落_design!$E177,0,掉落_design!K$2,1,1)="","",OFFSET(掉落_design!$E177,0,掉落_design!K$2,1,1)&amp;";"&amp;OFFSET(掉落_design!$E177,0,掉落_design!K$2+1,1,1)&amp;";"&amp;OFFSET(掉落_design!$E177,0,掉落_design!K$2+2,1,1)&amp;";"&amp;OFFSET(掉落_design!$E177,0,掉落_design!K$2+3,1,1))</f>
        <v/>
      </c>
      <c r="M206" s="16" t="str">
        <f ca="1">IF(OFFSET(掉落_design!$E177,0,掉落_design!L$2,1,1)="","",OFFSET(掉落_design!$E177,0,掉落_design!L$2,1,1)&amp;";"&amp;OFFSET(掉落_design!$E177,0,掉落_design!L$2+1,1,1)&amp;";"&amp;OFFSET(掉落_design!$E177,0,掉落_design!L$2+2,1,1)&amp;";"&amp;OFFSET(掉落_design!$E177,0,掉落_design!L$2+3,1,1))</f>
        <v/>
      </c>
      <c r="N206" s="16" t="str">
        <f ca="1">IF(OFFSET(掉落_design!$E177,0,掉落_design!M$2,1,1)="","",OFFSET(掉落_design!$E177,0,掉落_design!M$2,1,1)&amp;";"&amp;OFFSET(掉落_design!$E177,0,掉落_design!M$2+1,1,1)&amp;";"&amp;OFFSET(掉落_design!$E177,0,掉落_design!M$2+2,1,1)&amp;";"&amp;OFFSET(掉落_design!$E177,0,掉落_design!M$2+3,1,1))</f>
        <v/>
      </c>
      <c r="O206" s="16" t="str">
        <f ca="1">IF(OFFSET(掉落_design!$E177,0,掉落_design!N$2,1,1)="","",OFFSET(掉落_design!$E177,0,掉落_design!N$2,1,1)&amp;";"&amp;OFFSET(掉落_design!$E177,0,掉落_design!N$2+1,1,1)&amp;";"&amp;OFFSET(掉落_design!$E177,0,掉落_design!N$2+2,1,1)&amp;";"&amp;OFFSET(掉落_design!$E177,0,掉落_design!N$2+3,1,1))</f>
        <v/>
      </c>
      <c r="P206" s="16" t="str">
        <f ca="1">IF(OFFSET(掉落_design!$E177,0,掉落_design!O$2,1,1)="","",OFFSET(掉落_design!$E177,0,掉落_design!O$2,1,1)&amp;";"&amp;OFFSET(掉落_design!$E177,0,掉落_design!O$2+1,1,1)&amp;";"&amp;OFFSET(掉落_design!$E177,0,掉落_design!O$2+2,1,1)&amp;";"&amp;OFFSET(掉落_design!$E177,0,掉落_design!O$2+3,1,1))</f>
        <v/>
      </c>
      <c r="Q206" s="25"/>
      <c r="R206" s="25"/>
      <c r="S206" s="25"/>
    </row>
    <row r="207" spans="1:19" x14ac:dyDescent="0.15">
      <c r="A207" s="11" t="str">
        <f t="shared" si="33"/>
        <v/>
      </c>
      <c r="B207" s="25"/>
      <c r="C207" s="25"/>
      <c r="D207" s="15" t="str">
        <f>IF(掉落_design!C178="","",掉落_design!C178)</f>
        <v/>
      </c>
      <c r="E207" s="15" t="str">
        <f>IF(A207="","",掉落_design!D178)</f>
        <v/>
      </c>
      <c r="F207" s="16" t="str">
        <f ca="1">IF(OFFSET(掉落_design!$E178,0,掉落_design!E$2,1,1)="","",OFFSET(掉落_design!$E178,0,掉落_design!E$2,1,1)&amp;";"&amp;OFFSET(掉落_design!$E178,0,掉落_design!E$2+1,1,1)&amp;";"&amp;OFFSET(掉落_design!$E178,0,掉落_design!E$2+2,1,1)&amp;";"&amp;OFFSET(掉落_design!$E178,0,掉落_design!E$2+3,1,1))</f>
        <v/>
      </c>
      <c r="G207" s="16" t="str">
        <f ca="1">IF(OFFSET(掉落_design!$E178,0,掉落_design!F$2,1,1)="","",OFFSET(掉落_design!$E178,0,掉落_design!F$2,1,1)&amp;";"&amp;OFFSET(掉落_design!$E178,0,掉落_design!F$2+1,1,1)&amp;";"&amp;OFFSET(掉落_design!$E178,0,掉落_design!F$2+2,1,1)&amp;";"&amp;OFFSET(掉落_design!$E178,0,掉落_design!F$2+3,1,1))</f>
        <v/>
      </c>
      <c r="H207" s="16" t="str">
        <f ca="1">IF(OFFSET(掉落_design!$E178,0,掉落_design!G$2,1,1)="","",OFFSET(掉落_design!$E178,0,掉落_design!G$2,1,1)&amp;";"&amp;OFFSET(掉落_design!$E178,0,掉落_design!G$2+1,1,1)&amp;";"&amp;OFFSET(掉落_design!$E178,0,掉落_design!G$2+2,1,1)&amp;";"&amp;OFFSET(掉落_design!$E178,0,掉落_design!G$2+3,1,1))</f>
        <v/>
      </c>
      <c r="I207" s="16" t="str">
        <f ca="1">IF(OFFSET(掉落_design!$E178,0,掉落_design!H$2,1,1)="","",OFFSET(掉落_design!$E178,0,掉落_design!H$2,1,1)&amp;";"&amp;OFFSET(掉落_design!$E178,0,掉落_design!H$2+1,1,1)&amp;";"&amp;OFFSET(掉落_design!$E178,0,掉落_design!H$2+2,1,1)&amp;";"&amp;OFFSET(掉落_design!$E178,0,掉落_design!H$2+3,1,1))</f>
        <v/>
      </c>
      <c r="J207" s="16" t="str">
        <f ca="1">IF(OFFSET(掉落_design!$E178,0,掉落_design!I$2,1,1)="","",OFFSET(掉落_design!$E178,0,掉落_design!I$2,1,1)&amp;";"&amp;OFFSET(掉落_design!$E178,0,掉落_design!I$2+1,1,1)&amp;";"&amp;OFFSET(掉落_design!$E178,0,掉落_design!I$2+2,1,1)&amp;";"&amp;OFFSET(掉落_design!$E178,0,掉落_design!I$2+3,1,1))</f>
        <v/>
      </c>
      <c r="K207" s="16" t="str">
        <f ca="1">IF(OFFSET(掉落_design!$E178,0,掉落_design!J$2,1,1)="","",OFFSET(掉落_design!$E178,0,掉落_design!J$2,1,1)&amp;";"&amp;OFFSET(掉落_design!$E178,0,掉落_design!J$2+1,1,1)&amp;";"&amp;OFFSET(掉落_design!$E178,0,掉落_design!J$2+2,1,1)&amp;";"&amp;OFFSET(掉落_design!$E178,0,掉落_design!J$2+3,1,1))</f>
        <v/>
      </c>
      <c r="L207" s="16" t="str">
        <f ca="1">IF(OFFSET(掉落_design!$E178,0,掉落_design!K$2,1,1)="","",OFFSET(掉落_design!$E178,0,掉落_design!K$2,1,1)&amp;";"&amp;OFFSET(掉落_design!$E178,0,掉落_design!K$2+1,1,1)&amp;";"&amp;OFFSET(掉落_design!$E178,0,掉落_design!K$2+2,1,1)&amp;";"&amp;OFFSET(掉落_design!$E178,0,掉落_design!K$2+3,1,1))</f>
        <v/>
      </c>
      <c r="M207" s="16" t="str">
        <f ca="1">IF(OFFSET(掉落_design!$E178,0,掉落_design!L$2,1,1)="","",OFFSET(掉落_design!$E178,0,掉落_design!L$2,1,1)&amp;";"&amp;OFFSET(掉落_design!$E178,0,掉落_design!L$2+1,1,1)&amp;";"&amp;OFFSET(掉落_design!$E178,0,掉落_design!L$2+2,1,1)&amp;";"&amp;OFFSET(掉落_design!$E178,0,掉落_design!L$2+3,1,1))</f>
        <v/>
      </c>
      <c r="N207" s="16" t="str">
        <f ca="1">IF(OFFSET(掉落_design!$E178,0,掉落_design!M$2,1,1)="","",OFFSET(掉落_design!$E178,0,掉落_design!M$2,1,1)&amp;";"&amp;OFFSET(掉落_design!$E178,0,掉落_design!M$2+1,1,1)&amp;";"&amp;OFFSET(掉落_design!$E178,0,掉落_design!M$2+2,1,1)&amp;";"&amp;OFFSET(掉落_design!$E178,0,掉落_design!M$2+3,1,1))</f>
        <v/>
      </c>
      <c r="O207" s="16" t="str">
        <f ca="1">IF(OFFSET(掉落_design!$E178,0,掉落_design!N$2,1,1)="","",OFFSET(掉落_design!$E178,0,掉落_design!N$2,1,1)&amp;";"&amp;OFFSET(掉落_design!$E178,0,掉落_design!N$2+1,1,1)&amp;";"&amp;OFFSET(掉落_design!$E178,0,掉落_design!N$2+2,1,1)&amp;";"&amp;OFFSET(掉落_design!$E178,0,掉落_design!N$2+3,1,1))</f>
        <v/>
      </c>
      <c r="P207" s="16" t="str">
        <f ca="1">IF(OFFSET(掉落_design!$E178,0,掉落_design!O$2,1,1)="","",OFFSET(掉落_design!$E178,0,掉落_design!O$2,1,1)&amp;";"&amp;OFFSET(掉落_design!$E178,0,掉落_design!O$2+1,1,1)&amp;";"&amp;OFFSET(掉落_design!$E178,0,掉落_design!O$2+2,1,1)&amp;";"&amp;OFFSET(掉落_design!$E178,0,掉落_design!O$2+3,1,1))</f>
        <v/>
      </c>
      <c r="Q207" s="25"/>
      <c r="R207" s="25"/>
      <c r="S207" s="25"/>
    </row>
    <row r="208" spans="1:19" x14ac:dyDescent="0.15">
      <c r="A208" s="11" t="str">
        <f t="shared" si="33"/>
        <v/>
      </c>
      <c r="B208" s="25"/>
      <c r="C208" s="25"/>
      <c r="D208" s="15" t="str">
        <f>IF(掉落_design!C179="","",掉落_design!C179)</f>
        <v/>
      </c>
      <c r="E208" s="15" t="str">
        <f>IF(A208="","",掉落_design!D179)</f>
        <v/>
      </c>
      <c r="F208" s="16" t="str">
        <f ca="1">IF(OFFSET(掉落_design!$E179,0,掉落_design!E$2,1,1)="","",OFFSET(掉落_design!$E179,0,掉落_design!E$2,1,1)&amp;";"&amp;OFFSET(掉落_design!$E179,0,掉落_design!E$2+1,1,1)&amp;";"&amp;OFFSET(掉落_design!$E179,0,掉落_design!E$2+2,1,1)&amp;";"&amp;OFFSET(掉落_design!$E179,0,掉落_design!E$2+3,1,1))</f>
        <v/>
      </c>
      <c r="G208" s="16" t="str">
        <f ca="1">IF(OFFSET(掉落_design!$E179,0,掉落_design!F$2,1,1)="","",OFFSET(掉落_design!$E179,0,掉落_design!F$2,1,1)&amp;";"&amp;OFFSET(掉落_design!$E179,0,掉落_design!F$2+1,1,1)&amp;";"&amp;OFFSET(掉落_design!$E179,0,掉落_design!F$2+2,1,1)&amp;";"&amp;OFFSET(掉落_design!$E179,0,掉落_design!F$2+3,1,1))</f>
        <v/>
      </c>
      <c r="H208" s="16" t="str">
        <f ca="1">IF(OFFSET(掉落_design!$E179,0,掉落_design!G$2,1,1)="","",OFFSET(掉落_design!$E179,0,掉落_design!G$2,1,1)&amp;";"&amp;OFFSET(掉落_design!$E179,0,掉落_design!G$2+1,1,1)&amp;";"&amp;OFFSET(掉落_design!$E179,0,掉落_design!G$2+2,1,1)&amp;";"&amp;OFFSET(掉落_design!$E179,0,掉落_design!G$2+3,1,1))</f>
        <v/>
      </c>
      <c r="I208" s="16" t="str">
        <f ca="1">IF(OFFSET(掉落_design!$E179,0,掉落_design!H$2,1,1)="","",OFFSET(掉落_design!$E179,0,掉落_design!H$2,1,1)&amp;";"&amp;OFFSET(掉落_design!$E179,0,掉落_design!H$2+1,1,1)&amp;";"&amp;OFFSET(掉落_design!$E179,0,掉落_design!H$2+2,1,1)&amp;";"&amp;OFFSET(掉落_design!$E179,0,掉落_design!H$2+3,1,1))</f>
        <v/>
      </c>
      <c r="J208" s="16" t="str">
        <f ca="1">IF(OFFSET(掉落_design!$E179,0,掉落_design!I$2,1,1)="","",OFFSET(掉落_design!$E179,0,掉落_design!I$2,1,1)&amp;";"&amp;OFFSET(掉落_design!$E179,0,掉落_design!I$2+1,1,1)&amp;";"&amp;OFFSET(掉落_design!$E179,0,掉落_design!I$2+2,1,1)&amp;";"&amp;OFFSET(掉落_design!$E179,0,掉落_design!I$2+3,1,1))</f>
        <v/>
      </c>
      <c r="K208" s="16" t="str">
        <f ca="1">IF(OFFSET(掉落_design!$E179,0,掉落_design!J$2,1,1)="","",OFFSET(掉落_design!$E179,0,掉落_design!J$2,1,1)&amp;";"&amp;OFFSET(掉落_design!$E179,0,掉落_design!J$2+1,1,1)&amp;";"&amp;OFFSET(掉落_design!$E179,0,掉落_design!J$2+2,1,1)&amp;";"&amp;OFFSET(掉落_design!$E179,0,掉落_design!J$2+3,1,1))</f>
        <v/>
      </c>
      <c r="L208" s="16" t="str">
        <f ca="1">IF(OFFSET(掉落_design!$E179,0,掉落_design!K$2,1,1)="","",OFFSET(掉落_design!$E179,0,掉落_design!K$2,1,1)&amp;";"&amp;OFFSET(掉落_design!$E179,0,掉落_design!K$2+1,1,1)&amp;";"&amp;OFFSET(掉落_design!$E179,0,掉落_design!K$2+2,1,1)&amp;";"&amp;OFFSET(掉落_design!$E179,0,掉落_design!K$2+3,1,1))</f>
        <v/>
      </c>
      <c r="M208" s="16" t="str">
        <f ca="1">IF(OFFSET(掉落_design!$E179,0,掉落_design!L$2,1,1)="","",OFFSET(掉落_design!$E179,0,掉落_design!L$2,1,1)&amp;";"&amp;OFFSET(掉落_design!$E179,0,掉落_design!L$2+1,1,1)&amp;";"&amp;OFFSET(掉落_design!$E179,0,掉落_design!L$2+2,1,1)&amp;";"&amp;OFFSET(掉落_design!$E179,0,掉落_design!L$2+3,1,1))</f>
        <v/>
      </c>
      <c r="N208" s="16" t="str">
        <f ca="1">IF(OFFSET(掉落_design!$E179,0,掉落_design!M$2,1,1)="","",OFFSET(掉落_design!$E179,0,掉落_design!M$2,1,1)&amp;";"&amp;OFFSET(掉落_design!$E179,0,掉落_design!M$2+1,1,1)&amp;";"&amp;OFFSET(掉落_design!$E179,0,掉落_design!M$2+2,1,1)&amp;";"&amp;OFFSET(掉落_design!$E179,0,掉落_design!M$2+3,1,1))</f>
        <v/>
      </c>
      <c r="O208" s="16" t="str">
        <f ca="1">IF(OFFSET(掉落_design!$E179,0,掉落_design!N$2,1,1)="","",OFFSET(掉落_design!$E179,0,掉落_design!N$2,1,1)&amp;";"&amp;OFFSET(掉落_design!$E179,0,掉落_design!N$2+1,1,1)&amp;";"&amp;OFFSET(掉落_design!$E179,0,掉落_design!N$2+2,1,1)&amp;";"&amp;OFFSET(掉落_design!$E179,0,掉落_design!N$2+3,1,1))</f>
        <v/>
      </c>
      <c r="P208" s="16" t="str">
        <f ca="1">IF(OFFSET(掉落_design!$E179,0,掉落_design!O$2,1,1)="","",OFFSET(掉落_design!$E179,0,掉落_design!O$2,1,1)&amp;";"&amp;OFFSET(掉落_design!$E179,0,掉落_design!O$2+1,1,1)&amp;";"&amp;OFFSET(掉落_design!$E179,0,掉落_design!O$2+2,1,1)&amp;";"&amp;OFFSET(掉落_design!$E179,0,掉落_design!O$2+3,1,1))</f>
        <v/>
      </c>
      <c r="Q208" s="25"/>
      <c r="R208" s="25"/>
      <c r="S208" s="25"/>
    </row>
    <row r="209" spans="1:19" x14ac:dyDescent="0.15">
      <c r="A209" s="11" t="str">
        <f t="shared" si="33"/>
        <v/>
      </c>
      <c r="B209" s="25"/>
      <c r="C209" s="25"/>
      <c r="D209" s="15" t="str">
        <f>IF(掉落_design!C180="","",掉落_design!C180)</f>
        <v/>
      </c>
      <c r="E209" s="15" t="str">
        <f>IF(A209="","",掉落_design!D180)</f>
        <v/>
      </c>
      <c r="F209" s="16" t="str">
        <f ca="1">IF(OFFSET(掉落_design!$E180,0,掉落_design!E$2,1,1)="","",OFFSET(掉落_design!$E180,0,掉落_design!E$2,1,1)&amp;";"&amp;OFFSET(掉落_design!$E180,0,掉落_design!E$2+1,1,1)&amp;";"&amp;OFFSET(掉落_design!$E180,0,掉落_design!E$2+2,1,1)&amp;";"&amp;OFFSET(掉落_design!$E180,0,掉落_design!E$2+3,1,1))</f>
        <v/>
      </c>
      <c r="G209" s="16" t="str">
        <f ca="1">IF(OFFSET(掉落_design!$E180,0,掉落_design!F$2,1,1)="","",OFFSET(掉落_design!$E180,0,掉落_design!F$2,1,1)&amp;";"&amp;OFFSET(掉落_design!$E180,0,掉落_design!F$2+1,1,1)&amp;";"&amp;OFFSET(掉落_design!$E180,0,掉落_design!F$2+2,1,1)&amp;";"&amp;OFFSET(掉落_design!$E180,0,掉落_design!F$2+3,1,1))</f>
        <v/>
      </c>
      <c r="H209" s="16" t="str">
        <f ca="1">IF(OFFSET(掉落_design!$E180,0,掉落_design!G$2,1,1)="","",OFFSET(掉落_design!$E180,0,掉落_design!G$2,1,1)&amp;";"&amp;OFFSET(掉落_design!$E180,0,掉落_design!G$2+1,1,1)&amp;";"&amp;OFFSET(掉落_design!$E180,0,掉落_design!G$2+2,1,1)&amp;";"&amp;OFFSET(掉落_design!$E180,0,掉落_design!G$2+3,1,1))</f>
        <v/>
      </c>
      <c r="I209" s="16" t="str">
        <f ca="1">IF(OFFSET(掉落_design!$E180,0,掉落_design!H$2,1,1)="","",OFFSET(掉落_design!$E180,0,掉落_design!H$2,1,1)&amp;";"&amp;OFFSET(掉落_design!$E180,0,掉落_design!H$2+1,1,1)&amp;";"&amp;OFFSET(掉落_design!$E180,0,掉落_design!H$2+2,1,1)&amp;";"&amp;OFFSET(掉落_design!$E180,0,掉落_design!H$2+3,1,1))</f>
        <v/>
      </c>
      <c r="J209" s="16" t="str">
        <f ca="1">IF(OFFSET(掉落_design!$E180,0,掉落_design!I$2,1,1)="","",OFFSET(掉落_design!$E180,0,掉落_design!I$2,1,1)&amp;";"&amp;OFFSET(掉落_design!$E180,0,掉落_design!I$2+1,1,1)&amp;";"&amp;OFFSET(掉落_design!$E180,0,掉落_design!I$2+2,1,1)&amp;";"&amp;OFFSET(掉落_design!$E180,0,掉落_design!I$2+3,1,1))</f>
        <v/>
      </c>
      <c r="K209" s="16" t="str">
        <f ca="1">IF(OFFSET(掉落_design!$E180,0,掉落_design!J$2,1,1)="","",OFFSET(掉落_design!$E180,0,掉落_design!J$2,1,1)&amp;";"&amp;OFFSET(掉落_design!$E180,0,掉落_design!J$2+1,1,1)&amp;";"&amp;OFFSET(掉落_design!$E180,0,掉落_design!J$2+2,1,1)&amp;";"&amp;OFFSET(掉落_design!$E180,0,掉落_design!J$2+3,1,1))</f>
        <v/>
      </c>
      <c r="L209" s="16" t="str">
        <f ca="1">IF(OFFSET(掉落_design!$E180,0,掉落_design!K$2,1,1)="","",OFFSET(掉落_design!$E180,0,掉落_design!K$2,1,1)&amp;";"&amp;OFFSET(掉落_design!$E180,0,掉落_design!K$2+1,1,1)&amp;";"&amp;OFFSET(掉落_design!$E180,0,掉落_design!K$2+2,1,1)&amp;";"&amp;OFFSET(掉落_design!$E180,0,掉落_design!K$2+3,1,1))</f>
        <v/>
      </c>
      <c r="M209" s="16" t="str">
        <f ca="1">IF(OFFSET(掉落_design!$E180,0,掉落_design!L$2,1,1)="","",OFFSET(掉落_design!$E180,0,掉落_design!L$2,1,1)&amp;";"&amp;OFFSET(掉落_design!$E180,0,掉落_design!L$2+1,1,1)&amp;";"&amp;OFFSET(掉落_design!$E180,0,掉落_design!L$2+2,1,1)&amp;";"&amp;OFFSET(掉落_design!$E180,0,掉落_design!L$2+3,1,1))</f>
        <v/>
      </c>
      <c r="N209" s="16" t="str">
        <f ca="1">IF(OFFSET(掉落_design!$E180,0,掉落_design!M$2,1,1)="","",OFFSET(掉落_design!$E180,0,掉落_design!M$2,1,1)&amp;";"&amp;OFFSET(掉落_design!$E180,0,掉落_design!M$2+1,1,1)&amp;";"&amp;OFFSET(掉落_design!$E180,0,掉落_design!M$2+2,1,1)&amp;";"&amp;OFFSET(掉落_design!$E180,0,掉落_design!M$2+3,1,1))</f>
        <v/>
      </c>
      <c r="O209" s="16" t="str">
        <f ca="1">IF(OFFSET(掉落_design!$E180,0,掉落_design!N$2,1,1)="","",OFFSET(掉落_design!$E180,0,掉落_design!N$2,1,1)&amp;";"&amp;OFFSET(掉落_design!$E180,0,掉落_design!N$2+1,1,1)&amp;";"&amp;OFFSET(掉落_design!$E180,0,掉落_design!N$2+2,1,1)&amp;";"&amp;OFFSET(掉落_design!$E180,0,掉落_design!N$2+3,1,1))</f>
        <v/>
      </c>
      <c r="P209" s="16" t="str">
        <f ca="1">IF(OFFSET(掉落_design!$E180,0,掉落_design!O$2,1,1)="","",OFFSET(掉落_design!$E180,0,掉落_design!O$2,1,1)&amp;";"&amp;OFFSET(掉落_design!$E180,0,掉落_design!O$2+1,1,1)&amp;";"&amp;OFFSET(掉落_design!$E180,0,掉落_design!O$2+2,1,1)&amp;";"&amp;OFFSET(掉落_design!$E180,0,掉落_design!O$2+3,1,1))</f>
        <v/>
      </c>
      <c r="Q209" s="25"/>
      <c r="R209" s="25"/>
      <c r="S209" s="25"/>
    </row>
    <row r="210" spans="1:19" x14ac:dyDescent="0.15">
      <c r="A210" s="11" t="str">
        <f t="shared" si="33"/>
        <v/>
      </c>
      <c r="B210" s="25"/>
      <c r="C210" s="25"/>
      <c r="D210" s="15" t="str">
        <f>IF(掉落_design!C181="","",掉落_design!C181)</f>
        <v/>
      </c>
      <c r="E210" s="15" t="str">
        <f>IF(A210="","",掉落_design!D181)</f>
        <v/>
      </c>
      <c r="F210" s="16" t="str">
        <f ca="1">IF(OFFSET(掉落_design!$E181,0,掉落_design!E$2,1,1)="","",OFFSET(掉落_design!$E181,0,掉落_design!E$2,1,1)&amp;";"&amp;OFFSET(掉落_design!$E181,0,掉落_design!E$2+1,1,1)&amp;";"&amp;OFFSET(掉落_design!$E181,0,掉落_design!E$2+2,1,1)&amp;";"&amp;OFFSET(掉落_design!$E181,0,掉落_design!E$2+3,1,1))</f>
        <v/>
      </c>
      <c r="G210" s="16" t="str">
        <f ca="1">IF(OFFSET(掉落_design!$E181,0,掉落_design!F$2,1,1)="","",OFFSET(掉落_design!$E181,0,掉落_design!F$2,1,1)&amp;";"&amp;OFFSET(掉落_design!$E181,0,掉落_design!F$2+1,1,1)&amp;";"&amp;OFFSET(掉落_design!$E181,0,掉落_design!F$2+2,1,1)&amp;";"&amp;OFFSET(掉落_design!$E181,0,掉落_design!F$2+3,1,1))</f>
        <v/>
      </c>
      <c r="H210" s="16" t="str">
        <f ca="1">IF(OFFSET(掉落_design!$E181,0,掉落_design!G$2,1,1)="","",OFFSET(掉落_design!$E181,0,掉落_design!G$2,1,1)&amp;";"&amp;OFFSET(掉落_design!$E181,0,掉落_design!G$2+1,1,1)&amp;";"&amp;OFFSET(掉落_design!$E181,0,掉落_design!G$2+2,1,1)&amp;";"&amp;OFFSET(掉落_design!$E181,0,掉落_design!G$2+3,1,1))</f>
        <v/>
      </c>
      <c r="I210" s="16" t="str">
        <f ca="1">IF(OFFSET(掉落_design!$E181,0,掉落_design!H$2,1,1)="","",OFFSET(掉落_design!$E181,0,掉落_design!H$2,1,1)&amp;";"&amp;OFFSET(掉落_design!$E181,0,掉落_design!H$2+1,1,1)&amp;";"&amp;OFFSET(掉落_design!$E181,0,掉落_design!H$2+2,1,1)&amp;";"&amp;OFFSET(掉落_design!$E181,0,掉落_design!H$2+3,1,1))</f>
        <v/>
      </c>
      <c r="J210" s="16" t="str">
        <f ca="1">IF(OFFSET(掉落_design!$E181,0,掉落_design!I$2,1,1)="","",OFFSET(掉落_design!$E181,0,掉落_design!I$2,1,1)&amp;";"&amp;OFFSET(掉落_design!$E181,0,掉落_design!I$2+1,1,1)&amp;";"&amp;OFFSET(掉落_design!$E181,0,掉落_design!I$2+2,1,1)&amp;";"&amp;OFFSET(掉落_design!$E181,0,掉落_design!I$2+3,1,1))</f>
        <v/>
      </c>
      <c r="K210" s="16" t="str">
        <f ca="1">IF(OFFSET(掉落_design!$E181,0,掉落_design!J$2,1,1)="","",OFFSET(掉落_design!$E181,0,掉落_design!J$2,1,1)&amp;";"&amp;OFFSET(掉落_design!$E181,0,掉落_design!J$2+1,1,1)&amp;";"&amp;OFFSET(掉落_design!$E181,0,掉落_design!J$2+2,1,1)&amp;";"&amp;OFFSET(掉落_design!$E181,0,掉落_design!J$2+3,1,1))</f>
        <v/>
      </c>
      <c r="L210" s="16" t="str">
        <f ca="1">IF(OFFSET(掉落_design!$E181,0,掉落_design!K$2,1,1)="","",OFFSET(掉落_design!$E181,0,掉落_design!K$2,1,1)&amp;";"&amp;OFFSET(掉落_design!$E181,0,掉落_design!K$2+1,1,1)&amp;";"&amp;OFFSET(掉落_design!$E181,0,掉落_design!K$2+2,1,1)&amp;";"&amp;OFFSET(掉落_design!$E181,0,掉落_design!K$2+3,1,1))</f>
        <v/>
      </c>
      <c r="M210" s="16" t="str">
        <f ca="1">IF(OFFSET(掉落_design!$E181,0,掉落_design!L$2,1,1)="","",OFFSET(掉落_design!$E181,0,掉落_design!L$2,1,1)&amp;";"&amp;OFFSET(掉落_design!$E181,0,掉落_design!L$2+1,1,1)&amp;";"&amp;OFFSET(掉落_design!$E181,0,掉落_design!L$2+2,1,1)&amp;";"&amp;OFFSET(掉落_design!$E181,0,掉落_design!L$2+3,1,1))</f>
        <v/>
      </c>
      <c r="N210" s="16" t="str">
        <f ca="1">IF(OFFSET(掉落_design!$E181,0,掉落_design!M$2,1,1)="","",OFFSET(掉落_design!$E181,0,掉落_design!M$2,1,1)&amp;";"&amp;OFFSET(掉落_design!$E181,0,掉落_design!M$2+1,1,1)&amp;";"&amp;OFFSET(掉落_design!$E181,0,掉落_design!M$2+2,1,1)&amp;";"&amp;OFFSET(掉落_design!$E181,0,掉落_design!M$2+3,1,1))</f>
        <v/>
      </c>
      <c r="O210" s="16" t="str">
        <f ca="1">IF(OFFSET(掉落_design!$E181,0,掉落_design!N$2,1,1)="","",OFFSET(掉落_design!$E181,0,掉落_design!N$2,1,1)&amp;";"&amp;OFFSET(掉落_design!$E181,0,掉落_design!N$2+1,1,1)&amp;";"&amp;OFFSET(掉落_design!$E181,0,掉落_design!N$2+2,1,1)&amp;";"&amp;OFFSET(掉落_design!$E181,0,掉落_design!N$2+3,1,1))</f>
        <v/>
      </c>
      <c r="P210" s="16" t="str">
        <f ca="1">IF(OFFSET(掉落_design!$E181,0,掉落_design!O$2,1,1)="","",OFFSET(掉落_design!$E181,0,掉落_design!O$2,1,1)&amp;";"&amp;OFFSET(掉落_design!$E181,0,掉落_design!O$2+1,1,1)&amp;";"&amp;OFFSET(掉落_design!$E181,0,掉落_design!O$2+2,1,1)&amp;";"&amp;OFFSET(掉落_design!$E181,0,掉落_design!O$2+3,1,1))</f>
        <v/>
      </c>
      <c r="Q210" s="25"/>
      <c r="R210" s="25"/>
      <c r="S210" s="25"/>
    </row>
    <row r="211" spans="1:19" x14ac:dyDescent="0.15">
      <c r="A211" s="11" t="str">
        <f t="shared" si="33"/>
        <v/>
      </c>
      <c r="B211" s="25"/>
      <c r="C211" s="25"/>
      <c r="D211" s="15" t="str">
        <f>IF(掉落_design!C182="","",掉落_design!C182)</f>
        <v/>
      </c>
      <c r="E211" s="15" t="str">
        <f>IF(A211="","",掉落_design!D182)</f>
        <v/>
      </c>
      <c r="F211" s="16" t="str">
        <f ca="1">IF(OFFSET(掉落_design!$E182,0,掉落_design!E$2,1,1)="","",OFFSET(掉落_design!$E182,0,掉落_design!E$2,1,1)&amp;";"&amp;OFFSET(掉落_design!$E182,0,掉落_design!E$2+1,1,1)&amp;";"&amp;OFFSET(掉落_design!$E182,0,掉落_design!E$2+2,1,1)&amp;";"&amp;OFFSET(掉落_design!$E182,0,掉落_design!E$2+3,1,1))</f>
        <v/>
      </c>
      <c r="G211" s="16" t="str">
        <f ca="1">IF(OFFSET(掉落_design!$E182,0,掉落_design!F$2,1,1)="","",OFFSET(掉落_design!$E182,0,掉落_design!F$2,1,1)&amp;";"&amp;OFFSET(掉落_design!$E182,0,掉落_design!F$2+1,1,1)&amp;";"&amp;OFFSET(掉落_design!$E182,0,掉落_design!F$2+2,1,1)&amp;";"&amp;OFFSET(掉落_design!$E182,0,掉落_design!F$2+3,1,1))</f>
        <v/>
      </c>
      <c r="H211" s="16" t="str">
        <f ca="1">IF(OFFSET(掉落_design!$E182,0,掉落_design!G$2,1,1)="","",OFFSET(掉落_design!$E182,0,掉落_design!G$2,1,1)&amp;";"&amp;OFFSET(掉落_design!$E182,0,掉落_design!G$2+1,1,1)&amp;";"&amp;OFFSET(掉落_design!$E182,0,掉落_design!G$2+2,1,1)&amp;";"&amp;OFFSET(掉落_design!$E182,0,掉落_design!G$2+3,1,1))</f>
        <v/>
      </c>
      <c r="I211" s="16" t="str">
        <f ca="1">IF(OFFSET(掉落_design!$E182,0,掉落_design!H$2,1,1)="","",OFFSET(掉落_design!$E182,0,掉落_design!H$2,1,1)&amp;";"&amp;OFFSET(掉落_design!$E182,0,掉落_design!H$2+1,1,1)&amp;";"&amp;OFFSET(掉落_design!$E182,0,掉落_design!H$2+2,1,1)&amp;";"&amp;OFFSET(掉落_design!$E182,0,掉落_design!H$2+3,1,1))</f>
        <v/>
      </c>
      <c r="J211" s="16" t="str">
        <f ca="1">IF(OFFSET(掉落_design!$E182,0,掉落_design!I$2,1,1)="","",OFFSET(掉落_design!$E182,0,掉落_design!I$2,1,1)&amp;";"&amp;OFFSET(掉落_design!$E182,0,掉落_design!I$2+1,1,1)&amp;";"&amp;OFFSET(掉落_design!$E182,0,掉落_design!I$2+2,1,1)&amp;";"&amp;OFFSET(掉落_design!$E182,0,掉落_design!I$2+3,1,1))</f>
        <v/>
      </c>
      <c r="K211" s="16" t="str">
        <f ca="1">IF(OFFSET(掉落_design!$E182,0,掉落_design!J$2,1,1)="","",OFFSET(掉落_design!$E182,0,掉落_design!J$2,1,1)&amp;";"&amp;OFFSET(掉落_design!$E182,0,掉落_design!J$2+1,1,1)&amp;";"&amp;OFFSET(掉落_design!$E182,0,掉落_design!J$2+2,1,1)&amp;";"&amp;OFFSET(掉落_design!$E182,0,掉落_design!J$2+3,1,1))</f>
        <v/>
      </c>
      <c r="L211" s="16" t="str">
        <f ca="1">IF(OFFSET(掉落_design!$E182,0,掉落_design!K$2,1,1)="","",OFFSET(掉落_design!$E182,0,掉落_design!K$2,1,1)&amp;";"&amp;OFFSET(掉落_design!$E182,0,掉落_design!K$2+1,1,1)&amp;";"&amp;OFFSET(掉落_design!$E182,0,掉落_design!K$2+2,1,1)&amp;";"&amp;OFFSET(掉落_design!$E182,0,掉落_design!K$2+3,1,1))</f>
        <v/>
      </c>
      <c r="M211" s="16" t="str">
        <f ca="1">IF(OFFSET(掉落_design!$E182,0,掉落_design!L$2,1,1)="","",OFFSET(掉落_design!$E182,0,掉落_design!L$2,1,1)&amp;";"&amp;OFFSET(掉落_design!$E182,0,掉落_design!L$2+1,1,1)&amp;";"&amp;OFFSET(掉落_design!$E182,0,掉落_design!L$2+2,1,1)&amp;";"&amp;OFFSET(掉落_design!$E182,0,掉落_design!L$2+3,1,1))</f>
        <v/>
      </c>
      <c r="N211" s="16" t="str">
        <f ca="1">IF(OFFSET(掉落_design!$E182,0,掉落_design!M$2,1,1)="","",OFFSET(掉落_design!$E182,0,掉落_design!M$2,1,1)&amp;";"&amp;OFFSET(掉落_design!$E182,0,掉落_design!M$2+1,1,1)&amp;";"&amp;OFFSET(掉落_design!$E182,0,掉落_design!M$2+2,1,1)&amp;";"&amp;OFFSET(掉落_design!$E182,0,掉落_design!M$2+3,1,1))</f>
        <v/>
      </c>
      <c r="O211" s="16" t="str">
        <f ca="1">IF(OFFSET(掉落_design!$E182,0,掉落_design!N$2,1,1)="","",OFFSET(掉落_design!$E182,0,掉落_design!N$2,1,1)&amp;";"&amp;OFFSET(掉落_design!$E182,0,掉落_design!N$2+1,1,1)&amp;";"&amp;OFFSET(掉落_design!$E182,0,掉落_design!N$2+2,1,1)&amp;";"&amp;OFFSET(掉落_design!$E182,0,掉落_design!N$2+3,1,1))</f>
        <v/>
      </c>
      <c r="P211" s="16" t="str">
        <f ca="1">IF(OFFSET(掉落_design!$E182,0,掉落_design!O$2,1,1)="","",OFFSET(掉落_design!$E182,0,掉落_design!O$2,1,1)&amp;";"&amp;OFFSET(掉落_design!$E182,0,掉落_design!O$2+1,1,1)&amp;";"&amp;OFFSET(掉落_design!$E182,0,掉落_design!O$2+2,1,1)&amp;";"&amp;OFFSET(掉落_design!$E182,0,掉落_design!O$2+3,1,1))</f>
        <v/>
      </c>
      <c r="Q211" s="25"/>
      <c r="R211" s="25"/>
      <c r="S211" s="25"/>
    </row>
    <row r="212" spans="1:19" x14ac:dyDescent="0.15">
      <c r="A212" s="11" t="str">
        <f t="shared" si="33"/>
        <v/>
      </c>
      <c r="B212" s="25"/>
      <c r="C212" s="25"/>
      <c r="D212" s="15" t="str">
        <f>IF(掉落_design!C183="","",掉落_design!C183)</f>
        <v/>
      </c>
      <c r="E212" s="15" t="str">
        <f>IF(A212="","",掉落_design!D183)</f>
        <v/>
      </c>
      <c r="F212" s="16" t="str">
        <f ca="1">IF(OFFSET(掉落_design!$E183,0,掉落_design!E$2,1,1)="","",OFFSET(掉落_design!$E183,0,掉落_design!E$2,1,1)&amp;";"&amp;OFFSET(掉落_design!$E183,0,掉落_design!E$2+1,1,1)&amp;";"&amp;OFFSET(掉落_design!$E183,0,掉落_design!E$2+2,1,1)&amp;";"&amp;OFFSET(掉落_design!$E183,0,掉落_design!E$2+3,1,1))</f>
        <v/>
      </c>
      <c r="G212" s="16" t="str">
        <f ca="1">IF(OFFSET(掉落_design!$E183,0,掉落_design!F$2,1,1)="","",OFFSET(掉落_design!$E183,0,掉落_design!F$2,1,1)&amp;";"&amp;OFFSET(掉落_design!$E183,0,掉落_design!F$2+1,1,1)&amp;";"&amp;OFFSET(掉落_design!$E183,0,掉落_design!F$2+2,1,1)&amp;";"&amp;OFFSET(掉落_design!$E183,0,掉落_design!F$2+3,1,1))</f>
        <v/>
      </c>
      <c r="H212" s="16" t="str">
        <f ca="1">IF(OFFSET(掉落_design!$E183,0,掉落_design!G$2,1,1)="","",OFFSET(掉落_design!$E183,0,掉落_design!G$2,1,1)&amp;";"&amp;OFFSET(掉落_design!$E183,0,掉落_design!G$2+1,1,1)&amp;";"&amp;OFFSET(掉落_design!$E183,0,掉落_design!G$2+2,1,1)&amp;";"&amp;OFFSET(掉落_design!$E183,0,掉落_design!G$2+3,1,1))</f>
        <v/>
      </c>
      <c r="I212" s="16" t="str">
        <f ca="1">IF(OFFSET(掉落_design!$E183,0,掉落_design!H$2,1,1)="","",OFFSET(掉落_design!$E183,0,掉落_design!H$2,1,1)&amp;";"&amp;OFFSET(掉落_design!$E183,0,掉落_design!H$2+1,1,1)&amp;";"&amp;OFFSET(掉落_design!$E183,0,掉落_design!H$2+2,1,1)&amp;";"&amp;OFFSET(掉落_design!$E183,0,掉落_design!H$2+3,1,1))</f>
        <v/>
      </c>
      <c r="J212" s="16" t="str">
        <f ca="1">IF(OFFSET(掉落_design!$E183,0,掉落_design!I$2,1,1)="","",OFFSET(掉落_design!$E183,0,掉落_design!I$2,1,1)&amp;";"&amp;OFFSET(掉落_design!$E183,0,掉落_design!I$2+1,1,1)&amp;";"&amp;OFFSET(掉落_design!$E183,0,掉落_design!I$2+2,1,1)&amp;";"&amp;OFFSET(掉落_design!$E183,0,掉落_design!I$2+3,1,1))</f>
        <v/>
      </c>
      <c r="K212" s="16" t="str">
        <f ca="1">IF(OFFSET(掉落_design!$E183,0,掉落_design!J$2,1,1)="","",OFFSET(掉落_design!$E183,0,掉落_design!J$2,1,1)&amp;";"&amp;OFFSET(掉落_design!$E183,0,掉落_design!J$2+1,1,1)&amp;";"&amp;OFFSET(掉落_design!$E183,0,掉落_design!J$2+2,1,1)&amp;";"&amp;OFFSET(掉落_design!$E183,0,掉落_design!J$2+3,1,1))</f>
        <v/>
      </c>
      <c r="L212" s="16" t="str">
        <f ca="1">IF(OFFSET(掉落_design!$E183,0,掉落_design!K$2,1,1)="","",OFFSET(掉落_design!$E183,0,掉落_design!K$2,1,1)&amp;";"&amp;OFFSET(掉落_design!$E183,0,掉落_design!K$2+1,1,1)&amp;";"&amp;OFFSET(掉落_design!$E183,0,掉落_design!K$2+2,1,1)&amp;";"&amp;OFFSET(掉落_design!$E183,0,掉落_design!K$2+3,1,1))</f>
        <v/>
      </c>
      <c r="M212" s="16" t="str">
        <f ca="1">IF(OFFSET(掉落_design!$E183,0,掉落_design!L$2,1,1)="","",OFFSET(掉落_design!$E183,0,掉落_design!L$2,1,1)&amp;";"&amp;OFFSET(掉落_design!$E183,0,掉落_design!L$2+1,1,1)&amp;";"&amp;OFFSET(掉落_design!$E183,0,掉落_design!L$2+2,1,1)&amp;";"&amp;OFFSET(掉落_design!$E183,0,掉落_design!L$2+3,1,1))</f>
        <v/>
      </c>
      <c r="N212" s="16" t="str">
        <f ca="1">IF(OFFSET(掉落_design!$E183,0,掉落_design!M$2,1,1)="","",OFFSET(掉落_design!$E183,0,掉落_design!M$2,1,1)&amp;";"&amp;OFFSET(掉落_design!$E183,0,掉落_design!M$2+1,1,1)&amp;";"&amp;OFFSET(掉落_design!$E183,0,掉落_design!M$2+2,1,1)&amp;";"&amp;OFFSET(掉落_design!$E183,0,掉落_design!M$2+3,1,1))</f>
        <v/>
      </c>
      <c r="O212" s="16" t="str">
        <f ca="1">IF(OFFSET(掉落_design!$E183,0,掉落_design!N$2,1,1)="","",OFFSET(掉落_design!$E183,0,掉落_design!N$2,1,1)&amp;";"&amp;OFFSET(掉落_design!$E183,0,掉落_design!N$2+1,1,1)&amp;";"&amp;OFFSET(掉落_design!$E183,0,掉落_design!N$2+2,1,1)&amp;";"&amp;OFFSET(掉落_design!$E183,0,掉落_design!N$2+3,1,1))</f>
        <v/>
      </c>
      <c r="P212" s="16" t="str">
        <f ca="1">IF(OFFSET(掉落_design!$E183,0,掉落_design!O$2,1,1)="","",OFFSET(掉落_design!$E183,0,掉落_design!O$2,1,1)&amp;";"&amp;OFFSET(掉落_design!$E183,0,掉落_design!O$2+1,1,1)&amp;";"&amp;OFFSET(掉落_design!$E183,0,掉落_design!O$2+2,1,1)&amp;";"&amp;OFFSET(掉落_design!$E183,0,掉落_design!O$2+3,1,1))</f>
        <v/>
      </c>
      <c r="Q212" s="25"/>
      <c r="R212" s="25"/>
      <c r="S212" s="25"/>
    </row>
    <row r="213" spans="1:19" x14ac:dyDescent="0.15">
      <c r="A213" s="11" t="str">
        <f t="shared" si="33"/>
        <v/>
      </c>
      <c r="B213" s="25"/>
      <c r="C213" s="25"/>
      <c r="D213" s="15" t="str">
        <f>IF(掉落_design!C184="","",掉落_design!C184)</f>
        <v/>
      </c>
      <c r="E213" s="15" t="str">
        <f>IF(A213="","",掉落_design!D184)</f>
        <v/>
      </c>
      <c r="F213" s="16" t="str">
        <f ca="1">IF(OFFSET(掉落_design!$E184,0,掉落_design!E$2,1,1)="","",OFFSET(掉落_design!$E184,0,掉落_design!E$2,1,1)&amp;";"&amp;OFFSET(掉落_design!$E184,0,掉落_design!E$2+1,1,1)&amp;";"&amp;OFFSET(掉落_design!$E184,0,掉落_design!E$2+2,1,1)&amp;";"&amp;OFFSET(掉落_design!$E184,0,掉落_design!E$2+3,1,1))</f>
        <v/>
      </c>
      <c r="G213" s="16" t="str">
        <f ca="1">IF(OFFSET(掉落_design!$E184,0,掉落_design!F$2,1,1)="","",OFFSET(掉落_design!$E184,0,掉落_design!F$2,1,1)&amp;";"&amp;OFFSET(掉落_design!$E184,0,掉落_design!F$2+1,1,1)&amp;";"&amp;OFFSET(掉落_design!$E184,0,掉落_design!F$2+2,1,1)&amp;";"&amp;OFFSET(掉落_design!$E184,0,掉落_design!F$2+3,1,1))</f>
        <v/>
      </c>
      <c r="H213" s="16" t="str">
        <f ca="1">IF(OFFSET(掉落_design!$E184,0,掉落_design!G$2,1,1)="","",OFFSET(掉落_design!$E184,0,掉落_design!G$2,1,1)&amp;";"&amp;OFFSET(掉落_design!$E184,0,掉落_design!G$2+1,1,1)&amp;";"&amp;OFFSET(掉落_design!$E184,0,掉落_design!G$2+2,1,1)&amp;";"&amp;OFFSET(掉落_design!$E184,0,掉落_design!G$2+3,1,1))</f>
        <v/>
      </c>
      <c r="I213" s="16" t="str">
        <f ca="1">IF(OFFSET(掉落_design!$E184,0,掉落_design!H$2,1,1)="","",OFFSET(掉落_design!$E184,0,掉落_design!H$2,1,1)&amp;";"&amp;OFFSET(掉落_design!$E184,0,掉落_design!H$2+1,1,1)&amp;";"&amp;OFFSET(掉落_design!$E184,0,掉落_design!H$2+2,1,1)&amp;";"&amp;OFFSET(掉落_design!$E184,0,掉落_design!H$2+3,1,1))</f>
        <v/>
      </c>
      <c r="J213" s="16" t="str">
        <f ca="1">IF(OFFSET(掉落_design!$E184,0,掉落_design!I$2,1,1)="","",OFFSET(掉落_design!$E184,0,掉落_design!I$2,1,1)&amp;";"&amp;OFFSET(掉落_design!$E184,0,掉落_design!I$2+1,1,1)&amp;";"&amp;OFFSET(掉落_design!$E184,0,掉落_design!I$2+2,1,1)&amp;";"&amp;OFFSET(掉落_design!$E184,0,掉落_design!I$2+3,1,1))</f>
        <v/>
      </c>
      <c r="K213" s="16" t="str">
        <f ca="1">IF(OFFSET(掉落_design!$E184,0,掉落_design!J$2,1,1)="","",OFFSET(掉落_design!$E184,0,掉落_design!J$2,1,1)&amp;";"&amp;OFFSET(掉落_design!$E184,0,掉落_design!J$2+1,1,1)&amp;";"&amp;OFFSET(掉落_design!$E184,0,掉落_design!J$2+2,1,1)&amp;";"&amp;OFFSET(掉落_design!$E184,0,掉落_design!J$2+3,1,1))</f>
        <v/>
      </c>
      <c r="L213" s="16" t="str">
        <f ca="1">IF(OFFSET(掉落_design!$E184,0,掉落_design!K$2,1,1)="","",OFFSET(掉落_design!$E184,0,掉落_design!K$2,1,1)&amp;";"&amp;OFFSET(掉落_design!$E184,0,掉落_design!K$2+1,1,1)&amp;";"&amp;OFFSET(掉落_design!$E184,0,掉落_design!K$2+2,1,1)&amp;";"&amp;OFFSET(掉落_design!$E184,0,掉落_design!K$2+3,1,1))</f>
        <v/>
      </c>
      <c r="M213" s="16" t="str">
        <f ca="1">IF(OFFSET(掉落_design!$E184,0,掉落_design!L$2,1,1)="","",OFFSET(掉落_design!$E184,0,掉落_design!L$2,1,1)&amp;";"&amp;OFFSET(掉落_design!$E184,0,掉落_design!L$2+1,1,1)&amp;";"&amp;OFFSET(掉落_design!$E184,0,掉落_design!L$2+2,1,1)&amp;";"&amp;OFFSET(掉落_design!$E184,0,掉落_design!L$2+3,1,1))</f>
        <v/>
      </c>
      <c r="N213" s="16" t="str">
        <f ca="1">IF(OFFSET(掉落_design!$E184,0,掉落_design!M$2,1,1)="","",OFFSET(掉落_design!$E184,0,掉落_design!M$2,1,1)&amp;";"&amp;OFFSET(掉落_design!$E184,0,掉落_design!M$2+1,1,1)&amp;";"&amp;OFFSET(掉落_design!$E184,0,掉落_design!M$2+2,1,1)&amp;";"&amp;OFFSET(掉落_design!$E184,0,掉落_design!M$2+3,1,1))</f>
        <v/>
      </c>
      <c r="O213" s="16" t="str">
        <f ca="1">IF(OFFSET(掉落_design!$E184,0,掉落_design!N$2,1,1)="","",OFFSET(掉落_design!$E184,0,掉落_design!N$2,1,1)&amp;";"&amp;OFFSET(掉落_design!$E184,0,掉落_design!N$2+1,1,1)&amp;";"&amp;OFFSET(掉落_design!$E184,0,掉落_design!N$2+2,1,1)&amp;";"&amp;OFFSET(掉落_design!$E184,0,掉落_design!N$2+3,1,1))</f>
        <v/>
      </c>
      <c r="P213" s="16" t="str">
        <f ca="1">IF(OFFSET(掉落_design!$E184,0,掉落_design!O$2,1,1)="","",OFFSET(掉落_design!$E184,0,掉落_design!O$2,1,1)&amp;";"&amp;OFFSET(掉落_design!$E184,0,掉落_design!O$2+1,1,1)&amp;";"&amp;OFFSET(掉落_design!$E184,0,掉落_design!O$2+2,1,1)&amp;";"&amp;OFFSET(掉落_design!$E184,0,掉落_design!O$2+3,1,1))</f>
        <v/>
      </c>
      <c r="Q213" s="25"/>
      <c r="R213" s="25"/>
      <c r="S213" s="25"/>
    </row>
    <row r="214" spans="1:19" x14ac:dyDescent="0.15">
      <c r="A214" s="11" t="str">
        <f t="shared" si="33"/>
        <v/>
      </c>
      <c r="B214" s="25"/>
      <c r="C214" s="25"/>
      <c r="D214" s="15" t="str">
        <f>IF(掉落_design!C185="","",掉落_design!C185)</f>
        <v/>
      </c>
      <c r="E214" s="15" t="str">
        <f>IF(A214="","",掉落_design!D185)</f>
        <v/>
      </c>
      <c r="F214" s="16" t="str">
        <f ca="1">IF(OFFSET(掉落_design!$E185,0,掉落_design!E$2,1,1)="","",OFFSET(掉落_design!$E185,0,掉落_design!E$2,1,1)&amp;";"&amp;OFFSET(掉落_design!$E185,0,掉落_design!E$2+1,1,1)&amp;";"&amp;OFFSET(掉落_design!$E185,0,掉落_design!E$2+2,1,1)&amp;";"&amp;OFFSET(掉落_design!$E185,0,掉落_design!E$2+3,1,1))</f>
        <v/>
      </c>
      <c r="G214" s="16" t="str">
        <f ca="1">IF(OFFSET(掉落_design!$E185,0,掉落_design!F$2,1,1)="","",OFFSET(掉落_design!$E185,0,掉落_design!F$2,1,1)&amp;";"&amp;OFFSET(掉落_design!$E185,0,掉落_design!F$2+1,1,1)&amp;";"&amp;OFFSET(掉落_design!$E185,0,掉落_design!F$2+2,1,1)&amp;";"&amp;OFFSET(掉落_design!$E185,0,掉落_design!F$2+3,1,1))</f>
        <v/>
      </c>
      <c r="H214" s="16" t="str">
        <f ca="1">IF(OFFSET(掉落_design!$E185,0,掉落_design!G$2,1,1)="","",OFFSET(掉落_design!$E185,0,掉落_design!G$2,1,1)&amp;";"&amp;OFFSET(掉落_design!$E185,0,掉落_design!G$2+1,1,1)&amp;";"&amp;OFFSET(掉落_design!$E185,0,掉落_design!G$2+2,1,1)&amp;";"&amp;OFFSET(掉落_design!$E185,0,掉落_design!G$2+3,1,1))</f>
        <v/>
      </c>
      <c r="I214" s="16" t="str">
        <f ca="1">IF(OFFSET(掉落_design!$E185,0,掉落_design!H$2,1,1)="","",OFFSET(掉落_design!$E185,0,掉落_design!H$2,1,1)&amp;";"&amp;OFFSET(掉落_design!$E185,0,掉落_design!H$2+1,1,1)&amp;";"&amp;OFFSET(掉落_design!$E185,0,掉落_design!H$2+2,1,1)&amp;";"&amp;OFFSET(掉落_design!$E185,0,掉落_design!H$2+3,1,1))</f>
        <v/>
      </c>
      <c r="J214" s="16" t="str">
        <f ca="1">IF(OFFSET(掉落_design!$E185,0,掉落_design!I$2,1,1)="","",OFFSET(掉落_design!$E185,0,掉落_design!I$2,1,1)&amp;";"&amp;OFFSET(掉落_design!$E185,0,掉落_design!I$2+1,1,1)&amp;";"&amp;OFFSET(掉落_design!$E185,0,掉落_design!I$2+2,1,1)&amp;";"&amp;OFFSET(掉落_design!$E185,0,掉落_design!I$2+3,1,1))</f>
        <v/>
      </c>
      <c r="K214" s="16" t="str">
        <f ca="1">IF(OFFSET(掉落_design!$E185,0,掉落_design!J$2,1,1)="","",OFFSET(掉落_design!$E185,0,掉落_design!J$2,1,1)&amp;";"&amp;OFFSET(掉落_design!$E185,0,掉落_design!J$2+1,1,1)&amp;";"&amp;OFFSET(掉落_design!$E185,0,掉落_design!J$2+2,1,1)&amp;";"&amp;OFFSET(掉落_design!$E185,0,掉落_design!J$2+3,1,1))</f>
        <v/>
      </c>
      <c r="L214" s="16" t="str">
        <f ca="1">IF(OFFSET(掉落_design!$E185,0,掉落_design!K$2,1,1)="","",OFFSET(掉落_design!$E185,0,掉落_design!K$2,1,1)&amp;";"&amp;OFFSET(掉落_design!$E185,0,掉落_design!K$2+1,1,1)&amp;";"&amp;OFFSET(掉落_design!$E185,0,掉落_design!K$2+2,1,1)&amp;";"&amp;OFFSET(掉落_design!$E185,0,掉落_design!K$2+3,1,1))</f>
        <v/>
      </c>
      <c r="M214" s="16" t="str">
        <f ca="1">IF(OFFSET(掉落_design!$E185,0,掉落_design!L$2,1,1)="","",OFFSET(掉落_design!$E185,0,掉落_design!L$2,1,1)&amp;";"&amp;OFFSET(掉落_design!$E185,0,掉落_design!L$2+1,1,1)&amp;";"&amp;OFFSET(掉落_design!$E185,0,掉落_design!L$2+2,1,1)&amp;";"&amp;OFFSET(掉落_design!$E185,0,掉落_design!L$2+3,1,1))</f>
        <v/>
      </c>
      <c r="N214" s="16" t="str">
        <f ca="1">IF(OFFSET(掉落_design!$E185,0,掉落_design!M$2,1,1)="","",OFFSET(掉落_design!$E185,0,掉落_design!M$2,1,1)&amp;";"&amp;OFFSET(掉落_design!$E185,0,掉落_design!M$2+1,1,1)&amp;";"&amp;OFFSET(掉落_design!$E185,0,掉落_design!M$2+2,1,1)&amp;";"&amp;OFFSET(掉落_design!$E185,0,掉落_design!M$2+3,1,1))</f>
        <v/>
      </c>
      <c r="O214" s="16" t="str">
        <f ca="1">IF(OFFSET(掉落_design!$E185,0,掉落_design!N$2,1,1)="","",OFFSET(掉落_design!$E185,0,掉落_design!N$2,1,1)&amp;";"&amp;OFFSET(掉落_design!$E185,0,掉落_design!N$2+1,1,1)&amp;";"&amp;OFFSET(掉落_design!$E185,0,掉落_design!N$2+2,1,1)&amp;";"&amp;OFFSET(掉落_design!$E185,0,掉落_design!N$2+3,1,1))</f>
        <v/>
      </c>
      <c r="P214" s="16" t="str">
        <f ca="1">IF(OFFSET(掉落_design!$E185,0,掉落_design!O$2,1,1)="","",OFFSET(掉落_design!$E185,0,掉落_design!O$2,1,1)&amp;";"&amp;OFFSET(掉落_design!$E185,0,掉落_design!O$2+1,1,1)&amp;";"&amp;OFFSET(掉落_design!$E185,0,掉落_design!O$2+2,1,1)&amp;";"&amp;OFFSET(掉落_design!$E185,0,掉落_design!O$2+3,1,1))</f>
        <v/>
      </c>
      <c r="Q214" s="25"/>
      <c r="R214" s="25"/>
      <c r="S214" s="25"/>
    </row>
    <row r="215" spans="1:19" x14ac:dyDescent="0.15">
      <c r="A215" s="11" t="str">
        <f t="shared" si="33"/>
        <v/>
      </c>
      <c r="B215" s="25"/>
      <c r="C215" s="25"/>
      <c r="D215" s="15" t="str">
        <f>IF(掉落_design!C186="","",掉落_design!C186)</f>
        <v/>
      </c>
      <c r="E215" s="15" t="str">
        <f>IF(A215="","",掉落_design!D186)</f>
        <v/>
      </c>
      <c r="F215" s="16" t="str">
        <f ca="1">IF(OFFSET(掉落_design!$E186,0,掉落_design!E$2,1,1)="","",OFFSET(掉落_design!$E186,0,掉落_design!E$2,1,1)&amp;";"&amp;OFFSET(掉落_design!$E186,0,掉落_design!E$2+1,1,1)&amp;";"&amp;OFFSET(掉落_design!$E186,0,掉落_design!E$2+2,1,1)&amp;";"&amp;OFFSET(掉落_design!$E186,0,掉落_design!E$2+3,1,1))</f>
        <v/>
      </c>
      <c r="G215" s="16" t="str">
        <f ca="1">IF(OFFSET(掉落_design!$E186,0,掉落_design!F$2,1,1)="","",OFFSET(掉落_design!$E186,0,掉落_design!F$2,1,1)&amp;";"&amp;OFFSET(掉落_design!$E186,0,掉落_design!F$2+1,1,1)&amp;";"&amp;OFFSET(掉落_design!$E186,0,掉落_design!F$2+2,1,1)&amp;";"&amp;OFFSET(掉落_design!$E186,0,掉落_design!F$2+3,1,1))</f>
        <v/>
      </c>
      <c r="H215" s="16" t="str">
        <f ca="1">IF(OFFSET(掉落_design!$E186,0,掉落_design!G$2,1,1)="","",OFFSET(掉落_design!$E186,0,掉落_design!G$2,1,1)&amp;";"&amp;OFFSET(掉落_design!$E186,0,掉落_design!G$2+1,1,1)&amp;";"&amp;OFFSET(掉落_design!$E186,0,掉落_design!G$2+2,1,1)&amp;";"&amp;OFFSET(掉落_design!$E186,0,掉落_design!G$2+3,1,1))</f>
        <v/>
      </c>
      <c r="I215" s="16" t="str">
        <f ca="1">IF(OFFSET(掉落_design!$E186,0,掉落_design!H$2,1,1)="","",OFFSET(掉落_design!$E186,0,掉落_design!H$2,1,1)&amp;";"&amp;OFFSET(掉落_design!$E186,0,掉落_design!H$2+1,1,1)&amp;";"&amp;OFFSET(掉落_design!$E186,0,掉落_design!H$2+2,1,1)&amp;";"&amp;OFFSET(掉落_design!$E186,0,掉落_design!H$2+3,1,1))</f>
        <v/>
      </c>
      <c r="J215" s="16" t="str">
        <f ca="1">IF(OFFSET(掉落_design!$E186,0,掉落_design!I$2,1,1)="","",OFFSET(掉落_design!$E186,0,掉落_design!I$2,1,1)&amp;";"&amp;OFFSET(掉落_design!$E186,0,掉落_design!I$2+1,1,1)&amp;";"&amp;OFFSET(掉落_design!$E186,0,掉落_design!I$2+2,1,1)&amp;";"&amp;OFFSET(掉落_design!$E186,0,掉落_design!I$2+3,1,1))</f>
        <v/>
      </c>
      <c r="K215" s="16" t="str">
        <f ca="1">IF(OFFSET(掉落_design!$E186,0,掉落_design!J$2,1,1)="","",OFFSET(掉落_design!$E186,0,掉落_design!J$2,1,1)&amp;";"&amp;OFFSET(掉落_design!$E186,0,掉落_design!J$2+1,1,1)&amp;";"&amp;OFFSET(掉落_design!$E186,0,掉落_design!J$2+2,1,1)&amp;";"&amp;OFFSET(掉落_design!$E186,0,掉落_design!J$2+3,1,1))</f>
        <v/>
      </c>
      <c r="L215" s="16" t="str">
        <f ca="1">IF(OFFSET(掉落_design!$E186,0,掉落_design!K$2,1,1)="","",OFFSET(掉落_design!$E186,0,掉落_design!K$2,1,1)&amp;";"&amp;OFFSET(掉落_design!$E186,0,掉落_design!K$2+1,1,1)&amp;";"&amp;OFFSET(掉落_design!$E186,0,掉落_design!K$2+2,1,1)&amp;";"&amp;OFFSET(掉落_design!$E186,0,掉落_design!K$2+3,1,1))</f>
        <v/>
      </c>
      <c r="M215" s="16" t="str">
        <f ca="1">IF(OFFSET(掉落_design!$E186,0,掉落_design!L$2,1,1)="","",OFFSET(掉落_design!$E186,0,掉落_design!L$2,1,1)&amp;";"&amp;OFFSET(掉落_design!$E186,0,掉落_design!L$2+1,1,1)&amp;";"&amp;OFFSET(掉落_design!$E186,0,掉落_design!L$2+2,1,1)&amp;";"&amp;OFFSET(掉落_design!$E186,0,掉落_design!L$2+3,1,1))</f>
        <v/>
      </c>
      <c r="N215" s="16" t="str">
        <f ca="1">IF(OFFSET(掉落_design!$E186,0,掉落_design!M$2,1,1)="","",OFFSET(掉落_design!$E186,0,掉落_design!M$2,1,1)&amp;";"&amp;OFFSET(掉落_design!$E186,0,掉落_design!M$2+1,1,1)&amp;";"&amp;OFFSET(掉落_design!$E186,0,掉落_design!M$2+2,1,1)&amp;";"&amp;OFFSET(掉落_design!$E186,0,掉落_design!M$2+3,1,1))</f>
        <v/>
      </c>
      <c r="O215" s="16" t="str">
        <f ca="1">IF(OFFSET(掉落_design!$E186,0,掉落_design!N$2,1,1)="","",OFFSET(掉落_design!$E186,0,掉落_design!N$2,1,1)&amp;";"&amp;OFFSET(掉落_design!$E186,0,掉落_design!N$2+1,1,1)&amp;";"&amp;OFFSET(掉落_design!$E186,0,掉落_design!N$2+2,1,1)&amp;";"&amp;OFFSET(掉落_design!$E186,0,掉落_design!N$2+3,1,1))</f>
        <v/>
      </c>
      <c r="P215" s="16" t="str">
        <f ca="1">IF(OFFSET(掉落_design!$E186,0,掉落_design!O$2,1,1)="","",OFFSET(掉落_design!$E186,0,掉落_design!O$2,1,1)&amp;";"&amp;OFFSET(掉落_design!$E186,0,掉落_design!O$2+1,1,1)&amp;";"&amp;OFFSET(掉落_design!$E186,0,掉落_design!O$2+2,1,1)&amp;";"&amp;OFFSET(掉落_design!$E186,0,掉落_design!O$2+3,1,1))</f>
        <v/>
      </c>
      <c r="Q215" s="25"/>
      <c r="R215" s="25"/>
      <c r="S215" s="25"/>
    </row>
    <row r="216" spans="1:19" x14ac:dyDescent="0.15">
      <c r="A216" s="11" t="str">
        <f t="shared" si="33"/>
        <v/>
      </c>
      <c r="B216" s="25"/>
      <c r="C216" s="25"/>
      <c r="D216" s="15" t="str">
        <f>IF(掉落_design!C187="","",掉落_design!C187)</f>
        <v/>
      </c>
      <c r="E216" s="15" t="str">
        <f>IF(A216="","",掉落_design!D187)</f>
        <v/>
      </c>
      <c r="F216" s="16" t="str">
        <f ca="1">IF(OFFSET(掉落_design!$E187,0,掉落_design!E$2,1,1)="","",OFFSET(掉落_design!$E187,0,掉落_design!E$2,1,1)&amp;";"&amp;OFFSET(掉落_design!$E187,0,掉落_design!E$2+1,1,1)&amp;";"&amp;OFFSET(掉落_design!$E187,0,掉落_design!E$2+2,1,1)&amp;";"&amp;OFFSET(掉落_design!$E187,0,掉落_design!E$2+3,1,1))</f>
        <v/>
      </c>
      <c r="G216" s="16" t="str">
        <f ca="1">IF(OFFSET(掉落_design!$E187,0,掉落_design!F$2,1,1)="","",OFFSET(掉落_design!$E187,0,掉落_design!F$2,1,1)&amp;";"&amp;OFFSET(掉落_design!$E187,0,掉落_design!F$2+1,1,1)&amp;";"&amp;OFFSET(掉落_design!$E187,0,掉落_design!F$2+2,1,1)&amp;";"&amp;OFFSET(掉落_design!$E187,0,掉落_design!F$2+3,1,1))</f>
        <v/>
      </c>
      <c r="H216" s="16" t="str">
        <f ca="1">IF(OFFSET(掉落_design!$E187,0,掉落_design!G$2,1,1)="","",OFFSET(掉落_design!$E187,0,掉落_design!G$2,1,1)&amp;";"&amp;OFFSET(掉落_design!$E187,0,掉落_design!G$2+1,1,1)&amp;";"&amp;OFFSET(掉落_design!$E187,0,掉落_design!G$2+2,1,1)&amp;";"&amp;OFFSET(掉落_design!$E187,0,掉落_design!G$2+3,1,1))</f>
        <v/>
      </c>
      <c r="I216" s="16" t="str">
        <f ca="1">IF(OFFSET(掉落_design!$E187,0,掉落_design!H$2,1,1)="","",OFFSET(掉落_design!$E187,0,掉落_design!H$2,1,1)&amp;";"&amp;OFFSET(掉落_design!$E187,0,掉落_design!H$2+1,1,1)&amp;";"&amp;OFFSET(掉落_design!$E187,0,掉落_design!H$2+2,1,1)&amp;";"&amp;OFFSET(掉落_design!$E187,0,掉落_design!H$2+3,1,1))</f>
        <v/>
      </c>
      <c r="J216" s="16" t="str">
        <f ca="1">IF(OFFSET(掉落_design!$E187,0,掉落_design!I$2,1,1)="","",OFFSET(掉落_design!$E187,0,掉落_design!I$2,1,1)&amp;";"&amp;OFFSET(掉落_design!$E187,0,掉落_design!I$2+1,1,1)&amp;";"&amp;OFFSET(掉落_design!$E187,0,掉落_design!I$2+2,1,1)&amp;";"&amp;OFFSET(掉落_design!$E187,0,掉落_design!I$2+3,1,1))</f>
        <v/>
      </c>
      <c r="K216" s="16" t="str">
        <f ca="1">IF(OFFSET(掉落_design!$E187,0,掉落_design!J$2,1,1)="","",OFFSET(掉落_design!$E187,0,掉落_design!J$2,1,1)&amp;";"&amp;OFFSET(掉落_design!$E187,0,掉落_design!J$2+1,1,1)&amp;";"&amp;OFFSET(掉落_design!$E187,0,掉落_design!J$2+2,1,1)&amp;";"&amp;OFFSET(掉落_design!$E187,0,掉落_design!J$2+3,1,1))</f>
        <v/>
      </c>
      <c r="L216" s="16" t="str">
        <f ca="1">IF(OFFSET(掉落_design!$E187,0,掉落_design!K$2,1,1)="","",OFFSET(掉落_design!$E187,0,掉落_design!K$2,1,1)&amp;";"&amp;OFFSET(掉落_design!$E187,0,掉落_design!K$2+1,1,1)&amp;";"&amp;OFFSET(掉落_design!$E187,0,掉落_design!K$2+2,1,1)&amp;";"&amp;OFFSET(掉落_design!$E187,0,掉落_design!K$2+3,1,1))</f>
        <v/>
      </c>
      <c r="M216" s="16" t="str">
        <f ca="1">IF(OFFSET(掉落_design!$E187,0,掉落_design!L$2,1,1)="","",OFFSET(掉落_design!$E187,0,掉落_design!L$2,1,1)&amp;";"&amp;OFFSET(掉落_design!$E187,0,掉落_design!L$2+1,1,1)&amp;";"&amp;OFFSET(掉落_design!$E187,0,掉落_design!L$2+2,1,1)&amp;";"&amp;OFFSET(掉落_design!$E187,0,掉落_design!L$2+3,1,1))</f>
        <v/>
      </c>
      <c r="N216" s="16" t="str">
        <f ca="1">IF(OFFSET(掉落_design!$E187,0,掉落_design!M$2,1,1)="","",OFFSET(掉落_design!$E187,0,掉落_design!M$2,1,1)&amp;";"&amp;OFFSET(掉落_design!$E187,0,掉落_design!M$2+1,1,1)&amp;";"&amp;OFFSET(掉落_design!$E187,0,掉落_design!M$2+2,1,1)&amp;";"&amp;OFFSET(掉落_design!$E187,0,掉落_design!M$2+3,1,1))</f>
        <v/>
      </c>
      <c r="O216" s="16" t="str">
        <f ca="1">IF(OFFSET(掉落_design!$E187,0,掉落_design!N$2,1,1)="","",OFFSET(掉落_design!$E187,0,掉落_design!N$2,1,1)&amp;";"&amp;OFFSET(掉落_design!$E187,0,掉落_design!N$2+1,1,1)&amp;";"&amp;OFFSET(掉落_design!$E187,0,掉落_design!N$2+2,1,1)&amp;";"&amp;OFFSET(掉落_design!$E187,0,掉落_design!N$2+3,1,1))</f>
        <v/>
      </c>
      <c r="P216" s="16" t="str">
        <f ca="1">IF(OFFSET(掉落_design!$E187,0,掉落_design!O$2,1,1)="","",OFFSET(掉落_design!$E187,0,掉落_design!O$2,1,1)&amp;";"&amp;OFFSET(掉落_design!$E187,0,掉落_design!O$2+1,1,1)&amp;";"&amp;OFFSET(掉落_design!$E187,0,掉落_design!O$2+2,1,1)&amp;";"&amp;OFFSET(掉落_design!$E187,0,掉落_design!O$2+3,1,1))</f>
        <v/>
      </c>
      <c r="Q216" s="25"/>
      <c r="R216" s="25"/>
      <c r="S216" s="25"/>
    </row>
    <row r="217" spans="1:19" x14ac:dyDescent="0.15">
      <c r="A217" s="11" t="str">
        <f t="shared" si="33"/>
        <v/>
      </c>
      <c r="B217" s="25"/>
      <c r="C217" s="25"/>
      <c r="D217" s="15" t="str">
        <f>IF(掉落_design!C188="","",掉落_design!C188)</f>
        <v/>
      </c>
      <c r="E217" s="15" t="str">
        <f>IF(A217="","",掉落_design!D188)</f>
        <v/>
      </c>
      <c r="F217" s="16" t="str">
        <f ca="1">IF(OFFSET(掉落_design!$E188,0,掉落_design!E$2,1,1)="","",OFFSET(掉落_design!$E188,0,掉落_design!E$2,1,1)&amp;";"&amp;OFFSET(掉落_design!$E188,0,掉落_design!E$2+1,1,1)&amp;";"&amp;OFFSET(掉落_design!$E188,0,掉落_design!E$2+2,1,1)&amp;";"&amp;OFFSET(掉落_design!$E188,0,掉落_design!E$2+3,1,1))</f>
        <v/>
      </c>
      <c r="G217" s="16" t="str">
        <f ca="1">IF(OFFSET(掉落_design!$E188,0,掉落_design!F$2,1,1)="","",OFFSET(掉落_design!$E188,0,掉落_design!F$2,1,1)&amp;";"&amp;OFFSET(掉落_design!$E188,0,掉落_design!F$2+1,1,1)&amp;";"&amp;OFFSET(掉落_design!$E188,0,掉落_design!F$2+2,1,1)&amp;";"&amp;OFFSET(掉落_design!$E188,0,掉落_design!F$2+3,1,1))</f>
        <v/>
      </c>
      <c r="H217" s="16" t="str">
        <f ca="1">IF(OFFSET(掉落_design!$E188,0,掉落_design!G$2,1,1)="","",OFFSET(掉落_design!$E188,0,掉落_design!G$2,1,1)&amp;";"&amp;OFFSET(掉落_design!$E188,0,掉落_design!G$2+1,1,1)&amp;";"&amp;OFFSET(掉落_design!$E188,0,掉落_design!G$2+2,1,1)&amp;";"&amp;OFFSET(掉落_design!$E188,0,掉落_design!G$2+3,1,1))</f>
        <v/>
      </c>
      <c r="I217" s="16" t="str">
        <f ca="1">IF(OFFSET(掉落_design!$E188,0,掉落_design!H$2,1,1)="","",OFFSET(掉落_design!$E188,0,掉落_design!H$2,1,1)&amp;";"&amp;OFFSET(掉落_design!$E188,0,掉落_design!H$2+1,1,1)&amp;";"&amp;OFFSET(掉落_design!$E188,0,掉落_design!H$2+2,1,1)&amp;";"&amp;OFFSET(掉落_design!$E188,0,掉落_design!H$2+3,1,1))</f>
        <v/>
      </c>
      <c r="J217" s="16" t="str">
        <f ca="1">IF(OFFSET(掉落_design!$E188,0,掉落_design!I$2,1,1)="","",OFFSET(掉落_design!$E188,0,掉落_design!I$2,1,1)&amp;";"&amp;OFFSET(掉落_design!$E188,0,掉落_design!I$2+1,1,1)&amp;";"&amp;OFFSET(掉落_design!$E188,0,掉落_design!I$2+2,1,1)&amp;";"&amp;OFFSET(掉落_design!$E188,0,掉落_design!I$2+3,1,1))</f>
        <v/>
      </c>
      <c r="K217" s="16" t="str">
        <f ca="1">IF(OFFSET(掉落_design!$E188,0,掉落_design!J$2,1,1)="","",OFFSET(掉落_design!$E188,0,掉落_design!J$2,1,1)&amp;";"&amp;OFFSET(掉落_design!$E188,0,掉落_design!J$2+1,1,1)&amp;";"&amp;OFFSET(掉落_design!$E188,0,掉落_design!J$2+2,1,1)&amp;";"&amp;OFFSET(掉落_design!$E188,0,掉落_design!J$2+3,1,1))</f>
        <v/>
      </c>
      <c r="L217" s="16" t="str">
        <f ca="1">IF(OFFSET(掉落_design!$E188,0,掉落_design!K$2,1,1)="","",OFFSET(掉落_design!$E188,0,掉落_design!K$2,1,1)&amp;";"&amp;OFFSET(掉落_design!$E188,0,掉落_design!K$2+1,1,1)&amp;";"&amp;OFFSET(掉落_design!$E188,0,掉落_design!K$2+2,1,1)&amp;";"&amp;OFFSET(掉落_design!$E188,0,掉落_design!K$2+3,1,1))</f>
        <v/>
      </c>
      <c r="M217" s="16" t="str">
        <f ca="1">IF(OFFSET(掉落_design!$E188,0,掉落_design!L$2,1,1)="","",OFFSET(掉落_design!$E188,0,掉落_design!L$2,1,1)&amp;";"&amp;OFFSET(掉落_design!$E188,0,掉落_design!L$2+1,1,1)&amp;";"&amp;OFFSET(掉落_design!$E188,0,掉落_design!L$2+2,1,1)&amp;";"&amp;OFFSET(掉落_design!$E188,0,掉落_design!L$2+3,1,1))</f>
        <v/>
      </c>
      <c r="N217" s="16" t="str">
        <f ca="1">IF(OFFSET(掉落_design!$E188,0,掉落_design!M$2,1,1)="","",OFFSET(掉落_design!$E188,0,掉落_design!M$2,1,1)&amp;";"&amp;OFFSET(掉落_design!$E188,0,掉落_design!M$2+1,1,1)&amp;";"&amp;OFFSET(掉落_design!$E188,0,掉落_design!M$2+2,1,1)&amp;";"&amp;OFFSET(掉落_design!$E188,0,掉落_design!M$2+3,1,1))</f>
        <v/>
      </c>
      <c r="O217" s="16" t="str">
        <f ca="1">IF(OFFSET(掉落_design!$E188,0,掉落_design!N$2,1,1)="","",OFFSET(掉落_design!$E188,0,掉落_design!N$2,1,1)&amp;";"&amp;OFFSET(掉落_design!$E188,0,掉落_design!N$2+1,1,1)&amp;";"&amp;OFFSET(掉落_design!$E188,0,掉落_design!N$2+2,1,1)&amp;";"&amp;OFFSET(掉落_design!$E188,0,掉落_design!N$2+3,1,1))</f>
        <v/>
      </c>
      <c r="P217" s="16" t="str">
        <f ca="1">IF(OFFSET(掉落_design!$E188,0,掉落_design!O$2,1,1)="","",OFFSET(掉落_design!$E188,0,掉落_design!O$2,1,1)&amp;";"&amp;OFFSET(掉落_design!$E188,0,掉落_design!O$2+1,1,1)&amp;";"&amp;OFFSET(掉落_design!$E188,0,掉落_design!O$2+2,1,1)&amp;";"&amp;OFFSET(掉落_design!$E188,0,掉落_design!O$2+3,1,1))</f>
        <v/>
      </c>
      <c r="Q217" s="25"/>
      <c r="R217" s="25"/>
      <c r="S217" s="25"/>
    </row>
    <row r="218" spans="1:19" x14ac:dyDescent="0.15">
      <c r="A218" s="11" t="str">
        <f t="shared" si="33"/>
        <v/>
      </c>
      <c r="B218" s="25"/>
      <c r="C218" s="25"/>
      <c r="D218" s="15" t="str">
        <f>IF(掉落_design!C189="","",掉落_design!C189)</f>
        <v/>
      </c>
      <c r="E218" s="15" t="str">
        <f>IF(A218="","",掉落_design!D189)</f>
        <v/>
      </c>
      <c r="F218" s="16" t="str">
        <f ca="1">IF(OFFSET(掉落_design!$E189,0,掉落_design!E$2,1,1)="","",OFFSET(掉落_design!$E189,0,掉落_design!E$2,1,1)&amp;";"&amp;OFFSET(掉落_design!$E189,0,掉落_design!E$2+1,1,1)&amp;";"&amp;OFFSET(掉落_design!$E189,0,掉落_design!E$2+2,1,1)&amp;";"&amp;OFFSET(掉落_design!$E189,0,掉落_design!E$2+3,1,1))</f>
        <v/>
      </c>
      <c r="G218" s="16" t="str">
        <f ca="1">IF(OFFSET(掉落_design!$E189,0,掉落_design!F$2,1,1)="","",OFFSET(掉落_design!$E189,0,掉落_design!F$2,1,1)&amp;";"&amp;OFFSET(掉落_design!$E189,0,掉落_design!F$2+1,1,1)&amp;";"&amp;OFFSET(掉落_design!$E189,0,掉落_design!F$2+2,1,1)&amp;";"&amp;OFFSET(掉落_design!$E189,0,掉落_design!F$2+3,1,1))</f>
        <v/>
      </c>
      <c r="H218" s="16" t="str">
        <f ca="1">IF(OFFSET(掉落_design!$E189,0,掉落_design!G$2,1,1)="","",OFFSET(掉落_design!$E189,0,掉落_design!G$2,1,1)&amp;";"&amp;OFFSET(掉落_design!$E189,0,掉落_design!G$2+1,1,1)&amp;";"&amp;OFFSET(掉落_design!$E189,0,掉落_design!G$2+2,1,1)&amp;";"&amp;OFFSET(掉落_design!$E189,0,掉落_design!G$2+3,1,1))</f>
        <v/>
      </c>
      <c r="I218" s="16" t="str">
        <f ca="1">IF(OFFSET(掉落_design!$E189,0,掉落_design!H$2,1,1)="","",OFFSET(掉落_design!$E189,0,掉落_design!H$2,1,1)&amp;";"&amp;OFFSET(掉落_design!$E189,0,掉落_design!H$2+1,1,1)&amp;";"&amp;OFFSET(掉落_design!$E189,0,掉落_design!H$2+2,1,1)&amp;";"&amp;OFFSET(掉落_design!$E189,0,掉落_design!H$2+3,1,1))</f>
        <v/>
      </c>
      <c r="J218" s="16" t="str">
        <f ca="1">IF(OFFSET(掉落_design!$E189,0,掉落_design!I$2,1,1)="","",OFFSET(掉落_design!$E189,0,掉落_design!I$2,1,1)&amp;";"&amp;OFFSET(掉落_design!$E189,0,掉落_design!I$2+1,1,1)&amp;";"&amp;OFFSET(掉落_design!$E189,0,掉落_design!I$2+2,1,1)&amp;";"&amp;OFFSET(掉落_design!$E189,0,掉落_design!I$2+3,1,1))</f>
        <v/>
      </c>
      <c r="K218" s="16" t="str">
        <f ca="1">IF(OFFSET(掉落_design!$E189,0,掉落_design!J$2,1,1)="","",OFFSET(掉落_design!$E189,0,掉落_design!J$2,1,1)&amp;";"&amp;OFFSET(掉落_design!$E189,0,掉落_design!J$2+1,1,1)&amp;";"&amp;OFFSET(掉落_design!$E189,0,掉落_design!J$2+2,1,1)&amp;";"&amp;OFFSET(掉落_design!$E189,0,掉落_design!J$2+3,1,1))</f>
        <v/>
      </c>
      <c r="L218" s="16" t="str">
        <f ca="1">IF(OFFSET(掉落_design!$E189,0,掉落_design!K$2,1,1)="","",OFFSET(掉落_design!$E189,0,掉落_design!K$2,1,1)&amp;";"&amp;OFFSET(掉落_design!$E189,0,掉落_design!K$2+1,1,1)&amp;";"&amp;OFFSET(掉落_design!$E189,0,掉落_design!K$2+2,1,1)&amp;";"&amp;OFFSET(掉落_design!$E189,0,掉落_design!K$2+3,1,1))</f>
        <v/>
      </c>
      <c r="M218" s="16" t="str">
        <f ca="1">IF(OFFSET(掉落_design!$E189,0,掉落_design!L$2,1,1)="","",OFFSET(掉落_design!$E189,0,掉落_design!L$2,1,1)&amp;";"&amp;OFFSET(掉落_design!$E189,0,掉落_design!L$2+1,1,1)&amp;";"&amp;OFFSET(掉落_design!$E189,0,掉落_design!L$2+2,1,1)&amp;";"&amp;OFFSET(掉落_design!$E189,0,掉落_design!L$2+3,1,1))</f>
        <v/>
      </c>
      <c r="N218" s="16" t="str">
        <f ca="1">IF(OFFSET(掉落_design!$E189,0,掉落_design!M$2,1,1)="","",OFFSET(掉落_design!$E189,0,掉落_design!M$2,1,1)&amp;";"&amp;OFFSET(掉落_design!$E189,0,掉落_design!M$2+1,1,1)&amp;";"&amp;OFFSET(掉落_design!$E189,0,掉落_design!M$2+2,1,1)&amp;";"&amp;OFFSET(掉落_design!$E189,0,掉落_design!M$2+3,1,1))</f>
        <v/>
      </c>
      <c r="O218" s="16" t="str">
        <f ca="1">IF(OFFSET(掉落_design!$E189,0,掉落_design!N$2,1,1)="","",OFFSET(掉落_design!$E189,0,掉落_design!N$2,1,1)&amp;";"&amp;OFFSET(掉落_design!$E189,0,掉落_design!N$2+1,1,1)&amp;";"&amp;OFFSET(掉落_design!$E189,0,掉落_design!N$2+2,1,1)&amp;";"&amp;OFFSET(掉落_design!$E189,0,掉落_design!N$2+3,1,1))</f>
        <v/>
      </c>
      <c r="P218" s="16" t="str">
        <f ca="1">IF(OFFSET(掉落_design!$E189,0,掉落_design!O$2,1,1)="","",OFFSET(掉落_design!$E189,0,掉落_design!O$2,1,1)&amp;";"&amp;OFFSET(掉落_design!$E189,0,掉落_design!O$2+1,1,1)&amp;";"&amp;OFFSET(掉落_design!$E189,0,掉落_design!O$2+2,1,1)&amp;";"&amp;OFFSET(掉落_design!$E189,0,掉落_design!O$2+3,1,1))</f>
        <v/>
      </c>
      <c r="Q218" s="25"/>
      <c r="R218" s="25"/>
      <c r="S218" s="25"/>
    </row>
    <row r="219" spans="1:19" x14ac:dyDescent="0.15">
      <c r="A219" s="11" t="str">
        <f t="shared" si="33"/>
        <v/>
      </c>
      <c r="B219" s="25"/>
      <c r="C219" s="25"/>
      <c r="D219" s="15" t="str">
        <f>IF(掉落_design!C190="","",掉落_design!C190)</f>
        <v/>
      </c>
      <c r="E219" s="15" t="str">
        <f>IF(A219="","",掉落_design!D190)</f>
        <v/>
      </c>
      <c r="F219" s="16" t="str">
        <f ca="1">IF(OFFSET(掉落_design!$E190,0,掉落_design!E$2,1,1)="","",OFFSET(掉落_design!$E190,0,掉落_design!E$2,1,1)&amp;";"&amp;OFFSET(掉落_design!$E190,0,掉落_design!E$2+1,1,1)&amp;";"&amp;OFFSET(掉落_design!$E190,0,掉落_design!E$2+2,1,1)&amp;";"&amp;OFFSET(掉落_design!$E190,0,掉落_design!E$2+3,1,1))</f>
        <v/>
      </c>
      <c r="G219" s="16" t="str">
        <f ca="1">IF(OFFSET(掉落_design!$E190,0,掉落_design!F$2,1,1)="","",OFFSET(掉落_design!$E190,0,掉落_design!F$2,1,1)&amp;";"&amp;OFFSET(掉落_design!$E190,0,掉落_design!F$2+1,1,1)&amp;";"&amp;OFFSET(掉落_design!$E190,0,掉落_design!F$2+2,1,1)&amp;";"&amp;OFFSET(掉落_design!$E190,0,掉落_design!F$2+3,1,1))</f>
        <v/>
      </c>
      <c r="H219" s="16" t="str">
        <f ca="1">IF(OFFSET(掉落_design!$E190,0,掉落_design!G$2,1,1)="","",OFFSET(掉落_design!$E190,0,掉落_design!G$2,1,1)&amp;";"&amp;OFFSET(掉落_design!$E190,0,掉落_design!G$2+1,1,1)&amp;";"&amp;OFFSET(掉落_design!$E190,0,掉落_design!G$2+2,1,1)&amp;";"&amp;OFFSET(掉落_design!$E190,0,掉落_design!G$2+3,1,1))</f>
        <v/>
      </c>
      <c r="I219" s="16" t="str">
        <f ca="1">IF(OFFSET(掉落_design!$E190,0,掉落_design!H$2,1,1)="","",OFFSET(掉落_design!$E190,0,掉落_design!H$2,1,1)&amp;";"&amp;OFFSET(掉落_design!$E190,0,掉落_design!H$2+1,1,1)&amp;";"&amp;OFFSET(掉落_design!$E190,0,掉落_design!H$2+2,1,1)&amp;";"&amp;OFFSET(掉落_design!$E190,0,掉落_design!H$2+3,1,1))</f>
        <v/>
      </c>
      <c r="J219" s="16" t="str">
        <f ca="1">IF(OFFSET(掉落_design!$E190,0,掉落_design!I$2,1,1)="","",OFFSET(掉落_design!$E190,0,掉落_design!I$2,1,1)&amp;";"&amp;OFFSET(掉落_design!$E190,0,掉落_design!I$2+1,1,1)&amp;";"&amp;OFFSET(掉落_design!$E190,0,掉落_design!I$2+2,1,1)&amp;";"&amp;OFFSET(掉落_design!$E190,0,掉落_design!I$2+3,1,1))</f>
        <v/>
      </c>
      <c r="K219" s="16" t="str">
        <f ca="1">IF(OFFSET(掉落_design!$E190,0,掉落_design!J$2,1,1)="","",OFFSET(掉落_design!$E190,0,掉落_design!J$2,1,1)&amp;";"&amp;OFFSET(掉落_design!$E190,0,掉落_design!J$2+1,1,1)&amp;";"&amp;OFFSET(掉落_design!$E190,0,掉落_design!J$2+2,1,1)&amp;";"&amp;OFFSET(掉落_design!$E190,0,掉落_design!J$2+3,1,1))</f>
        <v/>
      </c>
      <c r="L219" s="16" t="str">
        <f ca="1">IF(OFFSET(掉落_design!$E190,0,掉落_design!K$2,1,1)="","",OFFSET(掉落_design!$E190,0,掉落_design!K$2,1,1)&amp;";"&amp;OFFSET(掉落_design!$E190,0,掉落_design!K$2+1,1,1)&amp;";"&amp;OFFSET(掉落_design!$E190,0,掉落_design!K$2+2,1,1)&amp;";"&amp;OFFSET(掉落_design!$E190,0,掉落_design!K$2+3,1,1))</f>
        <v/>
      </c>
      <c r="M219" s="16" t="str">
        <f ca="1">IF(OFFSET(掉落_design!$E190,0,掉落_design!L$2,1,1)="","",OFFSET(掉落_design!$E190,0,掉落_design!L$2,1,1)&amp;";"&amp;OFFSET(掉落_design!$E190,0,掉落_design!L$2+1,1,1)&amp;";"&amp;OFFSET(掉落_design!$E190,0,掉落_design!L$2+2,1,1)&amp;";"&amp;OFFSET(掉落_design!$E190,0,掉落_design!L$2+3,1,1))</f>
        <v/>
      </c>
      <c r="N219" s="16" t="str">
        <f ca="1">IF(OFFSET(掉落_design!$E190,0,掉落_design!M$2,1,1)="","",OFFSET(掉落_design!$E190,0,掉落_design!M$2,1,1)&amp;";"&amp;OFFSET(掉落_design!$E190,0,掉落_design!M$2+1,1,1)&amp;";"&amp;OFFSET(掉落_design!$E190,0,掉落_design!M$2+2,1,1)&amp;";"&amp;OFFSET(掉落_design!$E190,0,掉落_design!M$2+3,1,1))</f>
        <v/>
      </c>
      <c r="O219" s="16" t="str">
        <f ca="1">IF(OFFSET(掉落_design!$E190,0,掉落_design!N$2,1,1)="","",OFFSET(掉落_design!$E190,0,掉落_design!N$2,1,1)&amp;";"&amp;OFFSET(掉落_design!$E190,0,掉落_design!N$2+1,1,1)&amp;";"&amp;OFFSET(掉落_design!$E190,0,掉落_design!N$2+2,1,1)&amp;";"&amp;OFFSET(掉落_design!$E190,0,掉落_design!N$2+3,1,1))</f>
        <v/>
      </c>
      <c r="P219" s="16" t="str">
        <f ca="1">IF(OFFSET(掉落_design!$E190,0,掉落_design!O$2,1,1)="","",OFFSET(掉落_design!$E190,0,掉落_design!O$2,1,1)&amp;";"&amp;OFFSET(掉落_design!$E190,0,掉落_design!O$2+1,1,1)&amp;";"&amp;OFFSET(掉落_design!$E190,0,掉落_design!O$2+2,1,1)&amp;";"&amp;OFFSET(掉落_design!$E190,0,掉落_design!O$2+3,1,1))</f>
        <v/>
      </c>
      <c r="Q219" s="25"/>
      <c r="R219" s="25"/>
      <c r="S219" s="25"/>
    </row>
    <row r="220" spans="1:19" x14ac:dyDescent="0.15">
      <c r="A220" s="11" t="str">
        <f t="shared" si="33"/>
        <v/>
      </c>
      <c r="D220" s="15" t="str">
        <f>IF(掉落_design!C191="","",掉落_design!C191)</f>
        <v/>
      </c>
      <c r="E220" s="15" t="str">
        <f>IF(A220="","",掉落_design!D191)</f>
        <v/>
      </c>
      <c r="F220" s="16" t="str">
        <f ca="1">IF(OFFSET(掉落_design!$E191,0,掉落_design!E$2,1,1)="","",OFFSET(掉落_design!$E191,0,掉落_design!E$2,1,1)&amp;";"&amp;OFFSET(掉落_design!$E191,0,掉落_design!E$2+1,1,1)&amp;";"&amp;OFFSET(掉落_design!$E191,0,掉落_design!E$2+2,1,1)&amp;";"&amp;OFFSET(掉落_design!$E191,0,掉落_design!E$2+3,1,1))</f>
        <v/>
      </c>
      <c r="G220" s="16" t="str">
        <f ca="1">IF(OFFSET(掉落_design!$E191,0,掉落_design!F$2,1,1)="","",OFFSET(掉落_design!$E191,0,掉落_design!F$2,1,1)&amp;";"&amp;OFFSET(掉落_design!$E191,0,掉落_design!F$2+1,1,1)&amp;";"&amp;OFFSET(掉落_design!$E191,0,掉落_design!F$2+2,1,1)&amp;";"&amp;OFFSET(掉落_design!$E191,0,掉落_design!F$2+3,1,1))</f>
        <v/>
      </c>
      <c r="H220" s="16" t="str">
        <f ca="1">IF(OFFSET(掉落_design!$E191,0,掉落_design!G$2,1,1)="","",OFFSET(掉落_design!$E191,0,掉落_design!G$2,1,1)&amp;";"&amp;OFFSET(掉落_design!$E191,0,掉落_design!G$2+1,1,1)&amp;";"&amp;OFFSET(掉落_design!$E191,0,掉落_design!G$2+2,1,1)&amp;";"&amp;OFFSET(掉落_design!$E191,0,掉落_design!G$2+3,1,1))</f>
        <v/>
      </c>
      <c r="I220" s="16" t="str">
        <f ca="1">IF(OFFSET(掉落_design!$E191,0,掉落_design!H$2,1,1)="","",OFFSET(掉落_design!$E191,0,掉落_design!H$2,1,1)&amp;";"&amp;OFFSET(掉落_design!$E191,0,掉落_design!H$2+1,1,1)&amp;";"&amp;OFFSET(掉落_design!$E191,0,掉落_design!H$2+2,1,1)&amp;";"&amp;OFFSET(掉落_design!$E191,0,掉落_design!H$2+3,1,1))</f>
        <v/>
      </c>
      <c r="J220" s="16" t="str">
        <f ca="1">IF(OFFSET(掉落_design!$E191,0,掉落_design!I$2,1,1)="","",OFFSET(掉落_design!$E191,0,掉落_design!I$2,1,1)&amp;";"&amp;OFFSET(掉落_design!$E191,0,掉落_design!I$2+1,1,1)&amp;";"&amp;OFFSET(掉落_design!$E191,0,掉落_design!I$2+2,1,1)&amp;";"&amp;OFFSET(掉落_design!$E191,0,掉落_design!I$2+3,1,1))</f>
        <v/>
      </c>
      <c r="K220" s="16" t="str">
        <f ca="1">IF(OFFSET(掉落_design!$E191,0,掉落_design!J$2,1,1)="","",OFFSET(掉落_design!$E191,0,掉落_design!J$2,1,1)&amp;";"&amp;OFFSET(掉落_design!$E191,0,掉落_design!J$2+1,1,1)&amp;";"&amp;OFFSET(掉落_design!$E191,0,掉落_design!J$2+2,1,1)&amp;";"&amp;OFFSET(掉落_design!$E191,0,掉落_design!J$2+3,1,1))</f>
        <v/>
      </c>
      <c r="L220" s="16" t="str">
        <f ca="1">IF(OFFSET(掉落_design!$E191,0,掉落_design!K$2,1,1)="","",OFFSET(掉落_design!$E191,0,掉落_design!K$2,1,1)&amp;";"&amp;OFFSET(掉落_design!$E191,0,掉落_design!K$2+1,1,1)&amp;";"&amp;OFFSET(掉落_design!$E191,0,掉落_design!K$2+2,1,1)&amp;";"&amp;OFFSET(掉落_design!$E191,0,掉落_design!K$2+3,1,1))</f>
        <v/>
      </c>
      <c r="M220" s="16" t="str">
        <f ca="1">IF(OFFSET(掉落_design!$E191,0,掉落_design!L$2,1,1)="","",OFFSET(掉落_design!$E191,0,掉落_design!L$2,1,1)&amp;";"&amp;OFFSET(掉落_design!$E191,0,掉落_design!L$2+1,1,1)&amp;";"&amp;OFFSET(掉落_design!$E191,0,掉落_design!L$2+2,1,1)&amp;";"&amp;OFFSET(掉落_design!$E191,0,掉落_design!L$2+3,1,1))</f>
        <v/>
      </c>
      <c r="N220" s="16" t="str">
        <f ca="1">IF(OFFSET(掉落_design!$E191,0,掉落_design!M$2,1,1)="","",OFFSET(掉落_design!$E191,0,掉落_design!M$2,1,1)&amp;";"&amp;OFFSET(掉落_design!$E191,0,掉落_design!M$2+1,1,1)&amp;";"&amp;OFFSET(掉落_design!$E191,0,掉落_design!M$2+2,1,1)&amp;";"&amp;OFFSET(掉落_design!$E191,0,掉落_design!M$2+3,1,1))</f>
        <v/>
      </c>
      <c r="O220" s="16" t="str">
        <f ca="1">IF(OFFSET(掉落_design!$E191,0,掉落_design!N$2,1,1)="","",OFFSET(掉落_design!$E191,0,掉落_design!N$2,1,1)&amp;";"&amp;OFFSET(掉落_design!$E191,0,掉落_design!N$2+1,1,1)&amp;";"&amp;OFFSET(掉落_design!$E191,0,掉落_design!N$2+2,1,1)&amp;";"&amp;OFFSET(掉落_design!$E191,0,掉落_design!N$2+3,1,1))</f>
        <v/>
      </c>
      <c r="P220" s="16" t="str">
        <f ca="1">IF(OFFSET(掉落_design!$E191,0,掉落_design!O$2,1,1)="","",OFFSET(掉落_design!$E191,0,掉落_design!O$2,1,1)&amp;";"&amp;OFFSET(掉落_design!$E191,0,掉落_design!O$2+1,1,1)&amp;";"&amp;OFFSET(掉落_design!$E191,0,掉落_design!O$2+2,1,1)&amp;";"&amp;OFFSET(掉落_design!$E191,0,掉落_design!O$2+3,1,1))</f>
        <v/>
      </c>
    </row>
    <row r="221" spans="1:19" x14ac:dyDescent="0.15">
      <c r="A221" s="11" t="str">
        <f t="shared" si="33"/>
        <v/>
      </c>
      <c r="D221" s="15" t="str">
        <f>IF(掉落_design!C192="","",掉落_design!C192)</f>
        <v/>
      </c>
      <c r="E221" s="15" t="str">
        <f>IF(A221="","",掉落_design!D192)</f>
        <v/>
      </c>
      <c r="F221" s="16" t="str">
        <f ca="1">IF(OFFSET(掉落_design!$E192,0,掉落_design!E$2,1,1)="","",OFFSET(掉落_design!$E192,0,掉落_design!E$2,1,1)&amp;";"&amp;OFFSET(掉落_design!$E192,0,掉落_design!E$2+1,1,1)&amp;";"&amp;OFFSET(掉落_design!$E192,0,掉落_design!E$2+2,1,1)&amp;";"&amp;OFFSET(掉落_design!$E192,0,掉落_design!E$2+3,1,1))</f>
        <v/>
      </c>
      <c r="G221" s="16" t="str">
        <f ca="1">IF(OFFSET(掉落_design!$E192,0,掉落_design!F$2,1,1)="","",OFFSET(掉落_design!$E192,0,掉落_design!F$2,1,1)&amp;";"&amp;OFFSET(掉落_design!$E192,0,掉落_design!F$2+1,1,1)&amp;";"&amp;OFFSET(掉落_design!$E192,0,掉落_design!F$2+2,1,1)&amp;";"&amp;OFFSET(掉落_design!$E192,0,掉落_design!F$2+3,1,1))</f>
        <v/>
      </c>
      <c r="H221" s="16" t="str">
        <f ca="1">IF(OFFSET(掉落_design!$E192,0,掉落_design!G$2,1,1)="","",OFFSET(掉落_design!$E192,0,掉落_design!G$2,1,1)&amp;";"&amp;OFFSET(掉落_design!$E192,0,掉落_design!G$2+1,1,1)&amp;";"&amp;OFFSET(掉落_design!$E192,0,掉落_design!G$2+2,1,1)&amp;";"&amp;OFFSET(掉落_design!$E192,0,掉落_design!G$2+3,1,1))</f>
        <v/>
      </c>
      <c r="I221" s="16" t="str">
        <f ca="1">IF(OFFSET(掉落_design!$E192,0,掉落_design!H$2,1,1)="","",OFFSET(掉落_design!$E192,0,掉落_design!H$2,1,1)&amp;";"&amp;OFFSET(掉落_design!$E192,0,掉落_design!H$2+1,1,1)&amp;";"&amp;OFFSET(掉落_design!$E192,0,掉落_design!H$2+2,1,1)&amp;";"&amp;OFFSET(掉落_design!$E192,0,掉落_design!H$2+3,1,1))</f>
        <v/>
      </c>
      <c r="J221" s="16" t="str">
        <f ca="1">IF(OFFSET(掉落_design!$E192,0,掉落_design!I$2,1,1)="","",OFFSET(掉落_design!$E192,0,掉落_design!I$2,1,1)&amp;";"&amp;OFFSET(掉落_design!$E192,0,掉落_design!I$2+1,1,1)&amp;";"&amp;OFFSET(掉落_design!$E192,0,掉落_design!I$2+2,1,1)&amp;";"&amp;OFFSET(掉落_design!$E192,0,掉落_design!I$2+3,1,1))</f>
        <v/>
      </c>
      <c r="K221" s="16" t="str">
        <f ca="1">IF(OFFSET(掉落_design!$E192,0,掉落_design!J$2,1,1)="","",OFFSET(掉落_design!$E192,0,掉落_design!J$2,1,1)&amp;";"&amp;OFFSET(掉落_design!$E192,0,掉落_design!J$2+1,1,1)&amp;";"&amp;OFFSET(掉落_design!$E192,0,掉落_design!J$2+2,1,1)&amp;";"&amp;OFFSET(掉落_design!$E192,0,掉落_design!J$2+3,1,1))</f>
        <v/>
      </c>
      <c r="L221" s="16" t="str">
        <f ca="1">IF(OFFSET(掉落_design!$E192,0,掉落_design!K$2,1,1)="","",OFFSET(掉落_design!$E192,0,掉落_design!K$2,1,1)&amp;";"&amp;OFFSET(掉落_design!$E192,0,掉落_design!K$2+1,1,1)&amp;";"&amp;OFFSET(掉落_design!$E192,0,掉落_design!K$2+2,1,1)&amp;";"&amp;OFFSET(掉落_design!$E192,0,掉落_design!K$2+3,1,1))</f>
        <v/>
      </c>
      <c r="M221" s="16" t="str">
        <f ca="1">IF(OFFSET(掉落_design!$E192,0,掉落_design!L$2,1,1)="","",OFFSET(掉落_design!$E192,0,掉落_design!L$2,1,1)&amp;";"&amp;OFFSET(掉落_design!$E192,0,掉落_design!L$2+1,1,1)&amp;";"&amp;OFFSET(掉落_design!$E192,0,掉落_design!L$2+2,1,1)&amp;";"&amp;OFFSET(掉落_design!$E192,0,掉落_design!L$2+3,1,1))</f>
        <v/>
      </c>
      <c r="N221" s="16" t="str">
        <f ca="1">IF(OFFSET(掉落_design!$E192,0,掉落_design!M$2,1,1)="","",OFFSET(掉落_design!$E192,0,掉落_design!M$2,1,1)&amp;";"&amp;OFFSET(掉落_design!$E192,0,掉落_design!M$2+1,1,1)&amp;";"&amp;OFFSET(掉落_design!$E192,0,掉落_design!M$2+2,1,1)&amp;";"&amp;OFFSET(掉落_design!$E192,0,掉落_design!M$2+3,1,1))</f>
        <v/>
      </c>
      <c r="O221" s="16" t="str">
        <f ca="1">IF(OFFSET(掉落_design!$E192,0,掉落_design!N$2,1,1)="","",OFFSET(掉落_design!$E192,0,掉落_design!N$2,1,1)&amp;";"&amp;OFFSET(掉落_design!$E192,0,掉落_design!N$2+1,1,1)&amp;";"&amp;OFFSET(掉落_design!$E192,0,掉落_design!N$2+2,1,1)&amp;";"&amp;OFFSET(掉落_design!$E192,0,掉落_design!N$2+3,1,1))</f>
        <v/>
      </c>
      <c r="P221" s="16" t="str">
        <f ca="1">IF(OFFSET(掉落_design!$E192,0,掉落_design!O$2,1,1)="","",OFFSET(掉落_design!$E192,0,掉落_design!O$2,1,1)&amp;";"&amp;OFFSET(掉落_design!$E192,0,掉落_design!O$2+1,1,1)&amp;";"&amp;OFFSET(掉落_design!$E192,0,掉落_design!O$2+2,1,1)&amp;";"&amp;OFFSET(掉落_design!$E192,0,掉落_design!O$2+3,1,1))</f>
        <v/>
      </c>
    </row>
    <row r="222" spans="1:19" x14ac:dyDescent="0.15">
      <c r="A222" s="11" t="str">
        <f t="shared" si="33"/>
        <v/>
      </c>
      <c r="D222" s="15" t="str">
        <f>IF(掉落_design!C193="","",掉落_design!C193)</f>
        <v/>
      </c>
      <c r="E222" s="15" t="str">
        <f>IF(A222="","",掉落_design!D193)</f>
        <v/>
      </c>
      <c r="F222" s="16" t="str">
        <f ca="1">IF(OFFSET(掉落_design!$E193,0,掉落_design!E$2,1,1)="","",OFFSET(掉落_design!$E193,0,掉落_design!E$2,1,1)&amp;";"&amp;OFFSET(掉落_design!$E193,0,掉落_design!E$2+1,1,1)&amp;";"&amp;OFFSET(掉落_design!$E193,0,掉落_design!E$2+2,1,1)&amp;";"&amp;OFFSET(掉落_design!$E193,0,掉落_design!E$2+3,1,1))</f>
        <v/>
      </c>
      <c r="G222" s="16" t="str">
        <f ca="1">IF(OFFSET(掉落_design!$E193,0,掉落_design!F$2,1,1)="","",OFFSET(掉落_design!$E193,0,掉落_design!F$2,1,1)&amp;";"&amp;OFFSET(掉落_design!$E193,0,掉落_design!F$2+1,1,1)&amp;";"&amp;OFFSET(掉落_design!$E193,0,掉落_design!F$2+2,1,1)&amp;";"&amp;OFFSET(掉落_design!$E193,0,掉落_design!F$2+3,1,1))</f>
        <v/>
      </c>
      <c r="H222" s="16" t="str">
        <f ca="1">IF(OFFSET(掉落_design!$E193,0,掉落_design!G$2,1,1)="","",OFFSET(掉落_design!$E193,0,掉落_design!G$2,1,1)&amp;";"&amp;OFFSET(掉落_design!$E193,0,掉落_design!G$2+1,1,1)&amp;";"&amp;OFFSET(掉落_design!$E193,0,掉落_design!G$2+2,1,1)&amp;";"&amp;OFFSET(掉落_design!$E193,0,掉落_design!G$2+3,1,1))</f>
        <v/>
      </c>
      <c r="I222" s="16" t="str">
        <f ca="1">IF(OFFSET(掉落_design!$E193,0,掉落_design!H$2,1,1)="","",OFFSET(掉落_design!$E193,0,掉落_design!H$2,1,1)&amp;";"&amp;OFFSET(掉落_design!$E193,0,掉落_design!H$2+1,1,1)&amp;";"&amp;OFFSET(掉落_design!$E193,0,掉落_design!H$2+2,1,1)&amp;";"&amp;OFFSET(掉落_design!$E193,0,掉落_design!H$2+3,1,1))</f>
        <v/>
      </c>
      <c r="J222" s="16" t="str">
        <f ca="1">IF(OFFSET(掉落_design!$E193,0,掉落_design!I$2,1,1)="","",OFFSET(掉落_design!$E193,0,掉落_design!I$2,1,1)&amp;";"&amp;OFFSET(掉落_design!$E193,0,掉落_design!I$2+1,1,1)&amp;";"&amp;OFFSET(掉落_design!$E193,0,掉落_design!I$2+2,1,1)&amp;";"&amp;OFFSET(掉落_design!$E193,0,掉落_design!I$2+3,1,1))</f>
        <v/>
      </c>
      <c r="K222" s="16" t="str">
        <f ca="1">IF(OFFSET(掉落_design!$E193,0,掉落_design!J$2,1,1)="","",OFFSET(掉落_design!$E193,0,掉落_design!J$2,1,1)&amp;";"&amp;OFFSET(掉落_design!$E193,0,掉落_design!J$2+1,1,1)&amp;";"&amp;OFFSET(掉落_design!$E193,0,掉落_design!J$2+2,1,1)&amp;";"&amp;OFFSET(掉落_design!$E193,0,掉落_design!J$2+3,1,1))</f>
        <v/>
      </c>
      <c r="L222" s="16" t="str">
        <f ca="1">IF(OFFSET(掉落_design!$E193,0,掉落_design!K$2,1,1)="","",OFFSET(掉落_design!$E193,0,掉落_design!K$2,1,1)&amp;";"&amp;OFFSET(掉落_design!$E193,0,掉落_design!K$2+1,1,1)&amp;";"&amp;OFFSET(掉落_design!$E193,0,掉落_design!K$2+2,1,1)&amp;";"&amp;OFFSET(掉落_design!$E193,0,掉落_design!K$2+3,1,1))</f>
        <v/>
      </c>
      <c r="M222" s="16" t="str">
        <f ca="1">IF(OFFSET(掉落_design!$E193,0,掉落_design!L$2,1,1)="","",OFFSET(掉落_design!$E193,0,掉落_design!L$2,1,1)&amp;";"&amp;OFFSET(掉落_design!$E193,0,掉落_design!L$2+1,1,1)&amp;";"&amp;OFFSET(掉落_design!$E193,0,掉落_design!L$2+2,1,1)&amp;";"&amp;OFFSET(掉落_design!$E193,0,掉落_design!L$2+3,1,1))</f>
        <v/>
      </c>
      <c r="N222" s="16" t="str">
        <f ca="1">IF(OFFSET(掉落_design!$E193,0,掉落_design!M$2,1,1)="","",OFFSET(掉落_design!$E193,0,掉落_design!M$2,1,1)&amp;";"&amp;OFFSET(掉落_design!$E193,0,掉落_design!M$2+1,1,1)&amp;";"&amp;OFFSET(掉落_design!$E193,0,掉落_design!M$2+2,1,1)&amp;";"&amp;OFFSET(掉落_design!$E193,0,掉落_design!M$2+3,1,1))</f>
        <v/>
      </c>
      <c r="O222" s="16" t="str">
        <f ca="1">IF(OFFSET(掉落_design!$E193,0,掉落_design!N$2,1,1)="","",OFFSET(掉落_design!$E193,0,掉落_design!N$2,1,1)&amp;";"&amp;OFFSET(掉落_design!$E193,0,掉落_design!N$2+1,1,1)&amp;";"&amp;OFFSET(掉落_design!$E193,0,掉落_design!N$2+2,1,1)&amp;";"&amp;OFFSET(掉落_design!$E193,0,掉落_design!N$2+3,1,1))</f>
        <v/>
      </c>
      <c r="P222" s="16" t="str">
        <f ca="1">IF(OFFSET(掉落_design!$E193,0,掉落_design!O$2,1,1)="","",OFFSET(掉落_design!$E193,0,掉落_design!O$2,1,1)&amp;";"&amp;OFFSET(掉落_design!$E193,0,掉落_design!O$2+1,1,1)&amp;";"&amp;OFFSET(掉落_design!$E193,0,掉落_design!O$2+2,1,1)&amp;";"&amp;OFFSET(掉落_design!$E193,0,掉落_design!O$2+3,1,1))</f>
        <v/>
      </c>
    </row>
    <row r="223" spans="1:19" x14ac:dyDescent="0.15">
      <c r="A223" s="11" t="str">
        <f t="shared" si="33"/>
        <v/>
      </c>
      <c r="D223" s="15" t="str">
        <f>IF(掉落_design!C194="","",掉落_design!C194)</f>
        <v/>
      </c>
      <c r="E223" s="15" t="str">
        <f>IF(A223="","",掉落_design!D194)</f>
        <v/>
      </c>
      <c r="F223" s="16" t="str">
        <f ca="1">IF(OFFSET(掉落_design!$E194,0,掉落_design!E$2,1,1)="","",OFFSET(掉落_design!$E194,0,掉落_design!E$2,1,1)&amp;";"&amp;OFFSET(掉落_design!$E194,0,掉落_design!E$2+1,1,1)&amp;";"&amp;OFFSET(掉落_design!$E194,0,掉落_design!E$2+2,1,1)&amp;";"&amp;OFFSET(掉落_design!$E194,0,掉落_design!E$2+3,1,1))</f>
        <v/>
      </c>
      <c r="G223" s="16" t="str">
        <f ca="1">IF(OFFSET(掉落_design!$E194,0,掉落_design!F$2,1,1)="","",OFFSET(掉落_design!$E194,0,掉落_design!F$2,1,1)&amp;";"&amp;OFFSET(掉落_design!$E194,0,掉落_design!F$2+1,1,1)&amp;";"&amp;OFFSET(掉落_design!$E194,0,掉落_design!F$2+2,1,1)&amp;";"&amp;OFFSET(掉落_design!$E194,0,掉落_design!F$2+3,1,1))</f>
        <v/>
      </c>
      <c r="H223" s="16" t="str">
        <f ca="1">IF(OFFSET(掉落_design!$E194,0,掉落_design!G$2,1,1)="","",OFFSET(掉落_design!$E194,0,掉落_design!G$2,1,1)&amp;";"&amp;OFFSET(掉落_design!$E194,0,掉落_design!G$2+1,1,1)&amp;";"&amp;OFFSET(掉落_design!$E194,0,掉落_design!G$2+2,1,1)&amp;";"&amp;OFFSET(掉落_design!$E194,0,掉落_design!G$2+3,1,1))</f>
        <v/>
      </c>
      <c r="I223" s="16" t="str">
        <f ca="1">IF(OFFSET(掉落_design!$E194,0,掉落_design!H$2,1,1)="","",OFFSET(掉落_design!$E194,0,掉落_design!H$2,1,1)&amp;";"&amp;OFFSET(掉落_design!$E194,0,掉落_design!H$2+1,1,1)&amp;";"&amp;OFFSET(掉落_design!$E194,0,掉落_design!H$2+2,1,1)&amp;";"&amp;OFFSET(掉落_design!$E194,0,掉落_design!H$2+3,1,1))</f>
        <v/>
      </c>
      <c r="J223" s="16" t="str">
        <f ca="1">IF(OFFSET(掉落_design!$E194,0,掉落_design!I$2,1,1)="","",OFFSET(掉落_design!$E194,0,掉落_design!I$2,1,1)&amp;";"&amp;OFFSET(掉落_design!$E194,0,掉落_design!I$2+1,1,1)&amp;";"&amp;OFFSET(掉落_design!$E194,0,掉落_design!I$2+2,1,1)&amp;";"&amp;OFFSET(掉落_design!$E194,0,掉落_design!I$2+3,1,1))</f>
        <v/>
      </c>
      <c r="K223" s="16" t="str">
        <f ca="1">IF(OFFSET(掉落_design!$E194,0,掉落_design!J$2,1,1)="","",OFFSET(掉落_design!$E194,0,掉落_design!J$2,1,1)&amp;";"&amp;OFFSET(掉落_design!$E194,0,掉落_design!J$2+1,1,1)&amp;";"&amp;OFFSET(掉落_design!$E194,0,掉落_design!J$2+2,1,1)&amp;";"&amp;OFFSET(掉落_design!$E194,0,掉落_design!J$2+3,1,1))</f>
        <v/>
      </c>
      <c r="L223" s="16" t="str">
        <f ca="1">IF(OFFSET(掉落_design!$E194,0,掉落_design!K$2,1,1)="","",OFFSET(掉落_design!$E194,0,掉落_design!K$2,1,1)&amp;";"&amp;OFFSET(掉落_design!$E194,0,掉落_design!K$2+1,1,1)&amp;";"&amp;OFFSET(掉落_design!$E194,0,掉落_design!K$2+2,1,1)&amp;";"&amp;OFFSET(掉落_design!$E194,0,掉落_design!K$2+3,1,1))</f>
        <v/>
      </c>
      <c r="M223" s="16" t="str">
        <f ca="1">IF(OFFSET(掉落_design!$E194,0,掉落_design!L$2,1,1)="","",OFFSET(掉落_design!$E194,0,掉落_design!L$2,1,1)&amp;";"&amp;OFFSET(掉落_design!$E194,0,掉落_design!L$2+1,1,1)&amp;";"&amp;OFFSET(掉落_design!$E194,0,掉落_design!L$2+2,1,1)&amp;";"&amp;OFFSET(掉落_design!$E194,0,掉落_design!L$2+3,1,1))</f>
        <v/>
      </c>
      <c r="N223" s="16" t="str">
        <f ca="1">IF(OFFSET(掉落_design!$E194,0,掉落_design!M$2,1,1)="","",OFFSET(掉落_design!$E194,0,掉落_design!M$2,1,1)&amp;";"&amp;OFFSET(掉落_design!$E194,0,掉落_design!M$2+1,1,1)&amp;";"&amp;OFFSET(掉落_design!$E194,0,掉落_design!M$2+2,1,1)&amp;";"&amp;OFFSET(掉落_design!$E194,0,掉落_design!M$2+3,1,1))</f>
        <v/>
      </c>
      <c r="O223" s="16" t="str">
        <f ca="1">IF(OFFSET(掉落_design!$E194,0,掉落_design!N$2,1,1)="","",OFFSET(掉落_design!$E194,0,掉落_design!N$2,1,1)&amp;";"&amp;OFFSET(掉落_design!$E194,0,掉落_design!N$2+1,1,1)&amp;";"&amp;OFFSET(掉落_design!$E194,0,掉落_design!N$2+2,1,1)&amp;";"&amp;OFFSET(掉落_design!$E194,0,掉落_design!N$2+3,1,1))</f>
        <v/>
      </c>
      <c r="P223" s="16" t="str">
        <f ca="1">IF(OFFSET(掉落_design!$E194,0,掉落_design!O$2,1,1)="","",OFFSET(掉落_design!$E194,0,掉落_design!O$2,1,1)&amp;";"&amp;OFFSET(掉落_design!$E194,0,掉落_design!O$2+1,1,1)&amp;";"&amp;OFFSET(掉落_design!$E194,0,掉落_design!O$2+2,1,1)&amp;";"&amp;OFFSET(掉落_design!$E194,0,掉落_design!O$2+3,1,1))</f>
        <v/>
      </c>
    </row>
    <row r="224" spans="1:19" x14ac:dyDescent="0.15">
      <c r="A224" s="11" t="str">
        <f t="shared" si="33"/>
        <v/>
      </c>
      <c r="D224" s="15" t="str">
        <f>IF(掉落_design!C195="","",掉落_design!C195)</f>
        <v/>
      </c>
      <c r="E224" s="15" t="str">
        <f>IF(A224="","",掉落_design!D195)</f>
        <v/>
      </c>
      <c r="F224" s="16" t="str">
        <f ca="1">IF(OFFSET(掉落_design!$E195,0,掉落_design!E$2,1,1)="","",OFFSET(掉落_design!$E195,0,掉落_design!E$2,1,1)&amp;";"&amp;OFFSET(掉落_design!$E195,0,掉落_design!E$2+1,1,1)&amp;";"&amp;OFFSET(掉落_design!$E195,0,掉落_design!E$2+2,1,1)&amp;";"&amp;OFFSET(掉落_design!$E195,0,掉落_design!E$2+3,1,1))</f>
        <v/>
      </c>
      <c r="G224" s="16" t="str">
        <f ca="1">IF(OFFSET(掉落_design!$E195,0,掉落_design!F$2,1,1)="","",OFFSET(掉落_design!$E195,0,掉落_design!F$2,1,1)&amp;";"&amp;OFFSET(掉落_design!$E195,0,掉落_design!F$2+1,1,1)&amp;";"&amp;OFFSET(掉落_design!$E195,0,掉落_design!F$2+2,1,1)&amp;";"&amp;OFFSET(掉落_design!$E195,0,掉落_design!F$2+3,1,1))</f>
        <v/>
      </c>
      <c r="H224" s="16" t="str">
        <f ca="1">IF(OFFSET(掉落_design!$E195,0,掉落_design!G$2,1,1)="","",OFFSET(掉落_design!$E195,0,掉落_design!G$2,1,1)&amp;";"&amp;OFFSET(掉落_design!$E195,0,掉落_design!G$2+1,1,1)&amp;";"&amp;OFFSET(掉落_design!$E195,0,掉落_design!G$2+2,1,1)&amp;";"&amp;OFFSET(掉落_design!$E195,0,掉落_design!G$2+3,1,1))</f>
        <v/>
      </c>
      <c r="I224" s="16" t="str">
        <f ca="1">IF(OFFSET(掉落_design!$E195,0,掉落_design!H$2,1,1)="","",OFFSET(掉落_design!$E195,0,掉落_design!H$2,1,1)&amp;";"&amp;OFFSET(掉落_design!$E195,0,掉落_design!H$2+1,1,1)&amp;";"&amp;OFFSET(掉落_design!$E195,0,掉落_design!H$2+2,1,1)&amp;";"&amp;OFFSET(掉落_design!$E195,0,掉落_design!H$2+3,1,1))</f>
        <v/>
      </c>
      <c r="J224" s="16" t="str">
        <f ca="1">IF(OFFSET(掉落_design!$E195,0,掉落_design!I$2,1,1)="","",OFFSET(掉落_design!$E195,0,掉落_design!I$2,1,1)&amp;";"&amp;OFFSET(掉落_design!$E195,0,掉落_design!I$2+1,1,1)&amp;";"&amp;OFFSET(掉落_design!$E195,0,掉落_design!I$2+2,1,1)&amp;";"&amp;OFFSET(掉落_design!$E195,0,掉落_design!I$2+3,1,1))</f>
        <v/>
      </c>
      <c r="K224" s="16" t="str">
        <f ca="1">IF(OFFSET(掉落_design!$E195,0,掉落_design!J$2,1,1)="","",OFFSET(掉落_design!$E195,0,掉落_design!J$2,1,1)&amp;";"&amp;OFFSET(掉落_design!$E195,0,掉落_design!J$2+1,1,1)&amp;";"&amp;OFFSET(掉落_design!$E195,0,掉落_design!J$2+2,1,1)&amp;";"&amp;OFFSET(掉落_design!$E195,0,掉落_design!J$2+3,1,1))</f>
        <v/>
      </c>
      <c r="L224" s="16" t="str">
        <f ca="1">IF(OFFSET(掉落_design!$E195,0,掉落_design!K$2,1,1)="","",OFFSET(掉落_design!$E195,0,掉落_design!K$2,1,1)&amp;";"&amp;OFFSET(掉落_design!$E195,0,掉落_design!K$2+1,1,1)&amp;";"&amp;OFFSET(掉落_design!$E195,0,掉落_design!K$2+2,1,1)&amp;";"&amp;OFFSET(掉落_design!$E195,0,掉落_design!K$2+3,1,1))</f>
        <v/>
      </c>
      <c r="M224" s="16" t="str">
        <f ca="1">IF(OFFSET(掉落_design!$E195,0,掉落_design!L$2,1,1)="","",OFFSET(掉落_design!$E195,0,掉落_design!L$2,1,1)&amp;";"&amp;OFFSET(掉落_design!$E195,0,掉落_design!L$2+1,1,1)&amp;";"&amp;OFFSET(掉落_design!$E195,0,掉落_design!L$2+2,1,1)&amp;";"&amp;OFFSET(掉落_design!$E195,0,掉落_design!L$2+3,1,1))</f>
        <v/>
      </c>
      <c r="N224" s="16" t="str">
        <f ca="1">IF(OFFSET(掉落_design!$E195,0,掉落_design!M$2,1,1)="","",OFFSET(掉落_design!$E195,0,掉落_design!M$2,1,1)&amp;";"&amp;OFFSET(掉落_design!$E195,0,掉落_design!M$2+1,1,1)&amp;";"&amp;OFFSET(掉落_design!$E195,0,掉落_design!M$2+2,1,1)&amp;";"&amp;OFFSET(掉落_design!$E195,0,掉落_design!M$2+3,1,1))</f>
        <v/>
      </c>
      <c r="O224" s="16" t="str">
        <f ca="1">IF(OFFSET(掉落_design!$E195,0,掉落_design!N$2,1,1)="","",OFFSET(掉落_design!$E195,0,掉落_design!N$2,1,1)&amp;";"&amp;OFFSET(掉落_design!$E195,0,掉落_design!N$2+1,1,1)&amp;";"&amp;OFFSET(掉落_design!$E195,0,掉落_design!N$2+2,1,1)&amp;";"&amp;OFFSET(掉落_design!$E195,0,掉落_design!N$2+3,1,1))</f>
        <v/>
      </c>
      <c r="P224" s="16" t="str">
        <f ca="1">IF(OFFSET(掉落_design!$E195,0,掉落_design!O$2,1,1)="","",OFFSET(掉落_design!$E195,0,掉落_design!O$2,1,1)&amp;";"&amp;OFFSET(掉落_design!$E195,0,掉落_design!O$2+1,1,1)&amp;";"&amp;OFFSET(掉落_design!$E195,0,掉落_design!O$2+2,1,1)&amp;";"&amp;OFFSET(掉落_design!$E195,0,掉落_design!O$2+3,1,1))</f>
        <v/>
      </c>
    </row>
    <row r="225" spans="1:16" x14ac:dyDescent="0.15">
      <c r="A225" s="11" t="str">
        <f t="shared" si="33"/>
        <v/>
      </c>
      <c r="D225" s="15" t="str">
        <f>IF(掉落_design!C196="","",掉落_design!C196)</f>
        <v/>
      </c>
      <c r="E225" s="15" t="str">
        <f>IF(A225="","",掉落_design!D196)</f>
        <v/>
      </c>
      <c r="F225" s="16" t="str">
        <f ca="1">IF(OFFSET(掉落_design!$E196,0,掉落_design!E$2,1,1)="","",OFFSET(掉落_design!$E196,0,掉落_design!E$2,1,1)&amp;";"&amp;OFFSET(掉落_design!$E196,0,掉落_design!E$2+1,1,1)&amp;";"&amp;OFFSET(掉落_design!$E196,0,掉落_design!E$2+2,1,1)&amp;";"&amp;OFFSET(掉落_design!$E196,0,掉落_design!E$2+3,1,1))</f>
        <v/>
      </c>
      <c r="G225" s="16" t="str">
        <f ca="1">IF(OFFSET(掉落_design!$E196,0,掉落_design!F$2,1,1)="","",OFFSET(掉落_design!$E196,0,掉落_design!F$2,1,1)&amp;";"&amp;OFFSET(掉落_design!$E196,0,掉落_design!F$2+1,1,1)&amp;";"&amp;OFFSET(掉落_design!$E196,0,掉落_design!F$2+2,1,1)&amp;";"&amp;OFFSET(掉落_design!$E196,0,掉落_design!F$2+3,1,1))</f>
        <v/>
      </c>
      <c r="H225" s="16" t="str">
        <f ca="1">IF(OFFSET(掉落_design!$E196,0,掉落_design!G$2,1,1)="","",OFFSET(掉落_design!$E196,0,掉落_design!G$2,1,1)&amp;";"&amp;OFFSET(掉落_design!$E196,0,掉落_design!G$2+1,1,1)&amp;";"&amp;OFFSET(掉落_design!$E196,0,掉落_design!G$2+2,1,1)&amp;";"&amp;OFFSET(掉落_design!$E196,0,掉落_design!G$2+3,1,1))</f>
        <v/>
      </c>
      <c r="I225" s="16" t="str">
        <f ca="1">IF(OFFSET(掉落_design!$E196,0,掉落_design!H$2,1,1)="","",OFFSET(掉落_design!$E196,0,掉落_design!H$2,1,1)&amp;";"&amp;OFFSET(掉落_design!$E196,0,掉落_design!H$2+1,1,1)&amp;";"&amp;OFFSET(掉落_design!$E196,0,掉落_design!H$2+2,1,1)&amp;";"&amp;OFFSET(掉落_design!$E196,0,掉落_design!H$2+3,1,1))</f>
        <v/>
      </c>
      <c r="J225" s="16" t="str">
        <f ca="1">IF(OFFSET(掉落_design!$E196,0,掉落_design!I$2,1,1)="","",OFFSET(掉落_design!$E196,0,掉落_design!I$2,1,1)&amp;";"&amp;OFFSET(掉落_design!$E196,0,掉落_design!I$2+1,1,1)&amp;";"&amp;OFFSET(掉落_design!$E196,0,掉落_design!I$2+2,1,1)&amp;";"&amp;OFFSET(掉落_design!$E196,0,掉落_design!I$2+3,1,1))</f>
        <v/>
      </c>
      <c r="K225" s="16" t="str">
        <f ca="1">IF(OFFSET(掉落_design!$E196,0,掉落_design!J$2,1,1)="","",OFFSET(掉落_design!$E196,0,掉落_design!J$2,1,1)&amp;";"&amp;OFFSET(掉落_design!$E196,0,掉落_design!J$2+1,1,1)&amp;";"&amp;OFFSET(掉落_design!$E196,0,掉落_design!J$2+2,1,1)&amp;";"&amp;OFFSET(掉落_design!$E196,0,掉落_design!J$2+3,1,1))</f>
        <v/>
      </c>
      <c r="L225" s="16" t="str">
        <f ca="1">IF(OFFSET(掉落_design!$E196,0,掉落_design!K$2,1,1)="","",OFFSET(掉落_design!$E196,0,掉落_design!K$2,1,1)&amp;";"&amp;OFFSET(掉落_design!$E196,0,掉落_design!K$2+1,1,1)&amp;";"&amp;OFFSET(掉落_design!$E196,0,掉落_design!K$2+2,1,1)&amp;";"&amp;OFFSET(掉落_design!$E196,0,掉落_design!K$2+3,1,1))</f>
        <v/>
      </c>
      <c r="M225" s="16" t="str">
        <f ca="1">IF(OFFSET(掉落_design!$E196,0,掉落_design!L$2,1,1)="","",OFFSET(掉落_design!$E196,0,掉落_design!L$2,1,1)&amp;";"&amp;OFFSET(掉落_design!$E196,0,掉落_design!L$2+1,1,1)&amp;";"&amp;OFFSET(掉落_design!$E196,0,掉落_design!L$2+2,1,1)&amp;";"&amp;OFFSET(掉落_design!$E196,0,掉落_design!L$2+3,1,1))</f>
        <v/>
      </c>
      <c r="N225" s="16" t="str">
        <f ca="1">IF(OFFSET(掉落_design!$E196,0,掉落_design!M$2,1,1)="","",OFFSET(掉落_design!$E196,0,掉落_design!M$2,1,1)&amp;";"&amp;OFFSET(掉落_design!$E196,0,掉落_design!M$2+1,1,1)&amp;";"&amp;OFFSET(掉落_design!$E196,0,掉落_design!M$2+2,1,1)&amp;";"&amp;OFFSET(掉落_design!$E196,0,掉落_design!M$2+3,1,1))</f>
        <v/>
      </c>
      <c r="O225" s="16" t="str">
        <f ca="1">IF(OFFSET(掉落_design!$E196,0,掉落_design!N$2,1,1)="","",OFFSET(掉落_design!$E196,0,掉落_design!N$2,1,1)&amp;";"&amp;OFFSET(掉落_design!$E196,0,掉落_design!N$2+1,1,1)&amp;";"&amp;OFFSET(掉落_design!$E196,0,掉落_design!N$2+2,1,1)&amp;";"&amp;OFFSET(掉落_design!$E196,0,掉落_design!N$2+3,1,1))</f>
        <v/>
      </c>
      <c r="P225" s="16" t="str">
        <f ca="1">IF(OFFSET(掉落_design!$E196,0,掉落_design!O$2,1,1)="","",OFFSET(掉落_design!$E196,0,掉落_design!O$2,1,1)&amp;";"&amp;OFFSET(掉落_design!$E196,0,掉落_design!O$2+1,1,1)&amp;";"&amp;OFFSET(掉落_design!$E196,0,掉落_design!O$2+2,1,1)&amp;";"&amp;OFFSET(掉落_design!$E196,0,掉落_design!O$2+3,1,1))</f>
        <v/>
      </c>
    </row>
    <row r="226" spans="1:16" x14ac:dyDescent="0.15">
      <c r="A226" s="11" t="str">
        <f t="shared" si="33"/>
        <v/>
      </c>
      <c r="D226" s="15" t="str">
        <f>IF(掉落_design!C197="","",掉落_design!C197)</f>
        <v/>
      </c>
      <c r="E226" s="15" t="str">
        <f>IF(A226="","",掉落_design!D197)</f>
        <v/>
      </c>
      <c r="F226" s="16" t="str">
        <f ca="1">IF(OFFSET(掉落_design!$E197,0,掉落_design!E$2,1,1)="","",OFFSET(掉落_design!$E197,0,掉落_design!E$2,1,1)&amp;";"&amp;OFFSET(掉落_design!$E197,0,掉落_design!E$2+1,1,1)&amp;";"&amp;OFFSET(掉落_design!$E197,0,掉落_design!E$2+2,1,1)&amp;";"&amp;OFFSET(掉落_design!$E197,0,掉落_design!E$2+3,1,1))</f>
        <v/>
      </c>
      <c r="G226" s="16" t="str">
        <f ca="1">IF(OFFSET(掉落_design!$E197,0,掉落_design!F$2,1,1)="","",OFFSET(掉落_design!$E197,0,掉落_design!F$2,1,1)&amp;";"&amp;OFFSET(掉落_design!$E197,0,掉落_design!F$2+1,1,1)&amp;";"&amp;OFFSET(掉落_design!$E197,0,掉落_design!F$2+2,1,1)&amp;";"&amp;OFFSET(掉落_design!$E197,0,掉落_design!F$2+3,1,1))</f>
        <v/>
      </c>
      <c r="H226" s="16" t="str">
        <f ca="1">IF(OFFSET(掉落_design!$E197,0,掉落_design!G$2,1,1)="","",OFFSET(掉落_design!$E197,0,掉落_design!G$2,1,1)&amp;";"&amp;OFFSET(掉落_design!$E197,0,掉落_design!G$2+1,1,1)&amp;";"&amp;OFFSET(掉落_design!$E197,0,掉落_design!G$2+2,1,1)&amp;";"&amp;OFFSET(掉落_design!$E197,0,掉落_design!G$2+3,1,1))</f>
        <v/>
      </c>
      <c r="I226" s="16" t="str">
        <f ca="1">IF(OFFSET(掉落_design!$E197,0,掉落_design!H$2,1,1)="","",OFFSET(掉落_design!$E197,0,掉落_design!H$2,1,1)&amp;";"&amp;OFFSET(掉落_design!$E197,0,掉落_design!H$2+1,1,1)&amp;";"&amp;OFFSET(掉落_design!$E197,0,掉落_design!H$2+2,1,1)&amp;";"&amp;OFFSET(掉落_design!$E197,0,掉落_design!H$2+3,1,1))</f>
        <v/>
      </c>
      <c r="J226" s="16" t="str">
        <f ca="1">IF(OFFSET(掉落_design!$E197,0,掉落_design!I$2,1,1)="","",OFFSET(掉落_design!$E197,0,掉落_design!I$2,1,1)&amp;";"&amp;OFFSET(掉落_design!$E197,0,掉落_design!I$2+1,1,1)&amp;";"&amp;OFFSET(掉落_design!$E197,0,掉落_design!I$2+2,1,1)&amp;";"&amp;OFFSET(掉落_design!$E197,0,掉落_design!I$2+3,1,1))</f>
        <v/>
      </c>
      <c r="K226" s="16" t="str">
        <f ca="1">IF(OFFSET(掉落_design!$E197,0,掉落_design!J$2,1,1)="","",OFFSET(掉落_design!$E197,0,掉落_design!J$2,1,1)&amp;";"&amp;OFFSET(掉落_design!$E197,0,掉落_design!J$2+1,1,1)&amp;";"&amp;OFFSET(掉落_design!$E197,0,掉落_design!J$2+2,1,1)&amp;";"&amp;OFFSET(掉落_design!$E197,0,掉落_design!J$2+3,1,1))</f>
        <v/>
      </c>
      <c r="L226" s="16" t="str">
        <f ca="1">IF(OFFSET(掉落_design!$E197,0,掉落_design!K$2,1,1)="","",OFFSET(掉落_design!$E197,0,掉落_design!K$2,1,1)&amp;";"&amp;OFFSET(掉落_design!$E197,0,掉落_design!K$2+1,1,1)&amp;";"&amp;OFFSET(掉落_design!$E197,0,掉落_design!K$2+2,1,1)&amp;";"&amp;OFFSET(掉落_design!$E197,0,掉落_design!K$2+3,1,1))</f>
        <v/>
      </c>
      <c r="M226" s="16" t="str">
        <f ca="1">IF(OFFSET(掉落_design!$E197,0,掉落_design!L$2,1,1)="","",OFFSET(掉落_design!$E197,0,掉落_design!L$2,1,1)&amp;";"&amp;OFFSET(掉落_design!$E197,0,掉落_design!L$2+1,1,1)&amp;";"&amp;OFFSET(掉落_design!$E197,0,掉落_design!L$2+2,1,1)&amp;";"&amp;OFFSET(掉落_design!$E197,0,掉落_design!L$2+3,1,1))</f>
        <v/>
      </c>
      <c r="N226" s="16" t="str">
        <f ca="1">IF(OFFSET(掉落_design!$E197,0,掉落_design!M$2,1,1)="","",OFFSET(掉落_design!$E197,0,掉落_design!M$2,1,1)&amp;";"&amp;OFFSET(掉落_design!$E197,0,掉落_design!M$2+1,1,1)&amp;";"&amp;OFFSET(掉落_design!$E197,0,掉落_design!M$2+2,1,1)&amp;";"&amp;OFFSET(掉落_design!$E197,0,掉落_design!M$2+3,1,1))</f>
        <v/>
      </c>
      <c r="O226" s="16" t="str">
        <f ca="1">IF(OFFSET(掉落_design!$E197,0,掉落_design!N$2,1,1)="","",OFFSET(掉落_design!$E197,0,掉落_design!N$2,1,1)&amp;";"&amp;OFFSET(掉落_design!$E197,0,掉落_design!N$2+1,1,1)&amp;";"&amp;OFFSET(掉落_design!$E197,0,掉落_design!N$2+2,1,1)&amp;";"&amp;OFFSET(掉落_design!$E197,0,掉落_design!N$2+3,1,1))</f>
        <v/>
      </c>
      <c r="P226" s="16" t="str">
        <f ca="1">IF(OFFSET(掉落_design!$E197,0,掉落_design!O$2,1,1)="","",OFFSET(掉落_design!$E197,0,掉落_design!O$2,1,1)&amp;";"&amp;OFFSET(掉落_design!$E197,0,掉落_design!O$2+1,1,1)&amp;";"&amp;OFFSET(掉落_design!$E197,0,掉落_design!O$2+2,1,1)&amp;";"&amp;OFFSET(掉落_design!$E197,0,掉落_design!O$2+3,1,1))</f>
        <v/>
      </c>
    </row>
    <row r="227" spans="1:16" x14ac:dyDescent="0.15">
      <c r="A227" s="11" t="str">
        <f t="shared" si="33"/>
        <v/>
      </c>
      <c r="D227" s="15" t="str">
        <f>IF(掉落_design!C198="","",掉落_design!C198)</f>
        <v/>
      </c>
      <c r="E227" s="15" t="str">
        <f>IF(A227="","",掉落_design!D198)</f>
        <v/>
      </c>
      <c r="F227" s="16" t="str">
        <f ca="1">IF(OFFSET(掉落_design!$E198,0,掉落_design!E$2,1,1)="","",OFFSET(掉落_design!$E198,0,掉落_design!E$2,1,1)&amp;";"&amp;OFFSET(掉落_design!$E198,0,掉落_design!E$2+1,1,1)&amp;";"&amp;OFFSET(掉落_design!$E198,0,掉落_design!E$2+2,1,1)&amp;";"&amp;OFFSET(掉落_design!$E198,0,掉落_design!E$2+3,1,1))</f>
        <v/>
      </c>
      <c r="G227" s="16" t="str">
        <f ca="1">IF(OFFSET(掉落_design!$E198,0,掉落_design!F$2,1,1)="","",OFFSET(掉落_design!$E198,0,掉落_design!F$2,1,1)&amp;";"&amp;OFFSET(掉落_design!$E198,0,掉落_design!F$2+1,1,1)&amp;";"&amp;OFFSET(掉落_design!$E198,0,掉落_design!F$2+2,1,1)&amp;";"&amp;OFFSET(掉落_design!$E198,0,掉落_design!F$2+3,1,1))</f>
        <v/>
      </c>
      <c r="H227" s="16" t="str">
        <f ca="1">IF(OFFSET(掉落_design!$E198,0,掉落_design!G$2,1,1)="","",OFFSET(掉落_design!$E198,0,掉落_design!G$2,1,1)&amp;";"&amp;OFFSET(掉落_design!$E198,0,掉落_design!G$2+1,1,1)&amp;";"&amp;OFFSET(掉落_design!$E198,0,掉落_design!G$2+2,1,1)&amp;";"&amp;OFFSET(掉落_design!$E198,0,掉落_design!G$2+3,1,1))</f>
        <v/>
      </c>
      <c r="I227" s="16" t="str">
        <f ca="1">IF(OFFSET(掉落_design!$E198,0,掉落_design!H$2,1,1)="","",OFFSET(掉落_design!$E198,0,掉落_design!H$2,1,1)&amp;";"&amp;OFFSET(掉落_design!$E198,0,掉落_design!H$2+1,1,1)&amp;";"&amp;OFFSET(掉落_design!$E198,0,掉落_design!H$2+2,1,1)&amp;";"&amp;OFFSET(掉落_design!$E198,0,掉落_design!H$2+3,1,1))</f>
        <v/>
      </c>
      <c r="J227" s="16" t="str">
        <f ca="1">IF(OFFSET(掉落_design!$E198,0,掉落_design!I$2,1,1)="","",OFFSET(掉落_design!$E198,0,掉落_design!I$2,1,1)&amp;";"&amp;OFFSET(掉落_design!$E198,0,掉落_design!I$2+1,1,1)&amp;";"&amp;OFFSET(掉落_design!$E198,0,掉落_design!I$2+2,1,1)&amp;";"&amp;OFFSET(掉落_design!$E198,0,掉落_design!I$2+3,1,1))</f>
        <v/>
      </c>
      <c r="K227" s="16" t="str">
        <f ca="1">IF(OFFSET(掉落_design!$E198,0,掉落_design!J$2,1,1)="","",OFFSET(掉落_design!$E198,0,掉落_design!J$2,1,1)&amp;";"&amp;OFFSET(掉落_design!$E198,0,掉落_design!J$2+1,1,1)&amp;";"&amp;OFFSET(掉落_design!$E198,0,掉落_design!J$2+2,1,1)&amp;";"&amp;OFFSET(掉落_design!$E198,0,掉落_design!J$2+3,1,1))</f>
        <v/>
      </c>
      <c r="L227" s="16" t="str">
        <f ca="1">IF(OFFSET(掉落_design!$E198,0,掉落_design!K$2,1,1)="","",OFFSET(掉落_design!$E198,0,掉落_design!K$2,1,1)&amp;";"&amp;OFFSET(掉落_design!$E198,0,掉落_design!K$2+1,1,1)&amp;";"&amp;OFFSET(掉落_design!$E198,0,掉落_design!K$2+2,1,1)&amp;";"&amp;OFFSET(掉落_design!$E198,0,掉落_design!K$2+3,1,1))</f>
        <v/>
      </c>
      <c r="M227" s="16" t="str">
        <f ca="1">IF(OFFSET(掉落_design!$E198,0,掉落_design!L$2,1,1)="","",OFFSET(掉落_design!$E198,0,掉落_design!L$2,1,1)&amp;";"&amp;OFFSET(掉落_design!$E198,0,掉落_design!L$2+1,1,1)&amp;";"&amp;OFFSET(掉落_design!$E198,0,掉落_design!L$2+2,1,1)&amp;";"&amp;OFFSET(掉落_design!$E198,0,掉落_design!L$2+3,1,1))</f>
        <v/>
      </c>
      <c r="N227" s="16" t="str">
        <f ca="1">IF(OFFSET(掉落_design!$E198,0,掉落_design!M$2,1,1)="","",OFFSET(掉落_design!$E198,0,掉落_design!M$2,1,1)&amp;";"&amp;OFFSET(掉落_design!$E198,0,掉落_design!M$2+1,1,1)&amp;";"&amp;OFFSET(掉落_design!$E198,0,掉落_design!M$2+2,1,1)&amp;";"&amp;OFFSET(掉落_design!$E198,0,掉落_design!M$2+3,1,1))</f>
        <v/>
      </c>
      <c r="O227" s="16" t="str">
        <f ca="1">IF(OFFSET(掉落_design!$E198,0,掉落_design!N$2,1,1)="","",OFFSET(掉落_design!$E198,0,掉落_design!N$2,1,1)&amp;";"&amp;OFFSET(掉落_design!$E198,0,掉落_design!N$2+1,1,1)&amp;";"&amp;OFFSET(掉落_design!$E198,0,掉落_design!N$2+2,1,1)&amp;";"&amp;OFFSET(掉落_design!$E198,0,掉落_design!N$2+3,1,1))</f>
        <v/>
      </c>
      <c r="P227" s="16" t="str">
        <f ca="1">IF(OFFSET(掉落_design!$E198,0,掉落_design!O$2,1,1)="","",OFFSET(掉落_design!$E198,0,掉落_design!O$2,1,1)&amp;";"&amp;OFFSET(掉落_design!$E198,0,掉落_design!O$2+1,1,1)&amp;";"&amp;OFFSET(掉落_design!$E198,0,掉落_design!O$2+2,1,1)&amp;";"&amp;OFFSET(掉落_design!$E198,0,掉落_design!O$2+3,1,1))</f>
        <v/>
      </c>
    </row>
    <row r="228" spans="1:16" x14ac:dyDescent="0.15">
      <c r="A228" s="11" t="str">
        <f t="shared" si="33"/>
        <v/>
      </c>
      <c r="D228" s="15" t="str">
        <f>IF(掉落_design!C199="","",掉落_design!C199)</f>
        <v/>
      </c>
      <c r="E228" s="15" t="str">
        <f>IF(A228="","",掉落_design!D199)</f>
        <v/>
      </c>
      <c r="F228" s="16" t="str">
        <f ca="1">IF(OFFSET(掉落_design!$E199,0,掉落_design!E$2,1,1)="","",OFFSET(掉落_design!$E199,0,掉落_design!E$2,1,1)&amp;";"&amp;OFFSET(掉落_design!$E199,0,掉落_design!E$2+1,1,1)&amp;";"&amp;OFFSET(掉落_design!$E199,0,掉落_design!E$2+2,1,1)&amp;";"&amp;OFFSET(掉落_design!$E199,0,掉落_design!E$2+3,1,1))</f>
        <v/>
      </c>
      <c r="G228" s="16" t="str">
        <f ca="1">IF(OFFSET(掉落_design!$E199,0,掉落_design!F$2,1,1)="","",OFFSET(掉落_design!$E199,0,掉落_design!F$2,1,1)&amp;";"&amp;OFFSET(掉落_design!$E199,0,掉落_design!F$2+1,1,1)&amp;";"&amp;OFFSET(掉落_design!$E199,0,掉落_design!F$2+2,1,1)&amp;";"&amp;OFFSET(掉落_design!$E199,0,掉落_design!F$2+3,1,1))</f>
        <v/>
      </c>
      <c r="H228" s="16" t="str">
        <f ca="1">IF(OFFSET(掉落_design!$E199,0,掉落_design!G$2,1,1)="","",OFFSET(掉落_design!$E199,0,掉落_design!G$2,1,1)&amp;";"&amp;OFFSET(掉落_design!$E199,0,掉落_design!G$2+1,1,1)&amp;";"&amp;OFFSET(掉落_design!$E199,0,掉落_design!G$2+2,1,1)&amp;";"&amp;OFFSET(掉落_design!$E199,0,掉落_design!G$2+3,1,1))</f>
        <v/>
      </c>
      <c r="I228" s="16" t="str">
        <f ca="1">IF(OFFSET(掉落_design!$E199,0,掉落_design!H$2,1,1)="","",OFFSET(掉落_design!$E199,0,掉落_design!H$2,1,1)&amp;";"&amp;OFFSET(掉落_design!$E199,0,掉落_design!H$2+1,1,1)&amp;";"&amp;OFFSET(掉落_design!$E199,0,掉落_design!H$2+2,1,1)&amp;";"&amp;OFFSET(掉落_design!$E199,0,掉落_design!H$2+3,1,1))</f>
        <v/>
      </c>
      <c r="J228" s="16" t="str">
        <f ca="1">IF(OFFSET(掉落_design!$E199,0,掉落_design!I$2,1,1)="","",OFFSET(掉落_design!$E199,0,掉落_design!I$2,1,1)&amp;";"&amp;OFFSET(掉落_design!$E199,0,掉落_design!I$2+1,1,1)&amp;";"&amp;OFFSET(掉落_design!$E199,0,掉落_design!I$2+2,1,1)&amp;";"&amp;OFFSET(掉落_design!$E199,0,掉落_design!I$2+3,1,1))</f>
        <v/>
      </c>
      <c r="K228" s="16" t="str">
        <f ca="1">IF(OFFSET(掉落_design!$E199,0,掉落_design!J$2,1,1)="","",OFFSET(掉落_design!$E199,0,掉落_design!J$2,1,1)&amp;";"&amp;OFFSET(掉落_design!$E199,0,掉落_design!J$2+1,1,1)&amp;";"&amp;OFFSET(掉落_design!$E199,0,掉落_design!J$2+2,1,1)&amp;";"&amp;OFFSET(掉落_design!$E199,0,掉落_design!J$2+3,1,1))</f>
        <v/>
      </c>
      <c r="L228" s="16" t="str">
        <f ca="1">IF(OFFSET(掉落_design!$E199,0,掉落_design!K$2,1,1)="","",OFFSET(掉落_design!$E199,0,掉落_design!K$2,1,1)&amp;";"&amp;OFFSET(掉落_design!$E199,0,掉落_design!K$2+1,1,1)&amp;";"&amp;OFFSET(掉落_design!$E199,0,掉落_design!K$2+2,1,1)&amp;";"&amp;OFFSET(掉落_design!$E199,0,掉落_design!K$2+3,1,1))</f>
        <v/>
      </c>
      <c r="M228" s="16" t="str">
        <f ca="1">IF(OFFSET(掉落_design!$E199,0,掉落_design!L$2,1,1)="","",OFFSET(掉落_design!$E199,0,掉落_design!L$2,1,1)&amp;";"&amp;OFFSET(掉落_design!$E199,0,掉落_design!L$2+1,1,1)&amp;";"&amp;OFFSET(掉落_design!$E199,0,掉落_design!L$2+2,1,1)&amp;";"&amp;OFFSET(掉落_design!$E199,0,掉落_design!L$2+3,1,1))</f>
        <v/>
      </c>
      <c r="N228" s="16" t="str">
        <f ca="1">IF(OFFSET(掉落_design!$E199,0,掉落_design!M$2,1,1)="","",OFFSET(掉落_design!$E199,0,掉落_design!M$2,1,1)&amp;";"&amp;OFFSET(掉落_design!$E199,0,掉落_design!M$2+1,1,1)&amp;";"&amp;OFFSET(掉落_design!$E199,0,掉落_design!M$2+2,1,1)&amp;";"&amp;OFFSET(掉落_design!$E199,0,掉落_design!M$2+3,1,1))</f>
        <v/>
      </c>
      <c r="O228" s="16" t="str">
        <f ca="1">IF(OFFSET(掉落_design!$E199,0,掉落_design!N$2,1,1)="","",OFFSET(掉落_design!$E199,0,掉落_design!N$2,1,1)&amp;";"&amp;OFFSET(掉落_design!$E199,0,掉落_design!N$2+1,1,1)&amp;";"&amp;OFFSET(掉落_design!$E199,0,掉落_design!N$2+2,1,1)&amp;";"&amp;OFFSET(掉落_design!$E199,0,掉落_design!N$2+3,1,1))</f>
        <v/>
      </c>
      <c r="P228" s="16" t="str">
        <f ca="1">IF(OFFSET(掉落_design!$E199,0,掉落_design!O$2,1,1)="","",OFFSET(掉落_design!$E199,0,掉落_design!O$2,1,1)&amp;";"&amp;OFFSET(掉落_design!$E199,0,掉落_design!O$2+1,1,1)&amp;";"&amp;OFFSET(掉落_design!$E199,0,掉落_design!O$2+2,1,1)&amp;";"&amp;OFFSET(掉落_design!$E199,0,掉落_design!O$2+3,1,1))</f>
        <v/>
      </c>
    </row>
    <row r="229" spans="1:16" x14ac:dyDescent="0.15">
      <c r="A229" s="11" t="str">
        <f t="shared" si="33"/>
        <v/>
      </c>
      <c r="D229" s="15" t="str">
        <f>IF(掉落_design!C200="","",掉落_design!C200)</f>
        <v/>
      </c>
      <c r="E229" s="15" t="str">
        <f>IF(A229="","",掉落_design!D200)</f>
        <v/>
      </c>
      <c r="F229" s="16" t="str">
        <f ca="1">IF(OFFSET(掉落_design!$E200,0,掉落_design!E$2,1,1)="","",OFFSET(掉落_design!$E200,0,掉落_design!E$2,1,1)&amp;";"&amp;OFFSET(掉落_design!$E200,0,掉落_design!E$2+1,1,1)&amp;";"&amp;OFFSET(掉落_design!$E200,0,掉落_design!E$2+2,1,1)&amp;";"&amp;OFFSET(掉落_design!$E200,0,掉落_design!E$2+3,1,1))</f>
        <v/>
      </c>
      <c r="G229" s="16" t="str">
        <f ca="1">IF(OFFSET(掉落_design!$E200,0,掉落_design!F$2,1,1)="","",OFFSET(掉落_design!$E200,0,掉落_design!F$2,1,1)&amp;";"&amp;OFFSET(掉落_design!$E200,0,掉落_design!F$2+1,1,1)&amp;";"&amp;OFFSET(掉落_design!$E200,0,掉落_design!F$2+2,1,1)&amp;";"&amp;OFFSET(掉落_design!$E200,0,掉落_design!F$2+3,1,1))</f>
        <v/>
      </c>
      <c r="H229" s="16" t="str">
        <f ca="1">IF(OFFSET(掉落_design!$E200,0,掉落_design!G$2,1,1)="","",OFFSET(掉落_design!$E200,0,掉落_design!G$2,1,1)&amp;";"&amp;OFFSET(掉落_design!$E200,0,掉落_design!G$2+1,1,1)&amp;";"&amp;OFFSET(掉落_design!$E200,0,掉落_design!G$2+2,1,1)&amp;";"&amp;OFFSET(掉落_design!$E200,0,掉落_design!G$2+3,1,1))</f>
        <v/>
      </c>
      <c r="I229" s="16" t="str">
        <f ca="1">IF(OFFSET(掉落_design!$E200,0,掉落_design!H$2,1,1)="","",OFFSET(掉落_design!$E200,0,掉落_design!H$2,1,1)&amp;";"&amp;OFFSET(掉落_design!$E200,0,掉落_design!H$2+1,1,1)&amp;";"&amp;OFFSET(掉落_design!$E200,0,掉落_design!H$2+2,1,1)&amp;";"&amp;OFFSET(掉落_design!$E200,0,掉落_design!H$2+3,1,1))</f>
        <v/>
      </c>
      <c r="J229" s="16" t="str">
        <f ca="1">IF(OFFSET(掉落_design!$E200,0,掉落_design!I$2,1,1)="","",OFFSET(掉落_design!$E200,0,掉落_design!I$2,1,1)&amp;";"&amp;OFFSET(掉落_design!$E200,0,掉落_design!I$2+1,1,1)&amp;";"&amp;OFFSET(掉落_design!$E200,0,掉落_design!I$2+2,1,1)&amp;";"&amp;OFFSET(掉落_design!$E200,0,掉落_design!I$2+3,1,1))</f>
        <v/>
      </c>
      <c r="K229" s="16" t="str">
        <f ca="1">IF(OFFSET(掉落_design!$E200,0,掉落_design!J$2,1,1)="","",OFFSET(掉落_design!$E200,0,掉落_design!J$2,1,1)&amp;";"&amp;OFFSET(掉落_design!$E200,0,掉落_design!J$2+1,1,1)&amp;";"&amp;OFFSET(掉落_design!$E200,0,掉落_design!J$2+2,1,1)&amp;";"&amp;OFFSET(掉落_design!$E200,0,掉落_design!J$2+3,1,1))</f>
        <v/>
      </c>
      <c r="L229" s="16" t="str">
        <f ca="1">IF(OFFSET(掉落_design!$E200,0,掉落_design!K$2,1,1)="","",OFFSET(掉落_design!$E200,0,掉落_design!K$2,1,1)&amp;";"&amp;OFFSET(掉落_design!$E200,0,掉落_design!K$2+1,1,1)&amp;";"&amp;OFFSET(掉落_design!$E200,0,掉落_design!K$2+2,1,1)&amp;";"&amp;OFFSET(掉落_design!$E200,0,掉落_design!K$2+3,1,1))</f>
        <v/>
      </c>
      <c r="M229" s="16" t="str">
        <f ca="1">IF(OFFSET(掉落_design!$E200,0,掉落_design!L$2,1,1)="","",OFFSET(掉落_design!$E200,0,掉落_design!L$2,1,1)&amp;";"&amp;OFFSET(掉落_design!$E200,0,掉落_design!L$2+1,1,1)&amp;";"&amp;OFFSET(掉落_design!$E200,0,掉落_design!L$2+2,1,1)&amp;";"&amp;OFFSET(掉落_design!$E200,0,掉落_design!L$2+3,1,1))</f>
        <v/>
      </c>
      <c r="N229" s="16" t="str">
        <f ca="1">IF(OFFSET(掉落_design!$E200,0,掉落_design!M$2,1,1)="","",OFFSET(掉落_design!$E200,0,掉落_design!M$2,1,1)&amp;";"&amp;OFFSET(掉落_design!$E200,0,掉落_design!M$2+1,1,1)&amp;";"&amp;OFFSET(掉落_design!$E200,0,掉落_design!M$2+2,1,1)&amp;";"&amp;OFFSET(掉落_design!$E200,0,掉落_design!M$2+3,1,1))</f>
        <v/>
      </c>
      <c r="O229" s="16" t="str">
        <f ca="1">IF(OFFSET(掉落_design!$E200,0,掉落_design!N$2,1,1)="","",OFFSET(掉落_design!$E200,0,掉落_design!N$2,1,1)&amp;";"&amp;OFFSET(掉落_design!$E200,0,掉落_design!N$2+1,1,1)&amp;";"&amp;OFFSET(掉落_design!$E200,0,掉落_design!N$2+2,1,1)&amp;";"&amp;OFFSET(掉落_design!$E200,0,掉落_design!N$2+3,1,1))</f>
        <v/>
      </c>
      <c r="P229" s="16" t="str">
        <f ca="1">IF(OFFSET(掉落_design!$E200,0,掉落_design!O$2,1,1)="","",OFFSET(掉落_design!$E200,0,掉落_design!O$2,1,1)&amp;";"&amp;OFFSET(掉落_design!$E200,0,掉落_design!O$2+1,1,1)&amp;";"&amp;OFFSET(掉落_design!$E200,0,掉落_design!O$2+2,1,1)&amp;";"&amp;OFFSET(掉落_design!$E200,0,掉落_design!O$2+3,1,1))</f>
        <v/>
      </c>
    </row>
    <row r="230" spans="1:16" x14ac:dyDescent="0.15">
      <c r="A230" s="11" t="str">
        <f t="shared" si="33"/>
        <v/>
      </c>
      <c r="D230" s="15" t="str">
        <f>IF(掉落_design!C198="","",掉落_design!C198)</f>
        <v/>
      </c>
      <c r="E230" s="15" t="str">
        <f>IF(A230="","",掉落_design!D198)</f>
        <v/>
      </c>
      <c r="F230" s="16" t="str">
        <f ca="1">IF(OFFSET(掉落_design!$E198,0,掉落_design!E$2,1,1)="","",OFFSET(掉落_design!$E198,0,掉落_design!E$2,1,1)&amp;";"&amp;OFFSET(掉落_design!$E198,0,掉落_design!E$2+1,1,1)&amp;";"&amp;OFFSET(掉落_design!$E198,0,掉落_design!E$2+2,1,1)&amp;";"&amp;OFFSET(掉落_design!$E198,0,掉落_design!E$2+3,1,1))</f>
        <v/>
      </c>
      <c r="G230" s="16" t="str">
        <f ca="1">IF(OFFSET(掉落_design!$E155,0,掉落_design!F$2,1,1)="","",OFFSET(掉落_design!$E155,0,掉落_design!F$2,1,1)&amp;";"&amp;OFFSET(掉落_design!$E155,0,掉落_design!F$2+1,1,1)&amp;";"&amp;OFFSET(掉落_design!$E155,0,掉落_design!F$2+2,1,1)&amp;";"&amp;OFFSET(掉落_design!$E155,0,掉落_design!F$2+3,1,1))</f>
        <v/>
      </c>
      <c r="H230" s="16" t="str">
        <f ca="1">IF(OFFSET(掉落_design!$E198,0,掉落_design!G$2,1,1)="","",OFFSET(掉落_design!$E198,0,掉落_design!G$2,1,1)&amp;";"&amp;OFFSET(掉落_design!$E198,0,掉落_design!G$2+1,1,1)&amp;";"&amp;OFFSET(掉落_design!$E198,0,掉落_design!G$2+2,1,1)&amp;";"&amp;OFFSET(掉落_design!$E198,0,掉落_design!G$2+3,1,1))</f>
        <v/>
      </c>
      <c r="I230" s="16" t="str">
        <f ca="1">IF(OFFSET(掉落_design!$E198,0,掉落_design!H$2,1,1)="","",OFFSET(掉落_design!$E198,0,掉落_design!H$2,1,1)&amp;";"&amp;OFFSET(掉落_design!$E198,0,掉落_design!H$2+1,1,1)&amp;";"&amp;OFFSET(掉落_design!$E198,0,掉落_design!H$2+2,1,1)&amp;";"&amp;OFFSET(掉落_design!$E198,0,掉落_design!H$2+3,1,1))</f>
        <v/>
      </c>
      <c r="J230" s="16" t="str">
        <f ca="1">IF(OFFSET(掉落_design!$E198,0,掉落_design!I$2,1,1)="","",OFFSET(掉落_design!$E198,0,掉落_design!I$2,1,1)&amp;";"&amp;OFFSET(掉落_design!$E198,0,掉落_design!I$2+1,1,1)&amp;";"&amp;OFFSET(掉落_design!$E198,0,掉落_design!I$2+2,1,1)&amp;";"&amp;OFFSET(掉落_design!$E198,0,掉落_design!I$2+3,1,1))</f>
        <v/>
      </c>
      <c r="K230" s="16" t="str">
        <f ca="1">IF(OFFSET(掉落_design!$E198,0,掉落_design!J$2,1,1)="","",OFFSET(掉落_design!$E198,0,掉落_design!J$2,1,1)&amp;";"&amp;OFFSET(掉落_design!$E198,0,掉落_design!J$2+1,1,1)&amp;";"&amp;OFFSET(掉落_design!$E198,0,掉落_design!J$2+2,1,1)&amp;";"&amp;OFFSET(掉落_design!$E198,0,掉落_design!J$2+3,1,1))</f>
        <v/>
      </c>
      <c r="L230" s="16" t="str">
        <f ca="1">IF(OFFSET(掉落_design!$E198,0,掉落_design!K$2,1,1)="","",OFFSET(掉落_design!$E198,0,掉落_design!K$2,1,1)&amp;";"&amp;OFFSET(掉落_design!$E198,0,掉落_design!K$2+1,1,1)&amp;";"&amp;OFFSET(掉落_design!$E198,0,掉落_design!K$2+2,1,1)&amp;";"&amp;OFFSET(掉落_design!$E198,0,掉落_design!K$2+3,1,1))</f>
        <v/>
      </c>
    </row>
    <row r="231" spans="1:16" x14ac:dyDescent="0.15">
      <c r="A231" s="11" t="str">
        <f t="shared" si="33"/>
        <v/>
      </c>
      <c r="D231" s="15" t="str">
        <f>IF(掉落_design!C199="","",掉落_design!C199)</f>
        <v/>
      </c>
      <c r="E231" s="15" t="str">
        <f>IF(A231="","",掉落_design!D199)</f>
        <v/>
      </c>
      <c r="F231" s="16" t="str">
        <f ca="1">IF(OFFSET(掉落_design!$E199,0,掉落_design!E$2,1,1)="","",OFFSET(掉落_design!$E199,0,掉落_design!E$2,1,1)&amp;";"&amp;OFFSET(掉落_design!$E199,0,掉落_design!E$2+1,1,1)&amp;";"&amp;OFFSET(掉落_design!$E199,0,掉落_design!E$2+2,1,1)&amp;";"&amp;OFFSET(掉落_design!$E199,0,掉落_design!E$2+3,1,1))</f>
        <v/>
      </c>
      <c r="G231" s="16" t="str">
        <f ca="1">IF(OFFSET(掉落_design!$E156,0,掉落_design!F$2,1,1)="","",OFFSET(掉落_design!$E156,0,掉落_design!F$2,1,1)&amp;";"&amp;OFFSET(掉落_design!$E156,0,掉落_design!F$2+1,1,1)&amp;";"&amp;OFFSET(掉落_design!$E156,0,掉落_design!F$2+2,1,1)&amp;";"&amp;OFFSET(掉落_design!$E156,0,掉落_design!F$2+3,1,1))</f>
        <v/>
      </c>
      <c r="H231" s="16" t="str">
        <f ca="1">IF(OFFSET(掉落_design!$E199,0,掉落_design!G$2,1,1)="","",OFFSET(掉落_design!$E199,0,掉落_design!G$2,1,1)&amp;";"&amp;OFFSET(掉落_design!$E199,0,掉落_design!G$2+1,1,1)&amp;";"&amp;OFFSET(掉落_design!$E199,0,掉落_design!G$2+2,1,1)&amp;";"&amp;OFFSET(掉落_design!$E199,0,掉落_design!G$2+3,1,1))</f>
        <v/>
      </c>
      <c r="I231" s="16" t="str">
        <f ca="1">IF(OFFSET(掉落_design!$E199,0,掉落_design!H$2,1,1)="","",OFFSET(掉落_design!$E199,0,掉落_design!H$2,1,1)&amp;";"&amp;OFFSET(掉落_design!$E199,0,掉落_design!H$2+1,1,1)&amp;";"&amp;OFFSET(掉落_design!$E199,0,掉落_design!H$2+2,1,1)&amp;";"&amp;OFFSET(掉落_design!$E199,0,掉落_design!H$2+3,1,1))</f>
        <v/>
      </c>
      <c r="J231" s="16" t="str">
        <f ca="1">IF(OFFSET(掉落_design!$E199,0,掉落_design!I$2,1,1)="","",OFFSET(掉落_design!$E199,0,掉落_design!I$2,1,1)&amp;";"&amp;OFFSET(掉落_design!$E199,0,掉落_design!I$2+1,1,1)&amp;";"&amp;OFFSET(掉落_design!$E199,0,掉落_design!I$2+2,1,1)&amp;";"&amp;OFFSET(掉落_design!$E199,0,掉落_design!I$2+3,1,1))</f>
        <v/>
      </c>
      <c r="K231" s="16" t="str">
        <f ca="1">IF(OFFSET(掉落_design!$E199,0,掉落_design!J$2,1,1)="","",OFFSET(掉落_design!$E199,0,掉落_design!J$2,1,1)&amp;";"&amp;OFFSET(掉落_design!$E199,0,掉落_design!J$2+1,1,1)&amp;";"&amp;OFFSET(掉落_design!$E199,0,掉落_design!J$2+2,1,1)&amp;";"&amp;OFFSET(掉落_design!$E199,0,掉落_design!J$2+3,1,1))</f>
        <v/>
      </c>
      <c r="L231" s="16" t="str">
        <f ca="1">IF(OFFSET(掉落_design!$E199,0,掉落_design!K$2,1,1)="","",OFFSET(掉落_design!$E199,0,掉落_design!K$2,1,1)&amp;";"&amp;OFFSET(掉落_design!$E199,0,掉落_design!K$2+1,1,1)&amp;";"&amp;OFFSET(掉落_design!$E199,0,掉落_design!K$2+2,1,1)&amp;";"&amp;OFFSET(掉落_design!$E199,0,掉落_design!K$2+3,1,1))</f>
        <v/>
      </c>
    </row>
    <row r="232" spans="1:16" x14ac:dyDescent="0.15">
      <c r="A232" s="11" t="str">
        <f t="shared" si="33"/>
        <v/>
      </c>
      <c r="D232" s="15" t="str">
        <f>IF(掉落_design!C200="","",掉落_design!C200)</f>
        <v/>
      </c>
      <c r="E232" s="15" t="str">
        <f>IF(A232="","",掉落_design!D200)</f>
        <v/>
      </c>
      <c r="F232" s="16" t="str">
        <f ca="1">IF(OFFSET(掉落_design!$E200,0,掉落_design!E$2,1,1)="","",OFFSET(掉落_design!$E200,0,掉落_design!E$2,1,1)&amp;";"&amp;OFFSET(掉落_design!$E200,0,掉落_design!E$2+1,1,1)&amp;";"&amp;OFFSET(掉落_design!$E200,0,掉落_design!E$2+2,1,1)&amp;";"&amp;OFFSET(掉落_design!$E200,0,掉落_design!E$2+3,1,1))</f>
        <v/>
      </c>
      <c r="G232" s="16" t="str">
        <f ca="1">IF(OFFSET(掉落_design!$E157,0,掉落_design!F$2,1,1)="","",OFFSET(掉落_design!$E157,0,掉落_design!F$2,1,1)&amp;";"&amp;OFFSET(掉落_design!$E157,0,掉落_design!F$2+1,1,1)&amp;";"&amp;OFFSET(掉落_design!$E157,0,掉落_design!F$2+2,1,1)&amp;";"&amp;OFFSET(掉落_design!$E157,0,掉落_design!F$2+3,1,1))</f>
        <v/>
      </c>
      <c r="H232" s="16" t="str">
        <f ca="1">IF(OFFSET(掉落_design!$E200,0,掉落_design!G$2,1,1)="","",OFFSET(掉落_design!$E200,0,掉落_design!G$2,1,1)&amp;";"&amp;OFFSET(掉落_design!$E200,0,掉落_design!G$2+1,1,1)&amp;";"&amp;OFFSET(掉落_design!$E200,0,掉落_design!G$2+2,1,1)&amp;";"&amp;OFFSET(掉落_design!$E200,0,掉落_design!G$2+3,1,1))</f>
        <v/>
      </c>
      <c r="I232" s="16" t="str">
        <f ca="1">IF(OFFSET(掉落_design!$E200,0,掉落_design!H$2,1,1)="","",OFFSET(掉落_design!$E200,0,掉落_design!H$2,1,1)&amp;";"&amp;OFFSET(掉落_design!$E200,0,掉落_design!H$2+1,1,1)&amp;";"&amp;OFFSET(掉落_design!$E200,0,掉落_design!H$2+2,1,1)&amp;";"&amp;OFFSET(掉落_design!$E200,0,掉落_design!H$2+3,1,1))</f>
        <v/>
      </c>
      <c r="J232" s="16" t="str">
        <f ca="1">IF(OFFSET(掉落_design!$E200,0,掉落_design!I$2,1,1)="","",OFFSET(掉落_design!$E200,0,掉落_design!I$2,1,1)&amp;";"&amp;OFFSET(掉落_design!$E200,0,掉落_design!I$2+1,1,1)&amp;";"&amp;OFFSET(掉落_design!$E200,0,掉落_design!I$2+2,1,1)&amp;";"&amp;OFFSET(掉落_design!$E200,0,掉落_design!I$2+3,1,1))</f>
        <v/>
      </c>
      <c r="K232" s="16" t="str">
        <f ca="1">IF(OFFSET(掉落_design!$E200,0,掉落_design!J$2,1,1)="","",OFFSET(掉落_design!$E200,0,掉落_design!J$2,1,1)&amp;";"&amp;OFFSET(掉落_design!$E200,0,掉落_design!J$2+1,1,1)&amp;";"&amp;OFFSET(掉落_design!$E200,0,掉落_design!J$2+2,1,1)&amp;";"&amp;OFFSET(掉落_design!$E200,0,掉落_design!J$2+3,1,1))</f>
        <v/>
      </c>
    </row>
    <row r="233" spans="1:16" x14ac:dyDescent="0.15">
      <c r="A233" s="11" t="str">
        <f t="shared" si="33"/>
        <v/>
      </c>
    </row>
    <row r="234" spans="1:16" x14ac:dyDescent="0.15">
      <c r="A234" s="11" t="str">
        <f t="shared" si="33"/>
        <v/>
      </c>
    </row>
  </sheetData>
  <phoneticPr fontId="1" type="noConversion"/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Z126"/>
  <sheetViews>
    <sheetView tabSelected="1" zoomScale="85" zoomScaleNormal="85" workbookViewId="0">
      <pane ySplit="4" topLeftCell="A11" activePane="bottomLeft" state="frozen"/>
      <selection pane="bottomLeft" activeCell="P21" sqref="P21"/>
    </sheetView>
  </sheetViews>
  <sheetFormatPr defaultColWidth="9" defaultRowHeight="20.100000000000001" customHeight="1" x14ac:dyDescent="0.15"/>
  <cols>
    <col min="1" max="1" width="16.875" style="17" bestFit="1" customWidth="1"/>
    <col min="2" max="2" width="15.375" style="17" bestFit="1" customWidth="1"/>
    <col min="3" max="3" width="6.5" style="29" bestFit="1" customWidth="1"/>
    <col min="4" max="4" width="21.75" style="29" bestFit="1" customWidth="1"/>
    <col min="5" max="5" width="9" style="34" bestFit="1" customWidth="1"/>
    <col min="6" max="6" width="10.625" style="34" bestFit="1" customWidth="1"/>
    <col min="7" max="7" width="11.125" style="34" bestFit="1" customWidth="1"/>
    <col min="8" max="8" width="10.875" style="34" bestFit="1" customWidth="1"/>
    <col min="9" max="9" width="3.75" style="29" bestFit="1" customWidth="1"/>
    <col min="10" max="10" width="9" style="29" bestFit="1" customWidth="1"/>
    <col min="11" max="11" width="10.625" style="17" bestFit="1" customWidth="1"/>
    <col min="12" max="12" width="11.125" style="17" bestFit="1" customWidth="1"/>
    <col min="13" max="13" width="10.875" style="17" bestFit="1" customWidth="1"/>
    <col min="14" max="14" width="3.75" style="17" bestFit="1" customWidth="1"/>
    <col min="15" max="15" width="9" style="17"/>
    <col min="16" max="16" width="10.625" style="17" bestFit="1" customWidth="1"/>
    <col min="17" max="17" width="11.125" style="17" bestFit="1" customWidth="1"/>
    <col min="18" max="18" width="10.875" style="17" bestFit="1" customWidth="1"/>
    <col min="19" max="19" width="3.75" style="17" bestFit="1" customWidth="1"/>
    <col min="20" max="20" width="9" style="17"/>
    <col min="21" max="21" width="10.625" style="17" bestFit="1" customWidth="1"/>
    <col min="22" max="22" width="11.125" style="17" bestFit="1" customWidth="1"/>
    <col min="23" max="23" width="10.875" style="17" bestFit="1" customWidth="1"/>
    <col min="24" max="24" width="3.75" style="17" bestFit="1" customWidth="1"/>
    <col min="25" max="25" width="9" style="17"/>
    <col min="26" max="26" width="10.625" style="17" bestFit="1" customWidth="1"/>
    <col min="27" max="27" width="11.125" style="17" bestFit="1" customWidth="1"/>
    <col min="28" max="28" width="10.875" style="17" bestFit="1" customWidth="1"/>
    <col min="29" max="29" width="4.875" style="17" bestFit="1" customWidth="1"/>
    <col min="30" max="30" width="9" style="17"/>
    <col min="31" max="31" width="10.625" style="17" bestFit="1" customWidth="1"/>
    <col min="32" max="32" width="11.125" style="17" bestFit="1" customWidth="1"/>
    <col min="33" max="33" width="10.875" style="17" bestFit="1" customWidth="1"/>
    <col min="34" max="34" width="4.875" style="17" bestFit="1" customWidth="1"/>
    <col min="35" max="35" width="9" style="17"/>
    <col min="36" max="36" width="10.625" style="17" bestFit="1" customWidth="1"/>
    <col min="37" max="37" width="11.125" style="17" bestFit="1" customWidth="1"/>
    <col min="38" max="38" width="10.875" style="17" bestFit="1" customWidth="1"/>
    <col min="39" max="39" width="4.875" style="17" bestFit="1" customWidth="1"/>
    <col min="40" max="40" width="9" style="17"/>
    <col min="41" max="41" width="10.625" style="17" bestFit="1" customWidth="1"/>
    <col min="42" max="42" width="11.125" style="17" bestFit="1" customWidth="1"/>
    <col min="43" max="43" width="10.875" style="17" bestFit="1" customWidth="1"/>
    <col min="44" max="44" width="4.875" style="17" bestFit="1" customWidth="1"/>
    <col min="45" max="45" width="9" style="17"/>
    <col min="46" max="46" width="10.625" style="17" bestFit="1" customWidth="1"/>
    <col min="47" max="47" width="11.125" style="17" bestFit="1" customWidth="1"/>
    <col min="48" max="48" width="10.875" style="17" bestFit="1" customWidth="1"/>
    <col min="49" max="49" width="4.875" style="17" bestFit="1" customWidth="1"/>
    <col min="50" max="50" width="10" style="17" bestFit="1" customWidth="1"/>
    <col min="51" max="51" width="11.75" style="17" bestFit="1" customWidth="1"/>
    <col min="52" max="52" width="12.25" style="17" bestFit="1" customWidth="1"/>
    <col min="53" max="53" width="11.875" style="17" bestFit="1" customWidth="1"/>
    <col min="54" max="54" width="4.875" style="17" bestFit="1" customWidth="1"/>
    <col min="55" max="55" width="10" style="17" bestFit="1" customWidth="1"/>
    <col min="56" max="56" width="11.75" style="17" bestFit="1" customWidth="1"/>
    <col min="57" max="57" width="12.25" style="17" bestFit="1" customWidth="1"/>
    <col min="58" max="58" width="11.875" style="17" bestFit="1" customWidth="1"/>
    <col min="59" max="59" width="4.875" style="17" bestFit="1" customWidth="1"/>
    <col min="60" max="60" width="10" style="17" bestFit="1" customWidth="1"/>
    <col min="61" max="61" width="11.75" style="17" bestFit="1" customWidth="1"/>
    <col min="62" max="62" width="12.25" style="17" bestFit="1" customWidth="1"/>
    <col min="63" max="63" width="11.875" style="17" bestFit="1" customWidth="1"/>
    <col min="64" max="64" width="4.875" style="17" bestFit="1" customWidth="1"/>
    <col min="65" max="65" width="10" style="17" bestFit="1" customWidth="1"/>
    <col min="66" max="66" width="11.75" style="17" bestFit="1" customWidth="1"/>
    <col min="67" max="67" width="12.25" style="17" bestFit="1" customWidth="1"/>
    <col min="68" max="68" width="11.875" style="17" bestFit="1" customWidth="1"/>
    <col min="69" max="69" width="4.875" style="17" bestFit="1" customWidth="1"/>
    <col min="70" max="70" width="10" style="17" bestFit="1" customWidth="1"/>
    <col min="71" max="71" width="11.75" style="17" bestFit="1" customWidth="1"/>
    <col min="72" max="72" width="12.25" style="17" bestFit="1" customWidth="1"/>
    <col min="73" max="73" width="11.875" style="17" bestFit="1" customWidth="1"/>
    <col min="74" max="74" width="4.875" style="17" bestFit="1" customWidth="1"/>
    <col min="75" max="75" width="10" style="17" bestFit="1" customWidth="1"/>
    <col min="76" max="76" width="11.75" style="17" bestFit="1" customWidth="1"/>
    <col min="77" max="77" width="12.25" style="17" bestFit="1" customWidth="1"/>
    <col min="78" max="78" width="11.875" style="17" bestFit="1" customWidth="1"/>
    <col min="79" max="79" width="9" style="17"/>
    <col min="80" max="80" width="10" style="17" bestFit="1" customWidth="1"/>
    <col min="81" max="81" width="11.75" style="17" bestFit="1" customWidth="1"/>
    <col min="82" max="82" width="12.25" style="17" bestFit="1" customWidth="1"/>
    <col min="83" max="83" width="11.875" style="17" bestFit="1" customWidth="1"/>
    <col min="84" max="84" width="9" style="17"/>
    <col min="85" max="85" width="10" style="17" bestFit="1" customWidth="1"/>
    <col min="86" max="86" width="11.75" style="17" bestFit="1" customWidth="1"/>
    <col min="87" max="87" width="12.25" style="17" bestFit="1" customWidth="1"/>
    <col min="88" max="88" width="11.875" style="17" bestFit="1" customWidth="1"/>
    <col min="89" max="89" width="9" style="17"/>
    <col min="90" max="90" width="10" style="17" bestFit="1" customWidth="1"/>
    <col min="91" max="91" width="11.75" style="17" bestFit="1" customWidth="1"/>
    <col min="92" max="92" width="12.25" style="17" bestFit="1" customWidth="1"/>
    <col min="93" max="93" width="11.875" style="17" bestFit="1" customWidth="1"/>
    <col min="94" max="94" width="9" style="17"/>
    <col min="95" max="95" width="10" style="17" bestFit="1" customWidth="1"/>
    <col min="96" max="96" width="11.75" style="17" bestFit="1" customWidth="1"/>
    <col min="97" max="97" width="12.25" style="17" bestFit="1" customWidth="1"/>
    <col min="98" max="98" width="11.875" style="17" bestFit="1" customWidth="1"/>
    <col min="99" max="99" width="9" style="17"/>
    <col min="100" max="100" width="10" style="17" bestFit="1" customWidth="1"/>
    <col min="101" max="101" width="11.75" style="17" bestFit="1" customWidth="1"/>
    <col min="102" max="102" width="12.25" style="17" bestFit="1" customWidth="1"/>
    <col min="103" max="103" width="11.875" style="17" bestFit="1" customWidth="1"/>
    <col min="104" max="16384" width="9" style="17"/>
  </cols>
  <sheetData>
    <row r="1" spans="1:104" ht="20.100000000000001" customHeight="1" x14ac:dyDescent="0.15">
      <c r="C1" s="7"/>
      <c r="D1" s="7"/>
      <c r="E1" s="33"/>
      <c r="F1" s="33"/>
      <c r="G1" s="33"/>
      <c r="H1" s="33"/>
      <c r="I1" s="7"/>
      <c r="J1" s="7"/>
    </row>
    <row r="2" spans="1:104" ht="20.100000000000001" customHeight="1" x14ac:dyDescent="0.15">
      <c r="C2" s="7"/>
      <c r="D2" s="7"/>
      <c r="E2" s="33">
        <v>0</v>
      </c>
      <c r="F2" s="33">
        <v>5</v>
      </c>
      <c r="G2" s="33">
        <v>10</v>
      </c>
      <c r="H2" s="33">
        <v>15</v>
      </c>
      <c r="I2" s="33">
        <v>20</v>
      </c>
      <c r="J2" s="33">
        <v>25</v>
      </c>
      <c r="K2" s="33">
        <v>30</v>
      </c>
      <c r="L2" s="33">
        <v>35</v>
      </c>
      <c r="M2" s="33">
        <v>40</v>
      </c>
      <c r="N2" s="33">
        <v>45</v>
      </c>
      <c r="O2" s="33">
        <v>50</v>
      </c>
      <c r="P2" s="33">
        <v>55</v>
      </c>
      <c r="Q2" s="33">
        <v>60</v>
      </c>
      <c r="R2" s="33">
        <v>65</v>
      </c>
      <c r="S2" s="33">
        <v>70</v>
      </c>
      <c r="T2" s="33">
        <v>75</v>
      </c>
      <c r="U2" s="33">
        <v>80</v>
      </c>
      <c r="V2" s="33">
        <v>85</v>
      </c>
      <c r="W2" s="33">
        <v>90</v>
      </c>
      <c r="X2" s="33">
        <v>95</v>
      </c>
      <c r="Y2" s="33">
        <v>100</v>
      </c>
      <c r="Z2" s="33">
        <v>105</v>
      </c>
      <c r="AA2" s="33">
        <v>110</v>
      </c>
      <c r="AB2" s="33">
        <v>115</v>
      </c>
      <c r="AC2" s="33">
        <v>120</v>
      </c>
      <c r="AD2" s="33">
        <v>125</v>
      </c>
      <c r="AE2" s="33">
        <v>130</v>
      </c>
      <c r="AF2" s="33">
        <v>135</v>
      </c>
      <c r="AG2" s="33">
        <v>140</v>
      </c>
      <c r="AH2" s="33">
        <v>145</v>
      </c>
      <c r="AI2" s="33">
        <v>150</v>
      </c>
      <c r="AJ2" s="33">
        <v>155</v>
      </c>
      <c r="AK2" s="33">
        <v>160</v>
      </c>
      <c r="AL2" s="33">
        <v>165</v>
      </c>
      <c r="AM2" s="33">
        <v>170</v>
      </c>
      <c r="AN2" s="33">
        <v>175</v>
      </c>
      <c r="AO2" s="33">
        <v>180</v>
      </c>
      <c r="AP2" s="33">
        <v>185</v>
      </c>
      <c r="AQ2" s="33">
        <v>190</v>
      </c>
      <c r="AR2" s="33">
        <v>195</v>
      </c>
      <c r="AS2" s="33">
        <v>200</v>
      </c>
      <c r="AT2" s="33">
        <v>205</v>
      </c>
      <c r="AU2" s="33">
        <v>210</v>
      </c>
      <c r="AV2" s="33">
        <v>215</v>
      </c>
      <c r="AW2" s="33">
        <v>220</v>
      </c>
      <c r="AX2" s="33">
        <v>225</v>
      </c>
      <c r="AY2" s="33">
        <v>230</v>
      </c>
      <c r="AZ2" s="33">
        <v>235</v>
      </c>
      <c r="BA2" s="33">
        <v>240</v>
      </c>
      <c r="BB2" s="33">
        <v>245</v>
      </c>
      <c r="BC2" s="33">
        <v>250</v>
      </c>
      <c r="BD2" s="33">
        <v>255</v>
      </c>
      <c r="BE2" s="33">
        <v>260</v>
      </c>
      <c r="BF2" s="33">
        <v>265</v>
      </c>
      <c r="BG2" s="33">
        <v>270</v>
      </c>
      <c r="BH2" s="33">
        <v>275</v>
      </c>
      <c r="BI2" s="33">
        <v>280</v>
      </c>
      <c r="BJ2" s="33">
        <v>285</v>
      </c>
      <c r="BK2" s="33">
        <v>290</v>
      </c>
      <c r="BL2" s="33">
        <v>295</v>
      </c>
      <c r="BM2" s="33">
        <v>300</v>
      </c>
      <c r="BN2" s="33">
        <v>305</v>
      </c>
      <c r="BO2" s="33">
        <v>310</v>
      </c>
      <c r="BP2" s="33">
        <v>315</v>
      </c>
      <c r="BQ2" s="33">
        <v>320</v>
      </c>
      <c r="BR2" s="33">
        <v>325</v>
      </c>
      <c r="BS2" s="33">
        <v>330</v>
      </c>
      <c r="BT2" s="33">
        <v>335</v>
      </c>
      <c r="BU2" s="33">
        <v>340</v>
      </c>
      <c r="BV2" s="33">
        <v>345</v>
      </c>
      <c r="BW2" s="33">
        <v>350</v>
      </c>
      <c r="BX2" s="33">
        <v>355</v>
      </c>
      <c r="BY2" s="33">
        <v>360</v>
      </c>
      <c r="BZ2" s="33">
        <v>365</v>
      </c>
      <c r="CA2" s="33">
        <v>370</v>
      </c>
      <c r="CB2" s="33">
        <v>375</v>
      </c>
      <c r="CC2" s="33">
        <v>380</v>
      </c>
      <c r="CD2" s="33">
        <v>385</v>
      </c>
      <c r="CE2" s="33">
        <v>390</v>
      </c>
    </row>
    <row r="3" spans="1:104" ht="20.100000000000001" customHeight="1" x14ac:dyDescent="0.15">
      <c r="C3" s="7" t="s">
        <v>7</v>
      </c>
      <c r="D3" s="7" t="s">
        <v>6</v>
      </c>
      <c r="E3" s="33"/>
      <c r="F3" s="33"/>
      <c r="G3" s="33"/>
      <c r="H3" s="33"/>
      <c r="I3" s="33"/>
      <c r="J3" s="33"/>
    </row>
    <row r="4" spans="1:104" ht="20.100000000000001" customHeight="1" x14ac:dyDescent="0.15">
      <c r="C4" s="7" t="s">
        <v>37</v>
      </c>
      <c r="D4" s="7" t="s">
        <v>18</v>
      </c>
      <c r="E4" s="33" t="s">
        <v>108</v>
      </c>
      <c r="F4" s="33" t="s">
        <v>109</v>
      </c>
      <c r="G4" s="33" t="s">
        <v>110</v>
      </c>
      <c r="H4" s="33" t="s">
        <v>111</v>
      </c>
      <c r="I4" s="33"/>
      <c r="J4" s="33" t="s">
        <v>112</v>
      </c>
      <c r="K4" s="33" t="s">
        <v>113</v>
      </c>
      <c r="L4" s="33" t="s">
        <v>114</v>
      </c>
      <c r="M4" s="33" t="s">
        <v>115</v>
      </c>
      <c r="N4" s="33"/>
      <c r="O4" s="33" t="s">
        <v>116</v>
      </c>
      <c r="P4" s="33" t="s">
        <v>117</v>
      </c>
      <c r="Q4" s="33" t="s">
        <v>118</v>
      </c>
      <c r="R4" s="33" t="s">
        <v>119</v>
      </c>
      <c r="S4" s="33"/>
      <c r="T4" s="33" t="s">
        <v>120</v>
      </c>
      <c r="U4" s="33" t="s">
        <v>121</v>
      </c>
      <c r="V4" s="33" t="s">
        <v>122</v>
      </c>
      <c r="W4" s="33" t="s">
        <v>123</v>
      </c>
      <c r="X4" s="33"/>
      <c r="Y4" s="33" t="s">
        <v>124</v>
      </c>
      <c r="Z4" s="33" t="s">
        <v>125</v>
      </c>
      <c r="AA4" s="33" t="s">
        <v>126</v>
      </c>
      <c r="AB4" s="33" t="s">
        <v>127</v>
      </c>
      <c r="AC4" s="33"/>
      <c r="AD4" s="33" t="s">
        <v>128</v>
      </c>
      <c r="AE4" s="33" t="s">
        <v>129</v>
      </c>
      <c r="AF4" s="33" t="s">
        <v>130</v>
      </c>
      <c r="AG4" s="33" t="s">
        <v>131</v>
      </c>
      <c r="AH4" s="33"/>
      <c r="AI4" s="33" t="s">
        <v>132</v>
      </c>
      <c r="AJ4" s="33" t="s">
        <v>133</v>
      </c>
      <c r="AK4" s="33" t="s">
        <v>134</v>
      </c>
      <c r="AL4" s="33" t="s">
        <v>135</v>
      </c>
      <c r="AM4" s="33"/>
      <c r="AN4" s="33" t="s">
        <v>136</v>
      </c>
      <c r="AO4" s="33" t="s">
        <v>137</v>
      </c>
      <c r="AP4" s="33" t="s">
        <v>138</v>
      </c>
      <c r="AQ4" s="33" t="s">
        <v>139</v>
      </c>
      <c r="AR4" s="33"/>
      <c r="AS4" s="33" t="s">
        <v>140</v>
      </c>
      <c r="AT4" s="33" t="s">
        <v>141</v>
      </c>
      <c r="AU4" s="33" t="s">
        <v>142</v>
      </c>
      <c r="AV4" s="33" t="s">
        <v>143</v>
      </c>
      <c r="AW4" s="33"/>
      <c r="AX4" s="33" t="s">
        <v>162</v>
      </c>
      <c r="AY4" s="33" t="s">
        <v>163</v>
      </c>
      <c r="AZ4" s="33" t="s">
        <v>164</v>
      </c>
      <c r="BA4" s="33" t="s">
        <v>165</v>
      </c>
      <c r="BB4" s="33"/>
      <c r="BC4" s="33" t="s">
        <v>166</v>
      </c>
      <c r="BD4" s="33" t="s">
        <v>167</v>
      </c>
      <c r="BE4" s="33" t="s">
        <v>168</v>
      </c>
      <c r="BF4" s="33" t="s">
        <v>169</v>
      </c>
      <c r="BG4" s="33"/>
      <c r="BH4" s="33" t="s">
        <v>170</v>
      </c>
      <c r="BI4" s="33" t="s">
        <v>171</v>
      </c>
      <c r="BJ4" s="33" t="s">
        <v>172</v>
      </c>
      <c r="BK4" s="33" t="s">
        <v>173</v>
      </c>
      <c r="BL4" s="33"/>
      <c r="BM4" s="33" t="s">
        <v>174</v>
      </c>
      <c r="BN4" s="33" t="s">
        <v>175</v>
      </c>
      <c r="BO4" s="33" t="s">
        <v>176</v>
      </c>
      <c r="BP4" s="33" t="s">
        <v>177</v>
      </c>
      <c r="BQ4" s="33"/>
      <c r="BR4" s="33" t="s">
        <v>178</v>
      </c>
      <c r="BS4" s="33" t="s">
        <v>179</v>
      </c>
      <c r="BT4" s="33" t="s">
        <v>180</v>
      </c>
      <c r="BU4" s="33" t="s">
        <v>181</v>
      </c>
      <c r="BV4" s="33"/>
      <c r="BW4" s="33" t="s">
        <v>182</v>
      </c>
      <c r="BX4" s="33" t="s">
        <v>183</v>
      </c>
      <c r="BY4" s="33" t="s">
        <v>184</v>
      </c>
      <c r="BZ4" s="33" t="s">
        <v>185</v>
      </c>
      <c r="CA4" s="33"/>
      <c r="CB4" s="33" t="s">
        <v>186</v>
      </c>
      <c r="CC4" s="33" t="s">
        <v>187</v>
      </c>
      <c r="CD4" s="33" t="s">
        <v>188</v>
      </c>
      <c r="CE4" s="33" t="s">
        <v>189</v>
      </c>
      <c r="CF4" s="33"/>
      <c r="CG4" s="33" t="s">
        <v>190</v>
      </c>
      <c r="CH4" s="33" t="s">
        <v>191</v>
      </c>
      <c r="CI4" s="33" t="s">
        <v>192</v>
      </c>
      <c r="CJ4" s="33" t="s">
        <v>193</v>
      </c>
      <c r="CK4" s="33"/>
      <c r="CL4" s="33" t="s">
        <v>194</v>
      </c>
      <c r="CM4" s="33" t="s">
        <v>195</v>
      </c>
      <c r="CN4" s="33" t="s">
        <v>196</v>
      </c>
      <c r="CO4" s="33" t="s">
        <v>197</v>
      </c>
      <c r="CP4" s="33"/>
      <c r="CQ4" s="33" t="s">
        <v>198</v>
      </c>
      <c r="CR4" s="33" t="s">
        <v>199</v>
      </c>
      <c r="CS4" s="33" t="s">
        <v>200</v>
      </c>
      <c r="CT4" s="33" t="s">
        <v>201</v>
      </c>
      <c r="CU4" s="33"/>
      <c r="CV4" s="33" t="s">
        <v>202</v>
      </c>
      <c r="CW4" s="33" t="s">
        <v>203</v>
      </c>
      <c r="CX4" s="33" t="s">
        <v>204</v>
      </c>
      <c r="CY4" s="33" t="s">
        <v>205</v>
      </c>
      <c r="CZ4" s="33"/>
    </row>
    <row r="5" spans="1:104" ht="20.100000000000001" customHeight="1" x14ac:dyDescent="0.15">
      <c r="C5" s="8"/>
      <c r="D5" s="8" t="s">
        <v>38</v>
      </c>
    </row>
    <row r="6" spans="1:104" ht="20.100000000000001" customHeight="1" x14ac:dyDescent="0.15">
      <c r="B6" s="17" t="s">
        <v>240</v>
      </c>
      <c r="C6" s="8">
        <v>0</v>
      </c>
      <c r="D6" s="8">
        <v>1</v>
      </c>
      <c r="E6" s="34">
        <v>1001</v>
      </c>
      <c r="F6" s="34">
        <v>0</v>
      </c>
      <c r="G6" s="34">
        <v>0</v>
      </c>
      <c r="H6" s="34">
        <v>10000</v>
      </c>
    </row>
    <row r="7" spans="1:104" ht="20.100000000000001" customHeight="1" x14ac:dyDescent="0.15">
      <c r="B7" s="17" t="s">
        <v>240</v>
      </c>
      <c r="C7" s="8">
        <v>1</v>
      </c>
      <c r="D7" s="8">
        <v>1</v>
      </c>
      <c r="E7" s="34">
        <v>1001</v>
      </c>
      <c r="F7" s="34">
        <v>999999</v>
      </c>
      <c r="G7" s="34">
        <v>999999</v>
      </c>
      <c r="H7" s="34">
        <v>10000</v>
      </c>
      <c r="J7" s="34">
        <v>1000</v>
      </c>
      <c r="K7" s="34">
        <v>999999</v>
      </c>
      <c r="L7" s="34">
        <v>999999</v>
      </c>
      <c r="M7" s="34">
        <v>10000</v>
      </c>
    </row>
    <row r="8" spans="1:104" ht="20.100000000000001" customHeight="1" x14ac:dyDescent="0.15">
      <c r="C8" s="8">
        <v>101</v>
      </c>
      <c r="D8" s="8">
        <v>2</v>
      </c>
      <c r="E8" s="34">
        <v>1101</v>
      </c>
      <c r="F8" s="34">
        <v>1</v>
      </c>
      <c r="G8" s="34">
        <v>1</v>
      </c>
      <c r="H8" s="34">
        <v>1</v>
      </c>
      <c r="J8" s="34">
        <f>E8+1</f>
        <v>1102</v>
      </c>
      <c r="K8" s="34">
        <v>1</v>
      </c>
      <c r="L8" s="34">
        <v>1</v>
      </c>
      <c r="M8" s="34">
        <v>1</v>
      </c>
      <c r="N8" s="29"/>
      <c r="O8" s="34">
        <f>J8+1</f>
        <v>1103</v>
      </c>
      <c r="P8" s="34">
        <v>1</v>
      </c>
      <c r="Q8" s="34">
        <v>1</v>
      </c>
      <c r="R8" s="34">
        <v>1</v>
      </c>
      <c r="S8" s="29"/>
      <c r="T8" s="34">
        <f>O8+1</f>
        <v>1104</v>
      </c>
      <c r="U8" s="34">
        <v>1</v>
      </c>
      <c r="V8" s="34">
        <v>1</v>
      </c>
      <c r="W8" s="34">
        <v>1</v>
      </c>
      <c r="X8" s="29"/>
      <c r="Y8" s="34">
        <f>T8+1</f>
        <v>1105</v>
      </c>
      <c r="Z8" s="34">
        <v>1</v>
      </c>
      <c r="AA8" s="34">
        <v>1</v>
      </c>
      <c r="AB8" s="34">
        <v>1</v>
      </c>
      <c r="AC8" s="29"/>
      <c r="AD8" s="34"/>
      <c r="AE8" s="34"/>
      <c r="AF8" s="34"/>
      <c r="AG8" s="34"/>
      <c r="AH8" s="29"/>
      <c r="AJ8" s="34"/>
      <c r="AK8" s="34"/>
      <c r="AL8" s="34"/>
      <c r="AM8" s="29"/>
      <c r="AN8" s="34"/>
      <c r="AO8" s="34"/>
      <c r="AP8" s="34"/>
      <c r="AQ8" s="34"/>
      <c r="AR8" s="29"/>
      <c r="AS8" s="34"/>
      <c r="AT8" s="34"/>
      <c r="AU8" s="34"/>
      <c r="AV8" s="34"/>
      <c r="AW8" s="29"/>
      <c r="AX8" s="34"/>
      <c r="AY8" s="34"/>
      <c r="AZ8" s="34"/>
      <c r="BA8" s="34"/>
      <c r="BB8" s="29"/>
      <c r="BC8" s="34"/>
      <c r="BD8" s="34"/>
      <c r="BE8" s="34"/>
      <c r="BF8" s="34"/>
    </row>
    <row r="9" spans="1:104" ht="20.100000000000001" customHeight="1" x14ac:dyDescent="0.15">
      <c r="C9" s="8"/>
      <c r="D9" s="8"/>
    </row>
    <row r="10" spans="1:104" ht="20.100000000000001" customHeight="1" x14ac:dyDescent="0.15">
      <c r="B10" s="17" t="s">
        <v>236</v>
      </c>
      <c r="C10" s="8"/>
      <c r="D10" s="8"/>
    </row>
    <row r="11" spans="1:104" ht="20.100000000000001" customHeight="1" x14ac:dyDescent="0.15">
      <c r="A11" s="17" t="s">
        <v>713</v>
      </c>
      <c r="B11" s="17" t="s">
        <v>701</v>
      </c>
      <c r="C11" s="29">
        <v>40101</v>
      </c>
      <c r="D11" s="29">
        <v>2</v>
      </c>
      <c r="E11" s="34">
        <v>1001</v>
      </c>
      <c r="F11" s="34">
        <v>100</v>
      </c>
      <c r="G11" s="17">
        <v>200</v>
      </c>
      <c r="H11" s="17">
        <v>20</v>
      </c>
      <c r="I11" s="34"/>
      <c r="J11" s="34">
        <v>1200</v>
      </c>
      <c r="K11" s="34">
        <v>1</v>
      </c>
      <c r="L11" s="17">
        <v>1</v>
      </c>
      <c r="M11" s="17">
        <v>11</v>
      </c>
      <c r="O11" s="34">
        <v>1201</v>
      </c>
      <c r="P11" s="34">
        <v>1</v>
      </c>
      <c r="Q11" s="17">
        <v>1</v>
      </c>
      <c r="R11" s="17">
        <v>1</v>
      </c>
      <c r="T11" s="34">
        <v>1202</v>
      </c>
      <c r="U11" s="34">
        <v>1</v>
      </c>
      <c r="V11" s="17">
        <v>1</v>
      </c>
      <c r="W11" s="17">
        <v>1</v>
      </c>
      <c r="Y11" s="17">
        <v>1100</v>
      </c>
      <c r="Z11" s="17">
        <v>1</v>
      </c>
      <c r="AA11" s="17">
        <v>1</v>
      </c>
      <c r="AB11" s="17">
        <v>1</v>
      </c>
      <c r="AD11" s="17">
        <v>1101</v>
      </c>
      <c r="AE11" s="17">
        <v>1</v>
      </c>
      <c r="AF11" s="17">
        <v>1</v>
      </c>
      <c r="AG11" s="17">
        <v>1</v>
      </c>
    </row>
    <row r="12" spans="1:104" ht="20.100000000000001" customHeight="1" x14ac:dyDescent="0.15">
      <c r="B12" s="17" t="s">
        <v>702</v>
      </c>
      <c r="C12" s="29">
        <v>40102</v>
      </c>
      <c r="D12" s="29">
        <v>2</v>
      </c>
      <c r="E12" s="34">
        <v>1001</v>
      </c>
      <c r="F12" s="34">
        <v>100</v>
      </c>
      <c r="G12" s="17">
        <v>200</v>
      </c>
      <c r="H12" s="17">
        <v>20</v>
      </c>
      <c r="I12" s="34"/>
      <c r="J12" s="34">
        <v>1200</v>
      </c>
      <c r="K12" s="34">
        <v>1</v>
      </c>
      <c r="L12" s="17">
        <v>1</v>
      </c>
      <c r="M12" s="17">
        <v>11</v>
      </c>
      <c r="O12" s="34">
        <v>1201</v>
      </c>
      <c r="P12" s="34">
        <v>1</v>
      </c>
      <c r="Q12" s="17">
        <v>1</v>
      </c>
      <c r="R12" s="17">
        <v>1</v>
      </c>
      <c r="T12" s="34">
        <v>1202</v>
      </c>
      <c r="U12" s="34">
        <v>1</v>
      </c>
      <c r="V12" s="17">
        <v>1</v>
      </c>
      <c r="W12" s="17">
        <v>1</v>
      </c>
      <c r="Y12" s="17">
        <v>1100</v>
      </c>
      <c r="Z12" s="17">
        <v>1</v>
      </c>
      <c r="AA12" s="17">
        <v>1</v>
      </c>
      <c r="AB12" s="17">
        <v>1</v>
      </c>
      <c r="AD12" s="17">
        <v>1101</v>
      </c>
      <c r="AE12" s="17">
        <v>1</v>
      </c>
      <c r="AF12" s="17">
        <v>1</v>
      </c>
      <c r="AG12" s="17">
        <v>1</v>
      </c>
    </row>
    <row r="13" spans="1:104" ht="20.100000000000001" customHeight="1" x14ac:dyDescent="0.15">
      <c r="B13" s="17" t="s">
        <v>703</v>
      </c>
      <c r="C13" s="29">
        <v>40103</v>
      </c>
      <c r="D13" s="29">
        <v>2</v>
      </c>
      <c r="E13" s="34">
        <v>1001</v>
      </c>
      <c r="F13" s="34">
        <v>1</v>
      </c>
      <c r="G13" s="34">
        <v>1</v>
      </c>
      <c r="H13" s="34">
        <v>1</v>
      </c>
      <c r="I13" s="34"/>
      <c r="J13" s="34">
        <v>1203</v>
      </c>
      <c r="K13" s="34">
        <v>1</v>
      </c>
      <c r="L13" s="34">
        <v>1</v>
      </c>
      <c r="M13" s="34">
        <v>1</v>
      </c>
      <c r="N13" s="34"/>
    </row>
    <row r="14" spans="1:104" ht="20.100000000000001" customHeight="1" x14ac:dyDescent="0.15">
      <c r="I14" s="34"/>
      <c r="J14" s="34"/>
      <c r="K14" s="34"/>
      <c r="L14" s="34"/>
      <c r="M14" s="34"/>
      <c r="N14" s="34"/>
    </row>
    <row r="15" spans="1:104" ht="20.100000000000001" customHeight="1" x14ac:dyDescent="0.15">
      <c r="A15" s="17" t="s">
        <v>712</v>
      </c>
      <c r="B15" s="17" t="s">
        <v>701</v>
      </c>
      <c r="C15" s="29">
        <v>40201</v>
      </c>
      <c r="D15" s="29">
        <v>2</v>
      </c>
      <c r="E15" s="34">
        <v>1001</v>
      </c>
      <c r="F15" s="34">
        <v>200</v>
      </c>
      <c r="G15" s="17">
        <v>400</v>
      </c>
      <c r="H15" s="17">
        <v>20</v>
      </c>
      <c r="I15" s="34"/>
      <c r="J15" s="34">
        <v>1200</v>
      </c>
      <c r="K15" s="34">
        <v>1</v>
      </c>
      <c r="L15" s="17">
        <v>1</v>
      </c>
      <c r="M15" s="17">
        <v>11</v>
      </c>
      <c r="O15" s="34">
        <v>1201</v>
      </c>
      <c r="P15" s="34">
        <v>1</v>
      </c>
      <c r="Q15" s="17">
        <v>1</v>
      </c>
      <c r="R15" s="17">
        <v>1</v>
      </c>
      <c r="T15" s="34">
        <v>1202</v>
      </c>
      <c r="U15" s="34">
        <v>1</v>
      </c>
      <c r="V15" s="17">
        <v>1</v>
      </c>
      <c r="W15" s="17">
        <v>1</v>
      </c>
      <c r="Y15" s="17">
        <v>1100</v>
      </c>
      <c r="Z15" s="17">
        <v>1</v>
      </c>
      <c r="AA15" s="17">
        <v>1</v>
      </c>
      <c r="AB15" s="17">
        <v>1</v>
      </c>
      <c r="AD15" s="17">
        <v>1101</v>
      </c>
      <c r="AE15" s="17">
        <v>1</v>
      </c>
      <c r="AF15" s="17">
        <v>1</v>
      </c>
      <c r="AG15" s="17">
        <v>1</v>
      </c>
    </row>
    <row r="16" spans="1:104" ht="20.100000000000001" customHeight="1" x14ac:dyDescent="0.15">
      <c r="B16" s="17" t="s">
        <v>702</v>
      </c>
      <c r="C16" s="29">
        <v>40202</v>
      </c>
      <c r="D16" s="29">
        <v>2</v>
      </c>
      <c r="E16" s="34">
        <v>1001</v>
      </c>
      <c r="F16" s="34">
        <v>200</v>
      </c>
      <c r="G16" s="17">
        <v>400</v>
      </c>
      <c r="H16" s="17">
        <v>20</v>
      </c>
      <c r="I16" s="34"/>
      <c r="J16" s="34">
        <v>1200</v>
      </c>
      <c r="K16" s="34">
        <v>1</v>
      </c>
      <c r="L16" s="17">
        <v>1</v>
      </c>
      <c r="M16" s="17">
        <v>11</v>
      </c>
      <c r="O16" s="34">
        <v>1201</v>
      </c>
      <c r="P16" s="34">
        <v>1</v>
      </c>
      <c r="Q16" s="17">
        <v>1</v>
      </c>
      <c r="R16" s="17">
        <v>1</v>
      </c>
      <c r="T16" s="34">
        <v>1202</v>
      </c>
      <c r="U16" s="34">
        <v>1</v>
      </c>
      <c r="V16" s="17">
        <v>1</v>
      </c>
      <c r="W16" s="17">
        <v>1</v>
      </c>
      <c r="Y16" s="17">
        <v>1100</v>
      </c>
      <c r="Z16" s="17">
        <v>1</v>
      </c>
      <c r="AA16" s="17">
        <v>1</v>
      </c>
      <c r="AB16" s="17">
        <v>1</v>
      </c>
      <c r="AD16" s="17">
        <v>1101</v>
      </c>
      <c r="AE16" s="17">
        <v>1</v>
      </c>
      <c r="AF16" s="17">
        <v>1</v>
      </c>
      <c r="AG16" s="17">
        <v>1</v>
      </c>
    </row>
    <row r="17" spans="1:59" ht="20.100000000000001" customHeight="1" x14ac:dyDescent="0.15">
      <c r="B17" s="17" t="s">
        <v>703</v>
      </c>
      <c r="C17" s="29">
        <v>40203</v>
      </c>
      <c r="D17" s="29">
        <v>2</v>
      </c>
      <c r="E17" s="34">
        <v>1001</v>
      </c>
      <c r="F17" s="34">
        <v>100</v>
      </c>
      <c r="G17" s="34">
        <v>200</v>
      </c>
      <c r="H17" s="34">
        <v>9</v>
      </c>
      <c r="I17" s="34"/>
      <c r="J17" s="34">
        <v>3000</v>
      </c>
      <c r="K17" s="34">
        <v>1</v>
      </c>
      <c r="L17" s="34">
        <v>1</v>
      </c>
      <c r="M17" s="34">
        <v>1</v>
      </c>
      <c r="N17" s="34"/>
      <c r="O17" s="17">
        <v>3001</v>
      </c>
      <c r="P17" s="17">
        <v>1</v>
      </c>
      <c r="Q17" s="17">
        <v>1</v>
      </c>
      <c r="R17" s="17">
        <v>1</v>
      </c>
      <c r="T17" s="17">
        <f>O17+1</f>
        <v>3002</v>
      </c>
      <c r="U17" s="17">
        <v>1</v>
      </c>
      <c r="V17" s="17">
        <v>1</v>
      </c>
      <c r="W17" s="17">
        <v>1</v>
      </c>
      <c r="Y17" s="17">
        <f t="shared" ref="Y17" si="0">T17+1</f>
        <v>3003</v>
      </c>
      <c r="Z17" s="17">
        <v>1</v>
      </c>
      <c r="AA17" s="17">
        <v>1</v>
      </c>
      <c r="AB17" s="17">
        <v>1</v>
      </c>
      <c r="AD17" s="17">
        <f t="shared" ref="AD17" si="1">Y17+1</f>
        <v>3004</v>
      </c>
      <c r="AE17" s="17">
        <v>1</v>
      </c>
      <c r="AF17" s="17">
        <v>1</v>
      </c>
      <c r="AG17" s="17">
        <v>1</v>
      </c>
      <c r="AI17" s="17">
        <f t="shared" ref="AI17" si="2">AD17+1</f>
        <v>3005</v>
      </c>
      <c r="AJ17" s="17">
        <v>1</v>
      </c>
      <c r="AK17" s="17">
        <v>1</v>
      </c>
      <c r="AL17" s="17">
        <v>1</v>
      </c>
      <c r="AN17" s="17">
        <f t="shared" ref="AN17" si="3">AI17+1</f>
        <v>3006</v>
      </c>
      <c r="AO17" s="17">
        <v>1</v>
      </c>
      <c r="AP17" s="17">
        <v>1</v>
      </c>
      <c r="AQ17" s="17">
        <v>1</v>
      </c>
      <c r="AS17" s="17">
        <f t="shared" ref="AS17" si="4">AN17+1</f>
        <v>3007</v>
      </c>
      <c r="AT17" s="17">
        <v>1</v>
      </c>
      <c r="AU17" s="17">
        <v>1</v>
      </c>
      <c r="AV17" s="17">
        <v>1</v>
      </c>
      <c r="AX17" s="17">
        <f t="shared" ref="AX17" si="5">AS17+1</f>
        <v>3008</v>
      </c>
      <c r="AY17" s="17">
        <v>1</v>
      </c>
      <c r="AZ17" s="17">
        <v>1</v>
      </c>
      <c r="BA17" s="17">
        <v>1</v>
      </c>
      <c r="BC17" s="17">
        <f t="shared" ref="BC17" si="6">AX17+1</f>
        <v>3009</v>
      </c>
      <c r="BD17" s="17">
        <v>1</v>
      </c>
      <c r="BE17" s="17">
        <v>1</v>
      </c>
      <c r="BF17" s="17">
        <v>1</v>
      </c>
    </row>
    <row r="18" spans="1:59" ht="20.100000000000001" customHeight="1" x14ac:dyDescent="0.15">
      <c r="A18" s="29" t="s">
        <v>160</v>
      </c>
      <c r="B18" s="29"/>
    </row>
    <row r="19" spans="1:59" ht="20.100000000000001" customHeight="1" x14ac:dyDescent="0.15">
      <c r="A19" s="29">
        <v>1</v>
      </c>
      <c r="B19" s="29" t="s">
        <v>161</v>
      </c>
      <c r="C19" s="29">
        <v>10100</v>
      </c>
      <c r="D19" s="29">
        <v>1</v>
      </c>
      <c r="E19" s="34">
        <v>1001</v>
      </c>
      <c r="F19" s="34">
        <v>1</v>
      </c>
      <c r="G19" s="34">
        <v>20</v>
      </c>
      <c r="H19" s="34">
        <v>8000</v>
      </c>
      <c r="J19" s="34">
        <v>1204</v>
      </c>
      <c r="K19" s="34">
        <v>1</v>
      </c>
      <c r="L19" s="34">
        <v>1</v>
      </c>
      <c r="M19" s="34">
        <v>1000</v>
      </c>
      <c r="O19" s="34"/>
      <c r="P19" s="34"/>
      <c r="Q19" s="34"/>
      <c r="R19" s="34"/>
      <c r="T19" s="29"/>
      <c r="Y19" s="29"/>
      <c r="AD19" s="29"/>
      <c r="AI19" s="29"/>
      <c r="AN19" s="29"/>
      <c r="AS19" s="29"/>
      <c r="AX19" s="29"/>
      <c r="BC19" s="29"/>
    </row>
    <row r="20" spans="1:59" ht="20.100000000000001" customHeight="1" x14ac:dyDescent="0.15">
      <c r="A20" s="29"/>
      <c r="B20" s="29" t="s">
        <v>287</v>
      </c>
      <c r="C20" s="29">
        <f>C19+1</f>
        <v>10101</v>
      </c>
      <c r="D20" s="29">
        <v>2</v>
      </c>
      <c r="E20" s="29">
        <f ca="1">RANDBETWEEN(1,3)+20000+RANDBETWEEN(1,2)*100</f>
        <v>20101</v>
      </c>
      <c r="F20" s="17">
        <v>1</v>
      </c>
      <c r="G20" s="17">
        <v>1</v>
      </c>
      <c r="H20" s="17">
        <v>1</v>
      </c>
      <c r="I20" s="17"/>
      <c r="J20" s="29">
        <f ca="1">RANDBETWEEN(1,3)+20000+RANDBETWEEN(1,2)*100</f>
        <v>20102</v>
      </c>
      <c r="K20" s="17">
        <v>1</v>
      </c>
      <c r="L20" s="17">
        <v>1</v>
      </c>
      <c r="M20" s="17">
        <v>1</v>
      </c>
      <c r="O20" s="29">
        <f ca="1">RANDBETWEEN(1,3)+20000+RANDBETWEEN(1,2)*100</f>
        <v>20103</v>
      </c>
      <c r="P20" s="17">
        <v>1</v>
      </c>
      <c r="Q20" s="17">
        <v>1</v>
      </c>
      <c r="R20" s="17">
        <v>1</v>
      </c>
      <c r="T20" s="29">
        <f ca="1">RANDBETWEEN(1,3)+20000+RANDBETWEEN(1,2)*100</f>
        <v>20203</v>
      </c>
      <c r="U20" s="17">
        <v>1</v>
      </c>
      <c r="V20" s="17">
        <v>1</v>
      </c>
      <c r="W20" s="17">
        <v>1</v>
      </c>
      <c r="Y20" s="29">
        <f ca="1">RANDBETWEEN(1,3)+20000+RANDBETWEEN(1,2)*100</f>
        <v>20202</v>
      </c>
      <c r="Z20" s="17">
        <v>1</v>
      </c>
      <c r="AA20" s="17">
        <v>1</v>
      </c>
      <c r="AB20" s="17">
        <v>1</v>
      </c>
      <c r="AD20" s="29">
        <f ca="1">RANDBETWEEN(1,3)+20000+RANDBETWEEN(1,2)*100</f>
        <v>20103</v>
      </c>
      <c r="AE20" s="17">
        <v>1</v>
      </c>
      <c r="AF20" s="17">
        <v>1</v>
      </c>
      <c r="AG20" s="17">
        <v>1</v>
      </c>
      <c r="AI20" s="29">
        <f ca="1">RANDBETWEEN(1,3)+20000+RANDBETWEEN(1,2)*100</f>
        <v>20202</v>
      </c>
      <c r="AJ20" s="17">
        <v>1</v>
      </c>
      <c r="AK20" s="17">
        <v>1</v>
      </c>
      <c r="AL20" s="17">
        <v>1</v>
      </c>
      <c r="AN20" s="29">
        <f ca="1">RANDBETWEEN(1,3)+20000+RANDBETWEEN(1,2)*100</f>
        <v>20202</v>
      </c>
      <c r="AO20" s="17">
        <v>1</v>
      </c>
      <c r="AP20" s="17">
        <v>1</v>
      </c>
      <c r="AQ20" s="17">
        <v>1</v>
      </c>
      <c r="AS20" s="29">
        <f ca="1">RANDBETWEEN(1,3)+20000+RANDBETWEEN(1,2)*100</f>
        <v>20101</v>
      </c>
      <c r="AT20" s="17">
        <v>1</v>
      </c>
      <c r="AU20" s="17">
        <v>1</v>
      </c>
      <c r="AV20" s="17">
        <v>1</v>
      </c>
      <c r="AX20" s="29">
        <f ca="1">RANDBETWEEN(1,3)+20000+RANDBETWEEN(1,2)*100</f>
        <v>20102</v>
      </c>
      <c r="AY20" s="17">
        <v>1</v>
      </c>
      <c r="AZ20" s="17">
        <v>1</v>
      </c>
      <c r="BA20" s="17">
        <v>1</v>
      </c>
      <c r="BC20" s="29">
        <v>1001</v>
      </c>
      <c r="BD20" s="17">
        <v>50</v>
      </c>
      <c r="BE20" s="17">
        <v>100</v>
      </c>
      <c r="BF20" s="17">
        <v>10</v>
      </c>
    </row>
    <row r="21" spans="1:59" ht="20.100000000000001" customHeight="1" x14ac:dyDescent="0.15">
      <c r="A21" s="29"/>
      <c r="B21" s="29"/>
    </row>
    <row r="22" spans="1:59" ht="20.100000000000001" customHeight="1" x14ac:dyDescent="0.15">
      <c r="A22" s="29">
        <v>2</v>
      </c>
      <c r="B22" s="29" t="s">
        <v>161</v>
      </c>
      <c r="C22" s="29">
        <f>C19+100</f>
        <v>10200</v>
      </c>
      <c r="D22" s="29">
        <v>1</v>
      </c>
      <c r="E22" s="34">
        <v>1001</v>
      </c>
      <c r="F22" s="34">
        <v>20</v>
      </c>
      <c r="G22" s="34">
        <v>40</v>
      </c>
      <c r="H22" s="34">
        <v>1000</v>
      </c>
      <c r="J22" s="34">
        <v>1204</v>
      </c>
      <c r="K22" s="34">
        <v>1</v>
      </c>
      <c r="L22" s="34">
        <v>1</v>
      </c>
      <c r="M22" s="34">
        <v>1000</v>
      </c>
      <c r="O22" s="29"/>
      <c r="T22" s="29"/>
      <c r="Y22" s="29"/>
      <c r="AD22" s="29"/>
      <c r="AI22" s="29"/>
      <c r="AN22" s="29"/>
      <c r="AS22" s="29"/>
      <c r="AX22" s="29"/>
      <c r="BC22" s="29"/>
      <c r="BG22" s="29"/>
    </row>
    <row r="23" spans="1:59" ht="20.100000000000001" customHeight="1" x14ac:dyDescent="0.15">
      <c r="A23" s="29"/>
      <c r="B23" s="29" t="s">
        <v>287</v>
      </c>
      <c r="C23" s="29">
        <f>C20+100</f>
        <v>10201</v>
      </c>
      <c r="D23" s="29">
        <v>2</v>
      </c>
      <c r="E23" s="29">
        <f ca="1">RANDBETWEEN(3,6)+20000+RANDBETWEEN(1,2)*100</f>
        <v>20204</v>
      </c>
      <c r="F23" s="17">
        <v>1</v>
      </c>
      <c r="G23" s="17">
        <v>1</v>
      </c>
      <c r="H23" s="17">
        <v>1</v>
      </c>
      <c r="I23" s="17"/>
      <c r="J23" s="29">
        <f ca="1">RANDBETWEEN(3,6)+20000+RANDBETWEEN(1,2)*100</f>
        <v>20206</v>
      </c>
      <c r="K23" s="17">
        <v>1</v>
      </c>
      <c r="L23" s="17">
        <v>1</v>
      </c>
      <c r="M23" s="17">
        <v>1</v>
      </c>
      <c r="O23" s="29">
        <f ca="1">RANDBETWEEN(3,6)+20000+RANDBETWEEN(1,2)*100</f>
        <v>20203</v>
      </c>
      <c r="P23" s="17">
        <v>1</v>
      </c>
      <c r="Q23" s="17">
        <v>1</v>
      </c>
      <c r="R23" s="17">
        <v>1</v>
      </c>
      <c r="T23" s="29">
        <f ca="1">RANDBETWEEN(3,6)+20000+RANDBETWEEN(1,2)*100</f>
        <v>20103</v>
      </c>
      <c r="U23" s="17">
        <v>1</v>
      </c>
      <c r="V23" s="17">
        <v>1</v>
      </c>
      <c r="W23" s="17">
        <v>1</v>
      </c>
      <c r="Y23" s="29">
        <f ca="1">RANDBETWEEN(3,6)+20000+RANDBETWEEN(1,2)*100</f>
        <v>20203</v>
      </c>
      <c r="Z23" s="17">
        <v>1</v>
      </c>
      <c r="AA23" s="17">
        <v>1</v>
      </c>
      <c r="AB23" s="17">
        <v>1</v>
      </c>
      <c r="AD23" s="29">
        <f ca="1">RANDBETWEEN(3,6)+20000+RANDBETWEEN(1,2)*100</f>
        <v>20105</v>
      </c>
      <c r="AE23" s="17">
        <v>1</v>
      </c>
      <c r="AF23" s="17">
        <v>1</v>
      </c>
      <c r="AG23" s="17">
        <v>1</v>
      </c>
      <c r="AI23" s="29">
        <f ca="1">RANDBETWEEN(3,6)+20000+RANDBETWEEN(1,2)*100</f>
        <v>20103</v>
      </c>
      <c r="AJ23" s="17">
        <v>1</v>
      </c>
      <c r="AK23" s="17">
        <v>1</v>
      </c>
      <c r="AL23" s="17">
        <v>1</v>
      </c>
      <c r="AN23" s="29">
        <f ca="1">RANDBETWEEN(3,6)+20000+RANDBETWEEN(1,2)*100</f>
        <v>20206</v>
      </c>
      <c r="AO23" s="17">
        <v>1</v>
      </c>
      <c r="AP23" s="17">
        <v>1</v>
      </c>
      <c r="AQ23" s="17">
        <v>1</v>
      </c>
      <c r="AS23" s="29">
        <f ca="1">RANDBETWEEN(3,6)+20000+RANDBETWEEN(1,2)*100</f>
        <v>20103</v>
      </c>
      <c r="AT23" s="17">
        <v>1</v>
      </c>
      <c r="AU23" s="17">
        <v>1</v>
      </c>
      <c r="AV23" s="17">
        <v>1</v>
      </c>
      <c r="AX23" s="29">
        <f ca="1">RANDBETWEEN(3,6)+20000+RANDBETWEEN(1,2)*100</f>
        <v>20204</v>
      </c>
      <c r="AY23" s="17">
        <v>1</v>
      </c>
      <c r="AZ23" s="17">
        <v>1</v>
      </c>
      <c r="BA23" s="17">
        <v>1</v>
      </c>
      <c r="BC23" s="29">
        <v>1001</v>
      </c>
      <c r="BD23" s="17">
        <f>BD20+50</f>
        <v>100</v>
      </c>
      <c r="BE23" s="17">
        <f>BE20+50</f>
        <v>150</v>
      </c>
      <c r="BF23" s="17">
        <v>10</v>
      </c>
      <c r="BG23" s="29"/>
    </row>
    <row r="24" spans="1:59" ht="20.100000000000001" customHeight="1" x14ac:dyDescent="0.35">
      <c r="A24" s="29"/>
      <c r="B24" s="29"/>
      <c r="F24" s="18"/>
    </row>
    <row r="25" spans="1:59" ht="20.100000000000001" customHeight="1" x14ac:dyDescent="0.15">
      <c r="A25" s="29">
        <v>3</v>
      </c>
      <c r="B25" s="29" t="s">
        <v>161</v>
      </c>
      <c r="C25" s="29">
        <f>C22+100</f>
        <v>10300</v>
      </c>
      <c r="D25" s="29">
        <v>1</v>
      </c>
      <c r="E25" s="34">
        <v>1001</v>
      </c>
      <c r="F25" s="34">
        <v>40</v>
      </c>
      <c r="G25" s="34">
        <v>60</v>
      </c>
      <c r="H25" s="34">
        <v>1000</v>
      </c>
      <c r="J25" s="34">
        <v>1204</v>
      </c>
      <c r="K25" s="34">
        <v>1</v>
      </c>
      <c r="L25" s="34">
        <v>1</v>
      </c>
      <c r="M25" s="34">
        <v>1000</v>
      </c>
      <c r="O25" s="29"/>
      <c r="T25" s="29"/>
      <c r="Y25" s="29"/>
      <c r="AD25" s="29"/>
      <c r="AI25" s="29"/>
      <c r="AN25" s="29"/>
      <c r="AS25" s="29"/>
      <c r="AX25" s="29"/>
      <c r="BC25" s="29"/>
    </row>
    <row r="26" spans="1:59" ht="20.100000000000001" customHeight="1" x14ac:dyDescent="0.15">
      <c r="A26" s="29"/>
      <c r="B26" s="29" t="s">
        <v>287</v>
      </c>
      <c r="C26" s="29">
        <f>C23+100</f>
        <v>10301</v>
      </c>
      <c r="D26" s="29">
        <v>2</v>
      </c>
      <c r="E26" s="29">
        <f ca="1">RANDBETWEEN(1,3)+20000+RANDBETWEEN(1,2)*100+RANDBETWEEN(1,1)*10</f>
        <v>20111</v>
      </c>
      <c r="F26" s="17">
        <v>1</v>
      </c>
      <c r="G26" s="17">
        <v>1</v>
      </c>
      <c r="H26" s="17">
        <v>1</v>
      </c>
      <c r="I26" s="17"/>
      <c r="J26" s="29">
        <f ca="1">RANDBETWEEN(1,3)+20000+RANDBETWEEN(1,2)*100+RANDBETWEEN(1,1)*10</f>
        <v>20211</v>
      </c>
      <c r="K26" s="17">
        <v>1</v>
      </c>
      <c r="L26" s="17">
        <v>1</v>
      </c>
      <c r="M26" s="17">
        <v>1</v>
      </c>
      <c r="O26" s="29">
        <f ca="1">RANDBETWEEN(1,3)+20000+RANDBETWEEN(1,2)*100+RANDBETWEEN(1,1)*10</f>
        <v>20211</v>
      </c>
      <c r="P26" s="17">
        <v>1</v>
      </c>
      <c r="Q26" s="17">
        <v>1</v>
      </c>
      <c r="R26" s="17">
        <v>1</v>
      </c>
      <c r="T26" s="29">
        <f ca="1">RANDBETWEEN(1,3)+20000+RANDBETWEEN(1,2)*100+RANDBETWEEN(1,1)*10</f>
        <v>20213</v>
      </c>
      <c r="U26" s="17">
        <v>1</v>
      </c>
      <c r="V26" s="17">
        <v>1</v>
      </c>
      <c r="W26" s="17">
        <v>1</v>
      </c>
      <c r="Y26" s="29">
        <f ca="1">RANDBETWEEN(1,3)+20000+RANDBETWEEN(1,2)*100+RANDBETWEEN(1,1)*10</f>
        <v>20213</v>
      </c>
      <c r="Z26" s="17">
        <v>1</v>
      </c>
      <c r="AA26" s="17">
        <v>1</v>
      </c>
      <c r="AB26" s="17">
        <v>1</v>
      </c>
      <c r="AD26" s="29">
        <f ca="1">RANDBETWEEN(1,3)+20000+RANDBETWEEN(1,2)*100+RANDBETWEEN(1,1)*10</f>
        <v>20111</v>
      </c>
      <c r="AE26" s="17">
        <v>1</v>
      </c>
      <c r="AF26" s="17">
        <v>1</v>
      </c>
      <c r="AG26" s="17">
        <v>1</v>
      </c>
      <c r="AI26" s="29">
        <f ca="1">RANDBETWEEN(1,3)+20000+RANDBETWEEN(1,2)*100+RANDBETWEEN(1,1)*10</f>
        <v>20112</v>
      </c>
      <c r="AJ26" s="17">
        <v>1</v>
      </c>
      <c r="AK26" s="17">
        <v>1</v>
      </c>
      <c r="AL26" s="17">
        <v>1</v>
      </c>
      <c r="AN26" s="29">
        <f ca="1">RANDBETWEEN(1,3)+20000+RANDBETWEEN(1,2)*100+RANDBETWEEN(1,1)*10</f>
        <v>20212</v>
      </c>
      <c r="AO26" s="17">
        <v>1</v>
      </c>
      <c r="AP26" s="17">
        <v>1</v>
      </c>
      <c r="AQ26" s="17">
        <v>1</v>
      </c>
      <c r="AS26" s="29">
        <f ca="1">RANDBETWEEN(1,3)+20000+RANDBETWEEN(1,2)*100+RANDBETWEEN(1,1)*10</f>
        <v>20211</v>
      </c>
      <c r="AT26" s="17">
        <v>1</v>
      </c>
      <c r="AU26" s="17">
        <v>1</v>
      </c>
      <c r="AV26" s="17">
        <v>1</v>
      </c>
      <c r="AX26" s="29">
        <f ca="1">RANDBETWEEN(1,3)+20000+RANDBETWEEN(1,2)*100+RANDBETWEEN(1,1)*10</f>
        <v>20212</v>
      </c>
      <c r="AY26" s="17">
        <v>1</v>
      </c>
      <c r="AZ26" s="17">
        <v>1</v>
      </c>
      <c r="BA26" s="17">
        <v>1</v>
      </c>
      <c r="BC26" s="29">
        <v>1001</v>
      </c>
      <c r="BD26" s="17">
        <f>BD23+50</f>
        <v>150</v>
      </c>
      <c r="BE26" s="17">
        <f>BE23+50</f>
        <v>200</v>
      </c>
      <c r="BF26" s="17">
        <v>10</v>
      </c>
    </row>
    <row r="27" spans="1:59" ht="20.100000000000001" customHeight="1" x14ac:dyDescent="0.35">
      <c r="A27" s="29"/>
      <c r="B27" s="29"/>
      <c r="F27" s="18"/>
    </row>
    <row r="28" spans="1:59" ht="20.100000000000001" customHeight="1" x14ac:dyDescent="0.15">
      <c r="A28" s="29">
        <v>4</v>
      </c>
      <c r="B28" s="29" t="s">
        <v>161</v>
      </c>
      <c r="C28" s="29">
        <f>C25+100</f>
        <v>10400</v>
      </c>
      <c r="D28" s="29">
        <v>1</v>
      </c>
      <c r="E28" s="34">
        <v>1001</v>
      </c>
      <c r="F28" s="34">
        <v>60</v>
      </c>
      <c r="G28" s="34">
        <v>80</v>
      </c>
      <c r="H28" s="34">
        <v>1000</v>
      </c>
      <c r="J28" s="34">
        <v>1204</v>
      </c>
      <c r="K28" s="34">
        <v>1</v>
      </c>
      <c r="L28" s="34">
        <v>1</v>
      </c>
      <c r="M28" s="34">
        <v>1000</v>
      </c>
      <c r="O28" s="29"/>
      <c r="T28" s="29"/>
      <c r="Y28" s="29"/>
      <c r="AD28" s="29"/>
      <c r="AI28" s="29"/>
      <c r="AN28" s="29"/>
      <c r="AS28" s="29"/>
      <c r="AX28" s="29"/>
      <c r="BC28" s="29"/>
    </row>
    <row r="29" spans="1:59" ht="20.100000000000001" customHeight="1" x14ac:dyDescent="0.15">
      <c r="A29" s="29"/>
      <c r="B29" s="29" t="s">
        <v>287</v>
      </c>
      <c r="C29" s="29">
        <f>C26+100</f>
        <v>10401</v>
      </c>
      <c r="D29" s="29">
        <v>2</v>
      </c>
      <c r="E29" s="29">
        <f ca="1">RANDBETWEEN(3,6)+20000+RANDBETWEEN(1,2)*100+RANDBETWEEN(1,1)*10</f>
        <v>20216</v>
      </c>
      <c r="F29" s="17">
        <v>1</v>
      </c>
      <c r="G29" s="17">
        <v>1</v>
      </c>
      <c r="H29" s="17">
        <v>1</v>
      </c>
      <c r="I29" s="17"/>
      <c r="J29" s="29">
        <f ca="1">RANDBETWEEN(3,6)+20000+RANDBETWEEN(1,2)*100+RANDBETWEEN(1,1)*10</f>
        <v>20215</v>
      </c>
      <c r="K29" s="17">
        <v>1</v>
      </c>
      <c r="L29" s="17">
        <v>1</v>
      </c>
      <c r="M29" s="17">
        <v>1</v>
      </c>
      <c r="O29" s="29">
        <f ca="1">RANDBETWEEN(3,6)+20000+RANDBETWEEN(1,2)*100+RANDBETWEEN(1,1)*10</f>
        <v>20214</v>
      </c>
      <c r="P29" s="17">
        <v>1</v>
      </c>
      <c r="Q29" s="17">
        <v>1</v>
      </c>
      <c r="R29" s="17">
        <v>1</v>
      </c>
      <c r="T29" s="29">
        <f ca="1">RANDBETWEEN(3,6)+20000+RANDBETWEEN(1,2)*100+RANDBETWEEN(1,1)*10</f>
        <v>20214</v>
      </c>
      <c r="U29" s="17">
        <v>1</v>
      </c>
      <c r="V29" s="17">
        <v>1</v>
      </c>
      <c r="W29" s="17">
        <v>1</v>
      </c>
      <c r="Y29" s="29">
        <f ca="1">RANDBETWEEN(3,6)+20000+RANDBETWEEN(1,2)*100+RANDBETWEEN(1,1)*10</f>
        <v>20115</v>
      </c>
      <c r="Z29" s="17">
        <v>1</v>
      </c>
      <c r="AA29" s="17">
        <v>1</v>
      </c>
      <c r="AB29" s="17">
        <v>1</v>
      </c>
      <c r="AD29" s="29">
        <f ca="1">RANDBETWEEN(3,6)+20000+RANDBETWEEN(1,2)*100+RANDBETWEEN(1,1)*10</f>
        <v>20213</v>
      </c>
      <c r="AE29" s="17">
        <v>1</v>
      </c>
      <c r="AF29" s="17">
        <v>1</v>
      </c>
      <c r="AG29" s="17">
        <v>1</v>
      </c>
      <c r="AI29" s="29">
        <f ca="1">RANDBETWEEN(3,6)+20000+RANDBETWEEN(1,2)*100+RANDBETWEEN(1,1)*10</f>
        <v>20116</v>
      </c>
      <c r="AJ29" s="17">
        <v>1</v>
      </c>
      <c r="AK29" s="17">
        <v>1</v>
      </c>
      <c r="AL29" s="17">
        <v>1</v>
      </c>
      <c r="AN29" s="29">
        <f ca="1">RANDBETWEEN(3,6)+20000+RANDBETWEEN(1,2)*100+RANDBETWEEN(1,1)*10</f>
        <v>20213</v>
      </c>
      <c r="AO29" s="17">
        <v>1</v>
      </c>
      <c r="AP29" s="17">
        <v>1</v>
      </c>
      <c r="AQ29" s="17">
        <v>1</v>
      </c>
      <c r="AS29" s="29">
        <f ca="1">RANDBETWEEN(3,6)+20000+RANDBETWEEN(1,2)*100+RANDBETWEEN(1,1)*10</f>
        <v>20116</v>
      </c>
      <c r="AT29" s="17">
        <v>1</v>
      </c>
      <c r="AU29" s="17">
        <v>1</v>
      </c>
      <c r="AV29" s="17">
        <v>1</v>
      </c>
      <c r="AX29" s="29">
        <f ca="1">RANDBETWEEN(3,6)+20000+RANDBETWEEN(1,2)*100+RANDBETWEEN(1,1)*10</f>
        <v>20116</v>
      </c>
      <c r="AY29" s="17">
        <v>1</v>
      </c>
      <c r="AZ29" s="17">
        <v>1</v>
      </c>
      <c r="BA29" s="17">
        <v>1</v>
      </c>
      <c r="BC29" s="29">
        <v>1001</v>
      </c>
      <c r="BD29" s="17">
        <f>BD26+50</f>
        <v>200</v>
      </c>
      <c r="BE29" s="17">
        <f>BE26+50</f>
        <v>250</v>
      </c>
      <c r="BF29" s="17">
        <v>10</v>
      </c>
    </row>
    <row r="30" spans="1:59" ht="20.100000000000001" customHeight="1" x14ac:dyDescent="0.15">
      <c r="A30" s="29"/>
      <c r="B30" s="29"/>
      <c r="E30" s="17"/>
      <c r="F30" s="17"/>
    </row>
    <row r="31" spans="1:59" ht="20.100000000000001" customHeight="1" x14ac:dyDescent="0.15">
      <c r="A31" s="29">
        <v>5</v>
      </c>
      <c r="B31" s="29" t="s">
        <v>161</v>
      </c>
      <c r="C31" s="29">
        <f>C28+100</f>
        <v>10500</v>
      </c>
      <c r="D31" s="29">
        <v>1</v>
      </c>
      <c r="E31" s="34">
        <v>1001</v>
      </c>
      <c r="F31" s="34">
        <v>80</v>
      </c>
      <c r="G31" s="34">
        <v>100</v>
      </c>
      <c r="H31" s="34">
        <v>1000</v>
      </c>
      <c r="J31" s="34">
        <v>1204</v>
      </c>
      <c r="K31" s="34">
        <v>1</v>
      </c>
      <c r="L31" s="34">
        <v>1</v>
      </c>
      <c r="M31" s="34">
        <v>1000</v>
      </c>
      <c r="O31" s="29"/>
      <c r="T31" s="29"/>
      <c r="Y31" s="29"/>
      <c r="AD31" s="29"/>
      <c r="AI31" s="29"/>
      <c r="AN31" s="29"/>
      <c r="AS31" s="29"/>
      <c r="AX31" s="29"/>
      <c r="BC31" s="29"/>
    </row>
    <row r="32" spans="1:59" ht="20.100000000000001" customHeight="1" x14ac:dyDescent="0.15">
      <c r="A32" s="29"/>
      <c r="B32" s="29" t="s">
        <v>287</v>
      </c>
      <c r="C32" s="29">
        <f>C29+100</f>
        <v>10501</v>
      </c>
      <c r="D32" s="29">
        <v>2</v>
      </c>
      <c r="E32" s="29">
        <f ca="1">RANDBETWEEN(1,3)+20000+RANDBETWEEN(1,2)*100+RANDBETWEEN(2,2)*10</f>
        <v>20121</v>
      </c>
      <c r="F32" s="17">
        <v>1</v>
      </c>
      <c r="G32" s="17">
        <v>1</v>
      </c>
      <c r="H32" s="17">
        <v>1</v>
      </c>
      <c r="I32" s="17"/>
      <c r="J32" s="29">
        <f ca="1">RANDBETWEEN(1,3)+20000+RANDBETWEEN(1,2)*100+RANDBETWEEN(2,2)*10</f>
        <v>20122</v>
      </c>
      <c r="K32" s="17">
        <v>1</v>
      </c>
      <c r="L32" s="17">
        <v>1</v>
      </c>
      <c r="M32" s="17">
        <v>1</v>
      </c>
      <c r="O32" s="29">
        <f ca="1">RANDBETWEEN(1,3)+20000+RANDBETWEEN(1,2)*100+RANDBETWEEN(2,2)*10</f>
        <v>20221</v>
      </c>
      <c r="P32" s="17">
        <v>1</v>
      </c>
      <c r="Q32" s="17">
        <v>1</v>
      </c>
      <c r="R32" s="17">
        <v>1</v>
      </c>
      <c r="T32" s="29">
        <f ca="1">RANDBETWEEN(1,3)+20000+RANDBETWEEN(1,2)*100+RANDBETWEEN(2,2)*10</f>
        <v>20123</v>
      </c>
      <c r="U32" s="17">
        <v>1</v>
      </c>
      <c r="V32" s="17">
        <v>1</v>
      </c>
      <c r="W32" s="17">
        <v>1</v>
      </c>
      <c r="Y32" s="29">
        <f ca="1">RANDBETWEEN(1,3)+20000+RANDBETWEEN(1,2)*100+RANDBETWEEN(2,2)*10</f>
        <v>20223</v>
      </c>
      <c r="Z32" s="17">
        <v>1</v>
      </c>
      <c r="AA32" s="17">
        <v>1</v>
      </c>
      <c r="AB32" s="17">
        <v>1</v>
      </c>
      <c r="AD32" s="29">
        <f ca="1">RANDBETWEEN(1,3)+20000+RANDBETWEEN(1,2)*100+RANDBETWEEN(2,2)*10</f>
        <v>20221</v>
      </c>
      <c r="AE32" s="17">
        <v>1</v>
      </c>
      <c r="AF32" s="17">
        <v>1</v>
      </c>
      <c r="AG32" s="17">
        <v>1</v>
      </c>
      <c r="AI32" s="29">
        <f ca="1">RANDBETWEEN(1,3)+20000+RANDBETWEEN(1,2)*100+RANDBETWEEN(2,2)*10</f>
        <v>20221</v>
      </c>
      <c r="AJ32" s="17">
        <v>1</v>
      </c>
      <c r="AK32" s="17">
        <v>1</v>
      </c>
      <c r="AL32" s="17">
        <v>1</v>
      </c>
      <c r="AN32" s="29">
        <f ca="1">RANDBETWEEN(1,3)+20000+RANDBETWEEN(1,2)*100+RANDBETWEEN(2,2)*10</f>
        <v>20221</v>
      </c>
      <c r="AO32" s="17">
        <v>1</v>
      </c>
      <c r="AP32" s="17">
        <v>1</v>
      </c>
      <c r="AQ32" s="17">
        <v>1</v>
      </c>
      <c r="AS32" s="29">
        <f ca="1">RANDBETWEEN(1,3)+20000+RANDBETWEEN(1,2)*100+RANDBETWEEN(2,2)*10</f>
        <v>20122</v>
      </c>
      <c r="AT32" s="17">
        <v>1</v>
      </c>
      <c r="AU32" s="17">
        <v>1</v>
      </c>
      <c r="AV32" s="17">
        <v>1</v>
      </c>
      <c r="AX32" s="29">
        <f ca="1">RANDBETWEEN(1,3)+20000+RANDBETWEEN(1,2)*100+RANDBETWEEN(2,2)*10</f>
        <v>20221</v>
      </c>
      <c r="AY32" s="17">
        <v>1</v>
      </c>
      <c r="AZ32" s="17">
        <v>1</v>
      </c>
      <c r="BA32" s="17">
        <v>1</v>
      </c>
      <c r="BB32" s="29"/>
      <c r="BC32" s="29">
        <v>1001</v>
      </c>
      <c r="BD32" s="17">
        <f>BD29+50</f>
        <v>250</v>
      </c>
      <c r="BE32" s="17">
        <f>BE29+50</f>
        <v>300</v>
      </c>
      <c r="BF32" s="17">
        <v>10</v>
      </c>
    </row>
    <row r="33" spans="1:58" ht="20.100000000000001" customHeight="1" x14ac:dyDescent="0.15">
      <c r="A33" s="29"/>
    </row>
    <row r="34" spans="1:58" ht="20.100000000000001" customHeight="1" x14ac:dyDescent="0.15">
      <c r="A34" s="29">
        <v>6</v>
      </c>
      <c r="B34" s="29" t="s">
        <v>161</v>
      </c>
      <c r="C34" s="29">
        <f>C31+100</f>
        <v>10600</v>
      </c>
      <c r="D34" s="29">
        <v>1</v>
      </c>
      <c r="E34" s="34">
        <v>1001</v>
      </c>
      <c r="F34" s="34">
        <v>80</v>
      </c>
      <c r="G34" s="34">
        <v>100</v>
      </c>
      <c r="H34" s="34">
        <v>1000</v>
      </c>
      <c r="J34" s="34">
        <v>1204</v>
      </c>
      <c r="K34" s="34">
        <v>1</v>
      </c>
      <c r="L34" s="34">
        <v>1</v>
      </c>
      <c r="M34" s="34">
        <v>1000</v>
      </c>
      <c r="O34" s="29"/>
      <c r="T34" s="29"/>
      <c r="Y34" s="29"/>
      <c r="AD34" s="29"/>
      <c r="AI34" s="29"/>
      <c r="AN34" s="29"/>
      <c r="AS34" s="29"/>
      <c r="AX34" s="29"/>
      <c r="BC34" s="29"/>
    </row>
    <row r="35" spans="1:58" ht="20.100000000000001" customHeight="1" x14ac:dyDescent="0.15">
      <c r="A35" s="29"/>
      <c r="B35" s="29" t="s">
        <v>287</v>
      </c>
      <c r="C35" s="29">
        <f>C32+100</f>
        <v>10601</v>
      </c>
      <c r="D35" s="29">
        <v>2</v>
      </c>
      <c r="E35" s="29">
        <f ca="1">RANDBETWEEN(3,6)+20000+RANDBETWEEN(1,2)*100+RANDBETWEEN(2,2)*10</f>
        <v>20226</v>
      </c>
      <c r="F35" s="17">
        <v>1</v>
      </c>
      <c r="G35" s="17">
        <v>1</v>
      </c>
      <c r="H35" s="17">
        <v>1</v>
      </c>
      <c r="I35" s="17"/>
      <c r="J35" s="29">
        <f ca="1">RANDBETWEEN(3,6)+20000+RANDBETWEEN(1,2)*100+RANDBETWEEN(2,2)*10</f>
        <v>20124</v>
      </c>
      <c r="K35" s="17">
        <v>1</v>
      </c>
      <c r="L35" s="17">
        <v>1</v>
      </c>
      <c r="M35" s="17">
        <v>1</v>
      </c>
      <c r="O35" s="29">
        <f ca="1">RANDBETWEEN(3,6)+20000+RANDBETWEEN(1,2)*100+RANDBETWEEN(2,2)*10</f>
        <v>20226</v>
      </c>
      <c r="P35" s="17">
        <v>1</v>
      </c>
      <c r="Q35" s="17">
        <v>1</v>
      </c>
      <c r="R35" s="17">
        <v>1</v>
      </c>
      <c r="T35" s="29">
        <f ca="1">RANDBETWEEN(3,6)+20000+RANDBETWEEN(1,2)*100+RANDBETWEEN(2,2)*10</f>
        <v>20226</v>
      </c>
      <c r="U35" s="17">
        <v>1</v>
      </c>
      <c r="V35" s="17">
        <v>1</v>
      </c>
      <c r="W35" s="17">
        <v>1</v>
      </c>
      <c r="Y35" s="29">
        <f ca="1">RANDBETWEEN(3,6)+20000+RANDBETWEEN(1,2)*100+RANDBETWEEN(2,2)*10</f>
        <v>20125</v>
      </c>
      <c r="Z35" s="17">
        <v>1</v>
      </c>
      <c r="AA35" s="17">
        <v>1</v>
      </c>
      <c r="AB35" s="17">
        <v>1</v>
      </c>
      <c r="AD35" s="29">
        <f ca="1">RANDBETWEEN(3,6)+20000+RANDBETWEEN(1,2)*100+RANDBETWEEN(2,2)*10</f>
        <v>20223</v>
      </c>
      <c r="AE35" s="17">
        <v>1</v>
      </c>
      <c r="AF35" s="17">
        <v>1</v>
      </c>
      <c r="AG35" s="17">
        <v>1</v>
      </c>
      <c r="AI35" s="29">
        <f ca="1">RANDBETWEEN(3,6)+20000+RANDBETWEEN(1,2)*100+RANDBETWEEN(2,2)*10</f>
        <v>20226</v>
      </c>
      <c r="AJ35" s="17">
        <v>1</v>
      </c>
      <c r="AK35" s="17">
        <v>1</v>
      </c>
      <c r="AL35" s="17">
        <v>1</v>
      </c>
      <c r="AN35" s="29">
        <f ca="1">RANDBETWEEN(3,6)+20000+RANDBETWEEN(1,2)*100+RANDBETWEEN(2,2)*10</f>
        <v>20126</v>
      </c>
      <c r="AO35" s="17">
        <v>1</v>
      </c>
      <c r="AP35" s="17">
        <v>1</v>
      </c>
      <c r="AQ35" s="17">
        <v>1</v>
      </c>
      <c r="AS35" s="29">
        <f ca="1">RANDBETWEEN(3,6)+20000+RANDBETWEEN(1,2)*100+RANDBETWEEN(2,2)*10</f>
        <v>20123</v>
      </c>
      <c r="AT35" s="17">
        <v>1</v>
      </c>
      <c r="AU35" s="17">
        <v>1</v>
      </c>
      <c r="AV35" s="17">
        <v>1</v>
      </c>
      <c r="AX35" s="29">
        <f ca="1">RANDBETWEEN(3,6)+20000+RANDBETWEEN(1,2)*100+RANDBETWEEN(2,2)*10</f>
        <v>20226</v>
      </c>
      <c r="AY35" s="17">
        <v>1</v>
      </c>
      <c r="AZ35" s="17">
        <v>1</v>
      </c>
      <c r="BA35" s="17">
        <v>1</v>
      </c>
      <c r="BC35" s="29">
        <v>1001</v>
      </c>
      <c r="BD35" s="17">
        <f>BD32+50</f>
        <v>300</v>
      </c>
      <c r="BE35" s="17">
        <f>BE32+50</f>
        <v>350</v>
      </c>
      <c r="BF35" s="17">
        <v>10</v>
      </c>
    </row>
    <row r="36" spans="1:58" ht="20.100000000000001" customHeight="1" x14ac:dyDescent="0.15">
      <c r="A36" s="29"/>
    </row>
    <row r="37" spans="1:58" ht="20.100000000000001" customHeight="1" x14ac:dyDescent="0.15">
      <c r="A37" s="29">
        <v>7</v>
      </c>
      <c r="B37" s="29" t="s">
        <v>161</v>
      </c>
      <c r="C37" s="29">
        <f>C34+100</f>
        <v>10700</v>
      </c>
      <c r="D37" s="29">
        <v>1</v>
      </c>
      <c r="E37" s="34">
        <v>1001</v>
      </c>
      <c r="F37" s="34">
        <v>80</v>
      </c>
      <c r="G37" s="34">
        <v>100</v>
      </c>
      <c r="H37" s="34">
        <v>1000</v>
      </c>
      <c r="J37" s="34">
        <v>1204</v>
      </c>
      <c r="K37" s="34">
        <v>1</v>
      </c>
      <c r="L37" s="34">
        <v>1</v>
      </c>
      <c r="M37" s="34">
        <v>1000</v>
      </c>
      <c r="O37" s="29"/>
      <c r="T37" s="29"/>
      <c r="Y37" s="29"/>
      <c r="AD37" s="29"/>
      <c r="AI37" s="29"/>
      <c r="AN37" s="29"/>
      <c r="AS37" s="29"/>
      <c r="AX37" s="29"/>
      <c r="BC37" s="29"/>
    </row>
    <row r="38" spans="1:58" ht="20.100000000000001" customHeight="1" x14ac:dyDescent="0.15">
      <c r="A38" s="29"/>
      <c r="B38" s="29" t="s">
        <v>287</v>
      </c>
      <c r="C38" s="29">
        <f>C35+100</f>
        <v>10701</v>
      </c>
      <c r="D38" s="29">
        <v>2</v>
      </c>
      <c r="E38" s="29">
        <f ca="1">RANDBETWEEN(1,2)+20000+RANDBETWEEN(1,2)*100+RANDBETWEEN(3,3)*10</f>
        <v>20131</v>
      </c>
      <c r="F38" s="17">
        <v>1</v>
      </c>
      <c r="G38" s="17">
        <v>1</v>
      </c>
      <c r="H38" s="17">
        <v>1</v>
      </c>
      <c r="I38" s="17"/>
      <c r="J38" s="29">
        <f ca="1">RANDBETWEEN(1,2)+20000+RANDBETWEEN(1,2)*100+RANDBETWEEN(3,3)*10</f>
        <v>20231</v>
      </c>
      <c r="K38" s="17">
        <v>1</v>
      </c>
      <c r="L38" s="17">
        <v>1</v>
      </c>
      <c r="M38" s="17">
        <v>1</v>
      </c>
      <c r="O38" s="29">
        <f ca="1">RANDBETWEEN(1,2)+20000+RANDBETWEEN(1,2)*100+RANDBETWEEN(3,3)*10</f>
        <v>20232</v>
      </c>
      <c r="P38" s="17">
        <v>1</v>
      </c>
      <c r="Q38" s="17">
        <v>1</v>
      </c>
      <c r="R38" s="17">
        <v>1</v>
      </c>
      <c r="T38" s="29">
        <f ca="1">RANDBETWEEN(1,2)+20000+RANDBETWEEN(1,2)*100+RANDBETWEEN(3,3)*10</f>
        <v>20232</v>
      </c>
      <c r="U38" s="17">
        <v>1</v>
      </c>
      <c r="V38" s="17">
        <v>1</v>
      </c>
      <c r="W38" s="17">
        <v>1</v>
      </c>
      <c r="Y38" s="29">
        <f ca="1">RANDBETWEEN(1,2)+20000+RANDBETWEEN(1,2)*100+RANDBETWEEN(3,3)*10</f>
        <v>20232</v>
      </c>
      <c r="Z38" s="17">
        <v>1</v>
      </c>
      <c r="AA38" s="17">
        <v>1</v>
      </c>
      <c r="AB38" s="17">
        <v>1</v>
      </c>
      <c r="AD38" s="29">
        <f ca="1">RANDBETWEEN(1,2)+20000+RANDBETWEEN(1,2)*100+RANDBETWEEN(3,3)*10</f>
        <v>20131</v>
      </c>
      <c r="AE38" s="17">
        <v>1</v>
      </c>
      <c r="AF38" s="17">
        <v>1</v>
      </c>
      <c r="AG38" s="17">
        <v>1</v>
      </c>
      <c r="AI38" s="29">
        <f ca="1">RANDBETWEEN(1,2)+20000+RANDBETWEEN(1,2)*100+RANDBETWEEN(3,3)*10</f>
        <v>20131</v>
      </c>
      <c r="AJ38" s="17">
        <v>1</v>
      </c>
      <c r="AK38" s="17">
        <v>1</v>
      </c>
      <c r="AL38" s="17">
        <v>1</v>
      </c>
      <c r="AN38" s="29">
        <f ca="1">RANDBETWEEN(1,2)+20000+RANDBETWEEN(1,2)*100+RANDBETWEEN(3,3)*10</f>
        <v>20132</v>
      </c>
      <c r="AO38" s="17">
        <v>1</v>
      </c>
      <c r="AP38" s="17">
        <v>1</v>
      </c>
      <c r="AQ38" s="17">
        <v>1</v>
      </c>
      <c r="AS38" s="29">
        <f ca="1">RANDBETWEEN(1,2)+20000+RANDBETWEEN(1,2)*100+RANDBETWEEN(3,3)*10</f>
        <v>20232</v>
      </c>
      <c r="AT38" s="17">
        <v>1</v>
      </c>
      <c r="AU38" s="17">
        <v>1</v>
      </c>
      <c r="AV38" s="17">
        <v>1</v>
      </c>
      <c r="AX38" s="29">
        <f ca="1">RANDBETWEEN(1,2)+20000+RANDBETWEEN(1,2)*100+RANDBETWEEN(3,3)*10</f>
        <v>20232</v>
      </c>
      <c r="AY38" s="17">
        <v>1</v>
      </c>
      <c r="AZ38" s="17">
        <v>1</v>
      </c>
      <c r="BA38" s="17">
        <v>1</v>
      </c>
      <c r="BC38" s="29">
        <v>1001</v>
      </c>
      <c r="BD38" s="17">
        <f>BD35+50</f>
        <v>350</v>
      </c>
      <c r="BE38" s="17">
        <f>BE35+50</f>
        <v>400</v>
      </c>
      <c r="BF38" s="17">
        <v>10</v>
      </c>
    </row>
    <row r="39" spans="1:58" ht="20.100000000000001" customHeight="1" x14ac:dyDescent="0.15">
      <c r="A39" s="29"/>
    </row>
    <row r="40" spans="1:58" ht="20.100000000000001" customHeight="1" x14ac:dyDescent="0.15">
      <c r="A40" s="29">
        <v>8</v>
      </c>
      <c r="B40" s="29" t="s">
        <v>161</v>
      </c>
      <c r="C40" s="29">
        <f>C37+100</f>
        <v>10800</v>
      </c>
      <c r="D40" s="29">
        <v>1</v>
      </c>
      <c r="E40" s="34">
        <v>1001</v>
      </c>
      <c r="F40" s="34">
        <v>80</v>
      </c>
      <c r="G40" s="34">
        <v>100</v>
      </c>
      <c r="H40" s="34">
        <v>1000</v>
      </c>
      <c r="J40" s="34">
        <v>1204</v>
      </c>
      <c r="K40" s="34">
        <v>1</v>
      </c>
      <c r="L40" s="34">
        <v>1</v>
      </c>
      <c r="M40" s="34">
        <v>1000</v>
      </c>
      <c r="O40" s="29"/>
      <c r="T40" s="29"/>
      <c r="Y40" s="29"/>
      <c r="AD40" s="29"/>
      <c r="AI40" s="29"/>
      <c r="AN40" s="29"/>
      <c r="AS40" s="29"/>
      <c r="AX40" s="29"/>
      <c r="BC40" s="29"/>
    </row>
    <row r="41" spans="1:58" ht="20.100000000000001" customHeight="1" x14ac:dyDescent="0.15">
      <c r="A41" s="29"/>
      <c r="B41" s="29" t="s">
        <v>287</v>
      </c>
      <c r="C41" s="29">
        <f>C38+100</f>
        <v>10801</v>
      </c>
      <c r="D41" s="29">
        <v>2</v>
      </c>
      <c r="E41" s="29">
        <f ca="1">RANDBETWEEN(2,3)+20000+RANDBETWEEN(1,2)*100+RANDBETWEEN(3,3)*10</f>
        <v>20133</v>
      </c>
      <c r="F41" s="17">
        <v>1</v>
      </c>
      <c r="G41" s="17">
        <v>1</v>
      </c>
      <c r="H41" s="17">
        <v>1</v>
      </c>
      <c r="I41" s="17"/>
      <c r="J41" s="29">
        <f ca="1">RANDBETWEEN(2,3)+20000+RANDBETWEEN(1,2)*100+RANDBETWEEN(3,3)*10</f>
        <v>20233</v>
      </c>
      <c r="K41" s="17">
        <v>1</v>
      </c>
      <c r="L41" s="17">
        <v>1</v>
      </c>
      <c r="M41" s="17">
        <v>1</v>
      </c>
      <c r="O41" s="29">
        <f ca="1">RANDBETWEEN(2,3)+20000+RANDBETWEEN(1,2)*100+RANDBETWEEN(3,3)*10</f>
        <v>20233</v>
      </c>
      <c r="P41" s="17">
        <v>1</v>
      </c>
      <c r="Q41" s="17">
        <v>1</v>
      </c>
      <c r="R41" s="17">
        <v>1</v>
      </c>
      <c r="T41" s="29">
        <f ca="1">RANDBETWEEN(2,3)+20000+RANDBETWEEN(1,2)*100+RANDBETWEEN(3,3)*10</f>
        <v>20132</v>
      </c>
      <c r="U41" s="17">
        <v>1</v>
      </c>
      <c r="V41" s="17">
        <v>1</v>
      </c>
      <c r="W41" s="17">
        <v>1</v>
      </c>
      <c r="Y41" s="29">
        <f ca="1">RANDBETWEEN(2,3)+20000+RANDBETWEEN(1,2)*100+RANDBETWEEN(3,3)*10</f>
        <v>20132</v>
      </c>
      <c r="Z41" s="17">
        <v>1</v>
      </c>
      <c r="AA41" s="17">
        <v>1</v>
      </c>
      <c r="AB41" s="17">
        <v>1</v>
      </c>
      <c r="AD41" s="29">
        <f ca="1">RANDBETWEEN(2,3)+20000+RANDBETWEEN(1,2)*100+RANDBETWEEN(3,3)*10</f>
        <v>20232</v>
      </c>
      <c r="AE41" s="17">
        <v>1</v>
      </c>
      <c r="AF41" s="17">
        <v>1</v>
      </c>
      <c r="AG41" s="17">
        <v>1</v>
      </c>
      <c r="AI41" s="29">
        <f ca="1">RANDBETWEEN(2,3)+20000+RANDBETWEEN(1,2)*100+RANDBETWEEN(3,3)*10</f>
        <v>20133</v>
      </c>
      <c r="AJ41" s="17">
        <v>1</v>
      </c>
      <c r="AK41" s="17">
        <v>1</v>
      </c>
      <c r="AL41" s="17">
        <v>1</v>
      </c>
      <c r="AN41" s="29">
        <f ca="1">RANDBETWEEN(2,3)+20000+RANDBETWEEN(1,2)*100+RANDBETWEEN(3,3)*10</f>
        <v>20232</v>
      </c>
      <c r="AO41" s="17">
        <v>1</v>
      </c>
      <c r="AP41" s="17">
        <v>1</v>
      </c>
      <c r="AQ41" s="17">
        <v>1</v>
      </c>
      <c r="AS41" s="29">
        <f ca="1">RANDBETWEEN(2,3)+20000+RANDBETWEEN(1,2)*100+RANDBETWEEN(3,3)*10</f>
        <v>20133</v>
      </c>
      <c r="AT41" s="17">
        <v>1</v>
      </c>
      <c r="AU41" s="17">
        <v>1</v>
      </c>
      <c r="AV41" s="17">
        <v>1</v>
      </c>
      <c r="AX41" s="29">
        <f ca="1">RANDBETWEEN(2,3)+20000+RANDBETWEEN(1,2)*100+RANDBETWEEN(3,3)*10</f>
        <v>20133</v>
      </c>
      <c r="AY41" s="17">
        <v>1</v>
      </c>
      <c r="AZ41" s="17">
        <v>1</v>
      </c>
      <c r="BA41" s="17">
        <v>1</v>
      </c>
      <c r="BC41" s="29">
        <v>1001</v>
      </c>
      <c r="BD41" s="17">
        <f>BD38+50</f>
        <v>400</v>
      </c>
      <c r="BE41" s="17">
        <f>BE38+50</f>
        <v>450</v>
      </c>
      <c r="BF41" s="17">
        <v>10</v>
      </c>
    </row>
    <row r="42" spans="1:58" ht="20.100000000000001" customHeight="1" x14ac:dyDescent="0.15">
      <c r="A42" s="29"/>
    </row>
    <row r="43" spans="1:58" ht="20.100000000000001" customHeight="1" x14ac:dyDescent="0.15">
      <c r="A43" s="29">
        <v>9</v>
      </c>
      <c r="B43" s="29" t="s">
        <v>161</v>
      </c>
      <c r="C43" s="29">
        <f>C40+100</f>
        <v>10900</v>
      </c>
      <c r="D43" s="29">
        <v>1</v>
      </c>
      <c r="E43" s="34">
        <v>1001</v>
      </c>
      <c r="F43" s="34">
        <v>80</v>
      </c>
      <c r="G43" s="34">
        <v>100</v>
      </c>
      <c r="H43" s="34">
        <v>1000</v>
      </c>
      <c r="J43" s="34">
        <v>1204</v>
      </c>
      <c r="K43" s="34">
        <v>1</v>
      </c>
      <c r="L43" s="34">
        <v>1</v>
      </c>
      <c r="M43" s="34">
        <v>1000</v>
      </c>
      <c r="O43" s="29"/>
      <c r="T43" s="29"/>
      <c r="Y43" s="29"/>
      <c r="AD43" s="29"/>
      <c r="AI43" s="29"/>
      <c r="AN43" s="29"/>
      <c r="AS43" s="29"/>
      <c r="AX43" s="29"/>
      <c r="BC43" s="29"/>
    </row>
    <row r="44" spans="1:58" ht="20.100000000000001" customHeight="1" x14ac:dyDescent="0.15">
      <c r="A44" s="29"/>
      <c r="B44" s="29" t="s">
        <v>287</v>
      </c>
      <c r="C44" s="29">
        <f>C41+100</f>
        <v>10901</v>
      </c>
      <c r="D44" s="29">
        <v>2</v>
      </c>
      <c r="E44" s="29">
        <f ca="1">RANDBETWEEN(3,4)+20000+RANDBETWEEN(1,2)*100+RANDBETWEEN(3,3)*10</f>
        <v>20234</v>
      </c>
      <c r="F44" s="17">
        <v>1</v>
      </c>
      <c r="G44" s="17">
        <v>1</v>
      </c>
      <c r="H44" s="17">
        <v>1</v>
      </c>
      <c r="I44" s="17"/>
      <c r="J44" s="29">
        <f ca="1">RANDBETWEEN(3,4)+20000+RANDBETWEEN(1,2)*100+RANDBETWEEN(3,3)*10</f>
        <v>20233</v>
      </c>
      <c r="K44" s="17">
        <v>1</v>
      </c>
      <c r="L44" s="17">
        <v>1</v>
      </c>
      <c r="M44" s="17">
        <v>1</v>
      </c>
      <c r="O44" s="29">
        <f ca="1">RANDBETWEEN(3,4)+20000+RANDBETWEEN(1,2)*100+RANDBETWEEN(3,3)*10</f>
        <v>20233</v>
      </c>
      <c r="P44" s="17">
        <v>1</v>
      </c>
      <c r="Q44" s="17">
        <v>1</v>
      </c>
      <c r="R44" s="17">
        <v>1</v>
      </c>
      <c r="T44" s="29">
        <f ca="1">RANDBETWEEN(3,4)+20000+RANDBETWEEN(1,2)*100+RANDBETWEEN(3,3)*10</f>
        <v>20233</v>
      </c>
      <c r="U44" s="17">
        <v>1</v>
      </c>
      <c r="V44" s="17">
        <v>1</v>
      </c>
      <c r="W44" s="17">
        <v>1</v>
      </c>
      <c r="Y44" s="29">
        <f ca="1">RANDBETWEEN(3,4)+20000+RANDBETWEEN(1,2)*100+RANDBETWEEN(3,3)*10</f>
        <v>20233</v>
      </c>
      <c r="Z44" s="17">
        <v>1</v>
      </c>
      <c r="AA44" s="17">
        <v>1</v>
      </c>
      <c r="AB44" s="17">
        <v>1</v>
      </c>
      <c r="AD44" s="29">
        <f ca="1">RANDBETWEEN(3,4)+20000+RANDBETWEEN(1,2)*100+RANDBETWEEN(3,3)*10</f>
        <v>20134</v>
      </c>
      <c r="AE44" s="17">
        <v>1</v>
      </c>
      <c r="AF44" s="17">
        <v>1</v>
      </c>
      <c r="AG44" s="17">
        <v>1</v>
      </c>
      <c r="AI44" s="29">
        <f ca="1">RANDBETWEEN(3,4)+20000+RANDBETWEEN(1,2)*100+RANDBETWEEN(3,3)*10</f>
        <v>20234</v>
      </c>
      <c r="AJ44" s="17">
        <v>1</v>
      </c>
      <c r="AK44" s="17">
        <v>1</v>
      </c>
      <c r="AL44" s="17">
        <v>1</v>
      </c>
      <c r="AN44" s="29">
        <f ca="1">RANDBETWEEN(3,4)+20000+RANDBETWEEN(1,2)*100+RANDBETWEEN(3,3)*10</f>
        <v>20133</v>
      </c>
      <c r="AO44" s="17">
        <v>1</v>
      </c>
      <c r="AP44" s="17">
        <v>1</v>
      </c>
      <c r="AQ44" s="17">
        <v>1</v>
      </c>
      <c r="AS44" s="29">
        <f ca="1">RANDBETWEEN(3,4)+20000+RANDBETWEEN(1,2)*100+RANDBETWEEN(3,3)*10</f>
        <v>20133</v>
      </c>
      <c r="AT44" s="17">
        <v>1</v>
      </c>
      <c r="AU44" s="17">
        <v>1</v>
      </c>
      <c r="AV44" s="17">
        <v>1</v>
      </c>
      <c r="AX44" s="29">
        <f ca="1">RANDBETWEEN(3,4)+20000+RANDBETWEEN(1,2)*100+RANDBETWEEN(3,3)*10</f>
        <v>20234</v>
      </c>
      <c r="AY44" s="17">
        <v>1</v>
      </c>
      <c r="AZ44" s="17">
        <v>1</v>
      </c>
      <c r="BA44" s="17">
        <v>1</v>
      </c>
      <c r="BC44" s="29">
        <v>1001</v>
      </c>
      <c r="BD44" s="17">
        <f>BD41+50</f>
        <v>450</v>
      </c>
      <c r="BE44" s="17">
        <f>BE41+50</f>
        <v>500</v>
      </c>
      <c r="BF44" s="17">
        <v>10</v>
      </c>
    </row>
    <row r="46" spans="1:58" ht="20.100000000000001" customHeight="1" x14ac:dyDescent="0.15">
      <c r="A46" s="29">
        <v>10</v>
      </c>
      <c r="B46" s="29" t="s">
        <v>161</v>
      </c>
      <c r="C46" s="29">
        <f>C43+100</f>
        <v>11000</v>
      </c>
      <c r="D46" s="29">
        <v>1</v>
      </c>
      <c r="E46" s="34">
        <v>1001</v>
      </c>
      <c r="F46" s="34">
        <v>80</v>
      </c>
      <c r="G46" s="34">
        <v>100</v>
      </c>
      <c r="H46" s="34">
        <v>1000</v>
      </c>
      <c r="J46" s="34">
        <v>1204</v>
      </c>
      <c r="K46" s="34">
        <v>1</v>
      </c>
      <c r="L46" s="34">
        <v>1</v>
      </c>
      <c r="M46" s="34">
        <v>1000</v>
      </c>
      <c r="O46" s="29"/>
      <c r="T46" s="29"/>
      <c r="Y46" s="29"/>
      <c r="AD46" s="29"/>
      <c r="AI46" s="29"/>
      <c r="AN46" s="29"/>
      <c r="AS46" s="29"/>
      <c r="AX46" s="29"/>
      <c r="BC46" s="29"/>
    </row>
    <row r="47" spans="1:58" ht="20.100000000000001" customHeight="1" x14ac:dyDescent="0.15">
      <c r="A47" s="29"/>
      <c r="B47" s="29" t="s">
        <v>287</v>
      </c>
      <c r="C47" s="29">
        <f>C44+100</f>
        <v>11001</v>
      </c>
      <c r="D47" s="29">
        <v>2</v>
      </c>
      <c r="E47" s="29">
        <f ca="1">RANDBETWEEN(4,6)+20000+RANDBETWEEN(1,2)*100+RANDBETWEEN(3,3)*10</f>
        <v>20134</v>
      </c>
      <c r="F47" s="17">
        <v>1</v>
      </c>
      <c r="G47" s="17">
        <v>1</v>
      </c>
      <c r="H47" s="17">
        <v>1</v>
      </c>
      <c r="I47" s="17"/>
      <c r="J47" s="29">
        <f ca="1">RANDBETWEEN(4,6)+20000+RANDBETWEEN(1,2)*100+RANDBETWEEN(3,3)*10</f>
        <v>20235</v>
      </c>
      <c r="K47" s="17">
        <v>1</v>
      </c>
      <c r="L47" s="17">
        <v>1</v>
      </c>
      <c r="M47" s="17">
        <v>1</v>
      </c>
      <c r="O47" s="29">
        <f ca="1">RANDBETWEEN(4,6)+20000+RANDBETWEEN(1,2)*100+RANDBETWEEN(3,3)*10</f>
        <v>20134</v>
      </c>
      <c r="P47" s="17">
        <v>1</v>
      </c>
      <c r="Q47" s="17">
        <v>1</v>
      </c>
      <c r="R47" s="17">
        <v>1</v>
      </c>
      <c r="T47" s="29">
        <f ca="1">RANDBETWEEN(4,6)+20000+RANDBETWEEN(1,2)*100+RANDBETWEEN(3,3)*10</f>
        <v>20236</v>
      </c>
      <c r="U47" s="17">
        <v>1</v>
      </c>
      <c r="V47" s="17">
        <v>1</v>
      </c>
      <c r="W47" s="17">
        <v>1</v>
      </c>
      <c r="Y47" s="29">
        <f ca="1">RANDBETWEEN(4,6)+20000+RANDBETWEEN(1,2)*100+RANDBETWEEN(3,3)*10</f>
        <v>20234</v>
      </c>
      <c r="Z47" s="17">
        <v>1</v>
      </c>
      <c r="AA47" s="17">
        <v>1</v>
      </c>
      <c r="AB47" s="17">
        <v>1</v>
      </c>
      <c r="AD47" s="29">
        <f ca="1">RANDBETWEEN(4,6)+20000+RANDBETWEEN(1,2)*100+RANDBETWEEN(3,3)*10</f>
        <v>20235</v>
      </c>
      <c r="AE47" s="17">
        <v>1</v>
      </c>
      <c r="AF47" s="17">
        <v>1</v>
      </c>
      <c r="AG47" s="17">
        <v>1</v>
      </c>
      <c r="AI47" s="29">
        <f ca="1">RANDBETWEEN(4,6)+20000+RANDBETWEEN(1,2)*100+RANDBETWEEN(3,3)*10</f>
        <v>20234</v>
      </c>
      <c r="AJ47" s="17">
        <v>1</v>
      </c>
      <c r="AK47" s="17">
        <v>1</v>
      </c>
      <c r="AL47" s="17">
        <v>1</v>
      </c>
      <c r="AN47" s="29">
        <f ca="1">RANDBETWEEN(4,6)+20000+RANDBETWEEN(1,2)*100+RANDBETWEEN(3,3)*10</f>
        <v>20135</v>
      </c>
      <c r="AO47" s="17">
        <v>1</v>
      </c>
      <c r="AP47" s="17">
        <v>1</v>
      </c>
      <c r="AQ47" s="17">
        <v>1</v>
      </c>
      <c r="AS47" s="29">
        <f ca="1">RANDBETWEEN(4,6)+20000+RANDBETWEEN(1,2)*100+RANDBETWEEN(3,3)*10</f>
        <v>20135</v>
      </c>
      <c r="AT47" s="17">
        <v>1</v>
      </c>
      <c r="AU47" s="17">
        <v>1</v>
      </c>
      <c r="AV47" s="17">
        <v>1</v>
      </c>
      <c r="AX47" s="29">
        <f ca="1">RANDBETWEEN(4,6)+20000+RANDBETWEEN(1,2)*100+RANDBETWEEN(3,3)*10</f>
        <v>20236</v>
      </c>
      <c r="AY47" s="17">
        <v>1</v>
      </c>
      <c r="AZ47" s="17">
        <v>1</v>
      </c>
      <c r="BA47" s="17">
        <v>1</v>
      </c>
      <c r="BC47" s="29">
        <v>1001</v>
      </c>
      <c r="BD47" s="17">
        <f>BD44+50</f>
        <v>500</v>
      </c>
      <c r="BE47" s="17">
        <f>BE44+50</f>
        <v>550</v>
      </c>
      <c r="BF47" s="17">
        <v>10</v>
      </c>
    </row>
    <row r="49" spans="1:60" ht="20.100000000000001" customHeight="1" x14ac:dyDescent="0.15">
      <c r="A49" s="29" t="s">
        <v>277</v>
      </c>
      <c r="B49" s="29"/>
    </row>
    <row r="50" spans="1:60" ht="20.100000000000001" customHeight="1" x14ac:dyDescent="0.15">
      <c r="A50" s="29">
        <v>1</v>
      </c>
      <c r="B50" s="29" t="s">
        <v>161</v>
      </c>
      <c r="C50" s="29">
        <v>20100</v>
      </c>
      <c r="D50" s="29">
        <v>1</v>
      </c>
      <c r="E50" s="34">
        <v>1001</v>
      </c>
      <c r="F50" s="34">
        <v>1</v>
      </c>
      <c r="G50" s="34">
        <v>20</v>
      </c>
      <c r="H50" s="34">
        <v>1000</v>
      </c>
      <c r="J50" s="34">
        <v>1204</v>
      </c>
      <c r="K50" s="34">
        <v>1</v>
      </c>
      <c r="L50" s="34">
        <v>1</v>
      </c>
      <c r="M50" s="34">
        <v>1000</v>
      </c>
      <c r="O50" s="29"/>
      <c r="T50" s="29"/>
      <c r="Y50" s="29"/>
      <c r="AD50" s="29"/>
      <c r="AI50" s="29"/>
      <c r="AN50" s="29"/>
      <c r="AS50" s="29"/>
      <c r="AX50" s="29"/>
      <c r="BC50" s="29"/>
    </row>
    <row r="51" spans="1:60" ht="20.100000000000001" customHeight="1" x14ac:dyDescent="0.15">
      <c r="A51" s="29"/>
      <c r="B51" s="29" t="s">
        <v>276</v>
      </c>
      <c r="C51" s="29">
        <v>20101</v>
      </c>
      <c r="D51" s="29">
        <v>2</v>
      </c>
      <c r="E51" s="29">
        <f ca="1">RANDBETWEEN(1,3)+20000+RANDBETWEEN(3,6)*100</f>
        <v>20602</v>
      </c>
      <c r="F51" s="17">
        <v>1</v>
      </c>
      <c r="G51" s="17">
        <v>1</v>
      </c>
      <c r="H51" s="17">
        <v>1</v>
      </c>
      <c r="I51" s="17"/>
      <c r="J51" s="29">
        <f ca="1">RANDBETWEEN(1,3)+20000+RANDBETWEEN(3,6)*100</f>
        <v>20501</v>
      </c>
      <c r="K51" s="17">
        <v>1</v>
      </c>
      <c r="L51" s="17">
        <v>1</v>
      </c>
      <c r="M51" s="17">
        <v>1</v>
      </c>
      <c r="O51" s="29">
        <f ca="1">RANDBETWEEN(1,3)+20000+RANDBETWEEN(3,6)*100</f>
        <v>20402</v>
      </c>
      <c r="P51" s="17">
        <v>1</v>
      </c>
      <c r="Q51" s="17">
        <v>1</v>
      </c>
      <c r="R51" s="17">
        <v>1</v>
      </c>
      <c r="T51" s="29">
        <f ca="1">RANDBETWEEN(1,3)+20000+RANDBETWEEN(3,6)*100</f>
        <v>20501</v>
      </c>
      <c r="U51" s="17">
        <v>1</v>
      </c>
      <c r="V51" s="17">
        <v>1</v>
      </c>
      <c r="W51" s="17">
        <v>1</v>
      </c>
      <c r="Y51" s="29">
        <f ca="1">RANDBETWEEN(1,3)+20000+RANDBETWEEN(3,6)*100</f>
        <v>20302</v>
      </c>
      <c r="Z51" s="17">
        <v>1</v>
      </c>
      <c r="AA51" s="17">
        <v>1</v>
      </c>
      <c r="AB51" s="17">
        <v>1</v>
      </c>
      <c r="AD51" s="29">
        <f ca="1">RANDBETWEEN(1,3)+20000+RANDBETWEEN(3,6)*100</f>
        <v>20601</v>
      </c>
      <c r="AE51" s="17">
        <v>1</v>
      </c>
      <c r="AF51" s="17">
        <v>1</v>
      </c>
      <c r="AG51" s="17">
        <v>1</v>
      </c>
      <c r="AI51" s="29">
        <f ca="1">RANDBETWEEN(1,3)+20000+RANDBETWEEN(3,6)*100</f>
        <v>20301</v>
      </c>
      <c r="AJ51" s="17">
        <v>1</v>
      </c>
      <c r="AK51" s="17">
        <v>1</v>
      </c>
      <c r="AL51" s="17">
        <v>1</v>
      </c>
      <c r="AN51" s="29">
        <f ca="1">RANDBETWEEN(1,3)+20000+RANDBETWEEN(3,6)*100</f>
        <v>20502</v>
      </c>
      <c r="AO51" s="17">
        <v>1</v>
      </c>
      <c r="AP51" s="17">
        <v>1</v>
      </c>
      <c r="AQ51" s="17">
        <v>1</v>
      </c>
      <c r="AS51" s="29">
        <f ca="1">RANDBETWEEN(1,3)+20000+RANDBETWEEN(3,6)*100</f>
        <v>20401</v>
      </c>
      <c r="AT51" s="17">
        <v>1</v>
      </c>
      <c r="AU51" s="17">
        <v>1</v>
      </c>
      <c r="AV51" s="17">
        <v>1</v>
      </c>
      <c r="AX51" s="29">
        <f ca="1">RANDBETWEEN(1,3)+20000+RANDBETWEEN(3,6)*100</f>
        <v>20501</v>
      </c>
      <c r="AY51" s="17">
        <v>1</v>
      </c>
      <c r="AZ51" s="17">
        <v>1</v>
      </c>
      <c r="BA51" s="17">
        <v>1</v>
      </c>
      <c r="BC51" s="29">
        <v>1001</v>
      </c>
      <c r="BD51" s="17">
        <v>50</v>
      </c>
      <c r="BE51" s="17">
        <v>100</v>
      </c>
      <c r="BF51" s="17">
        <v>20</v>
      </c>
      <c r="BH51" s="29"/>
    </row>
    <row r="52" spans="1:60" ht="20.100000000000001" customHeight="1" x14ac:dyDescent="0.15">
      <c r="A52" s="29"/>
      <c r="B52" s="29"/>
    </row>
    <row r="53" spans="1:60" ht="20.100000000000001" customHeight="1" x14ac:dyDescent="0.15">
      <c r="A53" s="29">
        <v>2</v>
      </c>
      <c r="B53" s="29" t="s">
        <v>161</v>
      </c>
      <c r="C53" s="29">
        <f>C50+100</f>
        <v>20200</v>
      </c>
      <c r="D53" s="29">
        <v>1</v>
      </c>
      <c r="E53" s="34">
        <v>1001</v>
      </c>
      <c r="F53" s="34">
        <v>20</v>
      </c>
      <c r="G53" s="34">
        <v>40</v>
      </c>
      <c r="H53" s="34">
        <v>1000</v>
      </c>
      <c r="J53" s="34">
        <v>1204</v>
      </c>
      <c r="K53" s="34">
        <v>1</v>
      </c>
      <c r="L53" s="34">
        <v>1</v>
      </c>
      <c r="M53" s="34">
        <v>1000</v>
      </c>
      <c r="O53" s="29"/>
      <c r="T53" s="29"/>
      <c r="Y53" s="29"/>
      <c r="AD53" s="29"/>
      <c r="AI53" s="29"/>
      <c r="AN53" s="29"/>
      <c r="AS53" s="29"/>
      <c r="AX53" s="29"/>
      <c r="BC53" s="29"/>
    </row>
    <row r="54" spans="1:60" ht="20.100000000000001" customHeight="1" x14ac:dyDescent="0.15">
      <c r="A54" s="29"/>
      <c r="B54" s="29" t="s">
        <v>276</v>
      </c>
      <c r="C54" s="29">
        <f>C51+100</f>
        <v>20201</v>
      </c>
      <c r="D54" s="29">
        <v>2</v>
      </c>
      <c r="E54" s="29">
        <f ca="1">RANDBETWEEN(3,6)+20000+RANDBETWEEN(3,6)*100</f>
        <v>20406</v>
      </c>
      <c r="F54" s="17">
        <v>1</v>
      </c>
      <c r="G54" s="17">
        <v>1</v>
      </c>
      <c r="H54" s="17">
        <v>1</v>
      </c>
      <c r="I54" s="17"/>
      <c r="J54" s="29">
        <f ca="1">RANDBETWEEN(3,6)+20000+RANDBETWEEN(3,6)*100</f>
        <v>20405</v>
      </c>
      <c r="K54" s="17">
        <v>1</v>
      </c>
      <c r="L54" s="17">
        <v>1</v>
      </c>
      <c r="M54" s="17">
        <v>1</v>
      </c>
      <c r="O54" s="29">
        <f ca="1">RANDBETWEEN(3,6)+20000+RANDBETWEEN(3,6)*100</f>
        <v>20606</v>
      </c>
      <c r="P54" s="17">
        <v>1</v>
      </c>
      <c r="Q54" s="17">
        <v>1</v>
      </c>
      <c r="R54" s="17">
        <v>1</v>
      </c>
      <c r="T54" s="29">
        <f ca="1">RANDBETWEEN(3,6)+20000+RANDBETWEEN(3,6)*100</f>
        <v>20405</v>
      </c>
      <c r="U54" s="17">
        <v>1</v>
      </c>
      <c r="V54" s="17">
        <v>1</v>
      </c>
      <c r="W54" s="17">
        <v>1</v>
      </c>
      <c r="Y54" s="29">
        <f ca="1">RANDBETWEEN(3,6)+20000+RANDBETWEEN(3,6)*100</f>
        <v>20603</v>
      </c>
      <c r="Z54" s="17">
        <v>1</v>
      </c>
      <c r="AA54" s="17">
        <v>1</v>
      </c>
      <c r="AB54" s="17">
        <v>1</v>
      </c>
      <c r="AD54" s="29">
        <f ca="1">RANDBETWEEN(3,6)+20000+RANDBETWEEN(3,6)*100</f>
        <v>20306</v>
      </c>
      <c r="AE54" s="17">
        <v>1</v>
      </c>
      <c r="AF54" s="17">
        <v>1</v>
      </c>
      <c r="AG54" s="17">
        <v>1</v>
      </c>
      <c r="AI54" s="29">
        <f ca="1">RANDBETWEEN(3,6)+20000+RANDBETWEEN(3,6)*100</f>
        <v>20606</v>
      </c>
      <c r="AJ54" s="17">
        <v>1</v>
      </c>
      <c r="AK54" s="17">
        <v>1</v>
      </c>
      <c r="AL54" s="17">
        <v>1</v>
      </c>
      <c r="AN54" s="29">
        <f ca="1">RANDBETWEEN(3,6)+20000+RANDBETWEEN(3,6)*100</f>
        <v>20604</v>
      </c>
      <c r="AO54" s="17">
        <v>1</v>
      </c>
      <c r="AP54" s="17">
        <v>1</v>
      </c>
      <c r="AQ54" s="17">
        <v>1</v>
      </c>
      <c r="AS54" s="29">
        <f ca="1">RANDBETWEEN(3,6)+20000+RANDBETWEEN(3,6)*100</f>
        <v>20505</v>
      </c>
      <c r="AT54" s="17">
        <v>1</v>
      </c>
      <c r="AU54" s="17">
        <v>1</v>
      </c>
      <c r="AV54" s="17">
        <v>1</v>
      </c>
      <c r="AX54" s="29">
        <f ca="1">RANDBETWEEN(3,6)+20000+RANDBETWEEN(3,6)*100</f>
        <v>20303</v>
      </c>
      <c r="AY54" s="17">
        <v>1</v>
      </c>
      <c r="AZ54" s="17">
        <v>1</v>
      </c>
      <c r="BA54" s="17">
        <v>1</v>
      </c>
      <c r="BC54" s="29">
        <v>1001</v>
      </c>
      <c r="BD54" s="17">
        <f>BD51+50</f>
        <v>100</v>
      </c>
      <c r="BE54" s="17">
        <f>BE51+50</f>
        <v>150</v>
      </c>
      <c r="BF54" s="17">
        <v>20</v>
      </c>
    </row>
    <row r="55" spans="1:60" ht="20.100000000000001" customHeight="1" x14ac:dyDescent="0.35">
      <c r="A55" s="29"/>
      <c r="B55" s="29"/>
      <c r="F55" s="18"/>
    </row>
    <row r="56" spans="1:60" ht="20.100000000000001" customHeight="1" x14ac:dyDescent="0.15">
      <c r="A56" s="29">
        <v>3</v>
      </c>
      <c r="B56" s="29" t="s">
        <v>161</v>
      </c>
      <c r="C56" s="29">
        <f>C53+100</f>
        <v>20300</v>
      </c>
      <c r="D56" s="29">
        <v>1</v>
      </c>
      <c r="E56" s="34">
        <v>1001</v>
      </c>
      <c r="F56" s="34">
        <v>40</v>
      </c>
      <c r="G56" s="34">
        <v>60</v>
      </c>
      <c r="H56" s="34">
        <v>1000</v>
      </c>
      <c r="J56" s="34">
        <v>1204</v>
      </c>
      <c r="K56" s="34">
        <v>1</v>
      </c>
      <c r="L56" s="34">
        <v>1</v>
      </c>
      <c r="M56" s="34">
        <v>1000</v>
      </c>
      <c r="O56" s="29"/>
      <c r="T56" s="29"/>
      <c r="Y56" s="29"/>
      <c r="AD56" s="29"/>
      <c r="AI56" s="29"/>
      <c r="AN56" s="29"/>
      <c r="AS56" s="29"/>
      <c r="AX56" s="29"/>
      <c r="BC56" s="29"/>
    </row>
    <row r="57" spans="1:60" ht="20.100000000000001" customHeight="1" x14ac:dyDescent="0.15">
      <c r="A57" s="29"/>
      <c r="B57" s="29" t="s">
        <v>276</v>
      </c>
      <c r="C57" s="29">
        <f>C54+100</f>
        <v>20301</v>
      </c>
      <c r="D57" s="29">
        <v>2</v>
      </c>
      <c r="E57" s="29">
        <f ca="1">RANDBETWEEN(1,3)+20000+RANDBETWEEN(3,6)*100+RANDBETWEEN(1,1)*10</f>
        <v>20313</v>
      </c>
      <c r="F57" s="17">
        <v>1</v>
      </c>
      <c r="G57" s="17">
        <v>1</v>
      </c>
      <c r="H57" s="17">
        <v>1</v>
      </c>
      <c r="I57" s="17"/>
      <c r="J57" s="29">
        <f ca="1">RANDBETWEEN(1,3)+20000+RANDBETWEEN(3,6)*100+RANDBETWEEN(1,1)*10</f>
        <v>20613</v>
      </c>
      <c r="K57" s="17">
        <v>1</v>
      </c>
      <c r="L57" s="17">
        <v>1</v>
      </c>
      <c r="M57" s="17">
        <v>1</v>
      </c>
      <c r="O57" s="29">
        <f ca="1">RANDBETWEEN(1,3)+20000+RANDBETWEEN(3,6)*100+RANDBETWEEN(1,1)*10</f>
        <v>20513</v>
      </c>
      <c r="P57" s="17">
        <v>1</v>
      </c>
      <c r="Q57" s="17">
        <v>1</v>
      </c>
      <c r="R57" s="17">
        <v>1</v>
      </c>
      <c r="T57" s="29">
        <f ca="1">RANDBETWEEN(1,3)+20000+RANDBETWEEN(3,6)*100+RANDBETWEEN(1,1)*10</f>
        <v>20411</v>
      </c>
      <c r="U57" s="17">
        <v>1</v>
      </c>
      <c r="V57" s="17">
        <v>1</v>
      </c>
      <c r="W57" s="17">
        <v>1</v>
      </c>
      <c r="Y57" s="29">
        <f ca="1">RANDBETWEEN(1,3)+20000+RANDBETWEEN(3,6)*100+RANDBETWEEN(1,1)*10</f>
        <v>20312</v>
      </c>
      <c r="Z57" s="17">
        <v>1</v>
      </c>
      <c r="AA57" s="17">
        <v>1</v>
      </c>
      <c r="AB57" s="17">
        <v>1</v>
      </c>
      <c r="AD57" s="29">
        <f ca="1">RANDBETWEEN(1,3)+20000+RANDBETWEEN(3,6)*100+RANDBETWEEN(1,1)*10</f>
        <v>20513</v>
      </c>
      <c r="AE57" s="17">
        <v>1</v>
      </c>
      <c r="AF57" s="17">
        <v>1</v>
      </c>
      <c r="AG57" s="17">
        <v>1</v>
      </c>
      <c r="AI57" s="29">
        <f ca="1">RANDBETWEEN(1,3)+20000+RANDBETWEEN(3,6)*100+RANDBETWEEN(1,1)*10</f>
        <v>20512</v>
      </c>
      <c r="AJ57" s="17">
        <v>1</v>
      </c>
      <c r="AK57" s="17">
        <v>1</v>
      </c>
      <c r="AL57" s="17">
        <v>1</v>
      </c>
      <c r="AN57" s="29">
        <f ca="1">RANDBETWEEN(1,3)+20000+RANDBETWEEN(3,6)*100+RANDBETWEEN(1,1)*10</f>
        <v>20312</v>
      </c>
      <c r="AO57" s="17">
        <v>1</v>
      </c>
      <c r="AP57" s="17">
        <v>1</v>
      </c>
      <c r="AQ57" s="17">
        <v>1</v>
      </c>
      <c r="AS57" s="29">
        <f ca="1">RANDBETWEEN(1,3)+20000+RANDBETWEEN(3,6)*100+RANDBETWEEN(1,1)*10</f>
        <v>20312</v>
      </c>
      <c r="AT57" s="17">
        <v>1</v>
      </c>
      <c r="AU57" s="17">
        <v>1</v>
      </c>
      <c r="AV57" s="17">
        <v>1</v>
      </c>
      <c r="AX57" s="29">
        <f ca="1">RANDBETWEEN(1,3)+20000+RANDBETWEEN(3,6)*100+RANDBETWEEN(1,1)*10</f>
        <v>20412</v>
      </c>
      <c r="AY57" s="17">
        <v>1</v>
      </c>
      <c r="AZ57" s="17">
        <v>1</v>
      </c>
      <c r="BA57" s="17">
        <v>1</v>
      </c>
      <c r="BC57" s="29">
        <v>1001</v>
      </c>
      <c r="BD57" s="17">
        <f>BD54+50</f>
        <v>150</v>
      </c>
      <c r="BE57" s="17">
        <f>BE54+50</f>
        <v>200</v>
      </c>
      <c r="BF57" s="17">
        <v>20</v>
      </c>
    </row>
    <row r="58" spans="1:60" ht="20.100000000000001" customHeight="1" x14ac:dyDescent="0.35">
      <c r="A58" s="29"/>
      <c r="B58" s="29"/>
      <c r="F58" s="18"/>
    </row>
    <row r="59" spans="1:60" ht="20.100000000000001" customHeight="1" x14ac:dyDescent="0.15">
      <c r="A59" s="29">
        <v>4</v>
      </c>
      <c r="B59" s="29" t="s">
        <v>161</v>
      </c>
      <c r="C59" s="29">
        <f>C56+100</f>
        <v>20400</v>
      </c>
      <c r="D59" s="29">
        <v>1</v>
      </c>
      <c r="E59" s="34">
        <v>1001</v>
      </c>
      <c r="F59" s="34">
        <v>60</v>
      </c>
      <c r="G59" s="34">
        <v>80</v>
      </c>
      <c r="H59" s="34">
        <v>1000</v>
      </c>
      <c r="J59" s="34">
        <v>1204</v>
      </c>
      <c r="K59" s="34">
        <v>1</v>
      </c>
      <c r="L59" s="34">
        <v>1</v>
      </c>
      <c r="M59" s="34">
        <v>1000</v>
      </c>
      <c r="O59" s="29"/>
      <c r="T59" s="29"/>
      <c r="Y59" s="29"/>
      <c r="AD59" s="29"/>
      <c r="AI59" s="29"/>
      <c r="AN59" s="29"/>
      <c r="AS59" s="29"/>
      <c r="AX59" s="29"/>
      <c r="BC59" s="29"/>
    </row>
    <row r="60" spans="1:60" ht="20.100000000000001" customHeight="1" x14ac:dyDescent="0.15">
      <c r="A60" s="29"/>
      <c r="B60" s="29" t="s">
        <v>276</v>
      </c>
      <c r="C60" s="29">
        <f>C57+100</f>
        <v>20401</v>
      </c>
      <c r="D60" s="29">
        <v>2</v>
      </c>
      <c r="E60" s="29">
        <f ca="1">RANDBETWEEN(3,6)+20000+RANDBETWEEN(3,6)*100+RANDBETWEEN(1,1)*10</f>
        <v>20414</v>
      </c>
      <c r="F60" s="17">
        <v>1</v>
      </c>
      <c r="G60" s="17">
        <v>1</v>
      </c>
      <c r="H60" s="17">
        <v>1</v>
      </c>
      <c r="I60" s="17"/>
      <c r="J60" s="29">
        <f ca="1">RANDBETWEEN(3,6)+20000+RANDBETWEEN(3,6)*100+RANDBETWEEN(1,1)*10</f>
        <v>20516</v>
      </c>
      <c r="K60" s="17">
        <v>1</v>
      </c>
      <c r="L60" s="17">
        <v>1</v>
      </c>
      <c r="M60" s="17">
        <v>1</v>
      </c>
      <c r="O60" s="29">
        <f ca="1">RANDBETWEEN(3,6)+20000+RANDBETWEEN(3,6)*100+RANDBETWEEN(1,1)*10</f>
        <v>20514</v>
      </c>
      <c r="P60" s="17">
        <v>1</v>
      </c>
      <c r="Q60" s="17">
        <v>1</v>
      </c>
      <c r="R60" s="17">
        <v>1</v>
      </c>
      <c r="T60" s="29">
        <f ca="1">RANDBETWEEN(3,6)+20000+RANDBETWEEN(3,6)*100+RANDBETWEEN(1,1)*10</f>
        <v>20313</v>
      </c>
      <c r="U60" s="17">
        <v>1</v>
      </c>
      <c r="V60" s="17">
        <v>1</v>
      </c>
      <c r="W60" s="17">
        <v>1</v>
      </c>
      <c r="Y60" s="29">
        <f ca="1">RANDBETWEEN(3,6)+20000+RANDBETWEEN(3,6)*100+RANDBETWEEN(1,1)*10</f>
        <v>20513</v>
      </c>
      <c r="Z60" s="17">
        <v>1</v>
      </c>
      <c r="AA60" s="17">
        <v>1</v>
      </c>
      <c r="AB60" s="17">
        <v>1</v>
      </c>
      <c r="AD60" s="29">
        <f ca="1">RANDBETWEEN(3,6)+20000+RANDBETWEEN(3,6)*100+RANDBETWEEN(1,1)*10</f>
        <v>20514</v>
      </c>
      <c r="AE60" s="17">
        <v>1</v>
      </c>
      <c r="AF60" s="17">
        <v>1</v>
      </c>
      <c r="AG60" s="17">
        <v>1</v>
      </c>
      <c r="AI60" s="29">
        <f ca="1">RANDBETWEEN(3,6)+20000+RANDBETWEEN(3,6)*100+RANDBETWEEN(1,1)*10</f>
        <v>20513</v>
      </c>
      <c r="AJ60" s="17">
        <v>1</v>
      </c>
      <c r="AK60" s="17">
        <v>1</v>
      </c>
      <c r="AL60" s="17">
        <v>1</v>
      </c>
      <c r="AN60" s="29">
        <f ca="1">RANDBETWEEN(3,6)+20000+RANDBETWEEN(3,6)*100+RANDBETWEEN(1,1)*10</f>
        <v>20315</v>
      </c>
      <c r="AO60" s="17">
        <v>1</v>
      </c>
      <c r="AP60" s="17">
        <v>1</v>
      </c>
      <c r="AQ60" s="17">
        <v>1</v>
      </c>
      <c r="AS60" s="29">
        <f ca="1">RANDBETWEEN(3,6)+20000+RANDBETWEEN(3,6)*100+RANDBETWEEN(1,1)*10</f>
        <v>20314</v>
      </c>
      <c r="AT60" s="17">
        <v>1</v>
      </c>
      <c r="AU60" s="17">
        <v>1</v>
      </c>
      <c r="AV60" s="17">
        <v>1</v>
      </c>
      <c r="AX60" s="29">
        <f ca="1">RANDBETWEEN(3,6)+20000+RANDBETWEEN(3,6)*100+RANDBETWEEN(1,1)*10</f>
        <v>20613</v>
      </c>
      <c r="AY60" s="17">
        <v>1</v>
      </c>
      <c r="AZ60" s="17">
        <v>1</v>
      </c>
      <c r="BA60" s="17">
        <v>1</v>
      </c>
      <c r="BC60" s="29">
        <v>1001</v>
      </c>
      <c r="BD60" s="17">
        <f>BD57+50</f>
        <v>200</v>
      </c>
      <c r="BE60" s="17">
        <f>BE57+50</f>
        <v>250</v>
      </c>
      <c r="BF60" s="17">
        <v>20</v>
      </c>
    </row>
    <row r="61" spans="1:60" ht="20.100000000000001" customHeight="1" x14ac:dyDescent="0.15">
      <c r="A61" s="29"/>
      <c r="B61" s="29"/>
      <c r="E61" s="17"/>
      <c r="F61" s="17"/>
    </row>
    <row r="62" spans="1:60" ht="20.100000000000001" customHeight="1" x14ac:dyDescent="0.15">
      <c r="A62" s="29">
        <v>5</v>
      </c>
      <c r="B62" s="29" t="s">
        <v>161</v>
      </c>
      <c r="C62" s="29">
        <f t="shared" ref="C62:C63" si="7">C59+100</f>
        <v>20500</v>
      </c>
      <c r="D62" s="29">
        <v>1</v>
      </c>
      <c r="E62" s="34">
        <v>1001</v>
      </c>
      <c r="F62" s="34">
        <v>80</v>
      </c>
      <c r="G62" s="34">
        <v>100</v>
      </c>
      <c r="H62" s="34">
        <v>1000</v>
      </c>
      <c r="J62" s="34">
        <v>1204</v>
      </c>
      <c r="K62" s="34">
        <v>1</v>
      </c>
      <c r="L62" s="34">
        <v>1</v>
      </c>
      <c r="M62" s="34">
        <v>1000</v>
      </c>
      <c r="O62" s="29"/>
      <c r="T62" s="29"/>
      <c r="Y62" s="29"/>
      <c r="AD62" s="29"/>
      <c r="AI62" s="29"/>
      <c r="AN62" s="29"/>
      <c r="AS62" s="29"/>
      <c r="AX62" s="29"/>
      <c r="BC62" s="29"/>
    </row>
    <row r="63" spans="1:60" ht="20.100000000000001" customHeight="1" x14ac:dyDescent="0.15">
      <c r="A63" s="29"/>
      <c r="B63" s="29" t="s">
        <v>276</v>
      </c>
      <c r="C63" s="29">
        <f t="shared" si="7"/>
        <v>20501</v>
      </c>
      <c r="D63" s="29">
        <v>2</v>
      </c>
      <c r="E63" s="29">
        <f ca="1">RANDBETWEEN(1,3)+20000+RANDBETWEEN(3,6)*100+RANDBETWEEN(2,2)*10</f>
        <v>20622</v>
      </c>
      <c r="F63" s="17">
        <v>1</v>
      </c>
      <c r="G63" s="17">
        <v>1</v>
      </c>
      <c r="H63" s="17">
        <v>1</v>
      </c>
      <c r="I63" s="17"/>
      <c r="J63" s="29">
        <f ca="1">RANDBETWEEN(1,3)+20000+RANDBETWEEN(3,6)*100+RANDBETWEEN(2,2)*10</f>
        <v>20422</v>
      </c>
      <c r="K63" s="17">
        <v>1</v>
      </c>
      <c r="L63" s="17">
        <v>1</v>
      </c>
      <c r="M63" s="17">
        <v>1</v>
      </c>
      <c r="O63" s="29">
        <f ca="1">RANDBETWEEN(1,3)+20000+RANDBETWEEN(3,6)*100+RANDBETWEEN(2,2)*10</f>
        <v>20522</v>
      </c>
      <c r="P63" s="17">
        <v>1</v>
      </c>
      <c r="Q63" s="17">
        <v>1</v>
      </c>
      <c r="R63" s="17">
        <v>1</v>
      </c>
      <c r="T63" s="29">
        <f ca="1">RANDBETWEEN(1,3)+20000+RANDBETWEEN(3,6)*100+RANDBETWEEN(2,2)*10</f>
        <v>20523</v>
      </c>
      <c r="U63" s="17">
        <v>1</v>
      </c>
      <c r="V63" s="17">
        <v>1</v>
      </c>
      <c r="W63" s="17">
        <v>1</v>
      </c>
      <c r="Y63" s="29">
        <f ca="1">RANDBETWEEN(1,3)+20000+RANDBETWEEN(3,6)*100+RANDBETWEEN(2,2)*10</f>
        <v>20421</v>
      </c>
      <c r="Z63" s="17">
        <v>1</v>
      </c>
      <c r="AA63" s="17">
        <v>1</v>
      </c>
      <c r="AB63" s="17">
        <v>1</v>
      </c>
      <c r="AD63" s="29">
        <f ca="1">RANDBETWEEN(1,3)+20000+RANDBETWEEN(3,6)*100+RANDBETWEEN(2,2)*10</f>
        <v>20423</v>
      </c>
      <c r="AE63" s="17">
        <v>1</v>
      </c>
      <c r="AF63" s="17">
        <v>1</v>
      </c>
      <c r="AG63" s="17">
        <v>1</v>
      </c>
      <c r="AI63" s="29">
        <f ca="1">RANDBETWEEN(1,3)+20000+RANDBETWEEN(3,6)*100+RANDBETWEEN(2,2)*10</f>
        <v>20422</v>
      </c>
      <c r="AJ63" s="17">
        <v>1</v>
      </c>
      <c r="AK63" s="17">
        <v>1</v>
      </c>
      <c r="AL63" s="17">
        <v>1</v>
      </c>
      <c r="AN63" s="29">
        <f ca="1">RANDBETWEEN(1,3)+20000+RANDBETWEEN(3,6)*100+RANDBETWEEN(2,2)*10</f>
        <v>20423</v>
      </c>
      <c r="AO63" s="17">
        <v>1</v>
      </c>
      <c r="AP63" s="17">
        <v>1</v>
      </c>
      <c r="AQ63" s="17">
        <v>1</v>
      </c>
      <c r="AS63" s="29">
        <f ca="1">RANDBETWEEN(1,3)+20000+RANDBETWEEN(3,6)*100+RANDBETWEEN(2,2)*10</f>
        <v>20423</v>
      </c>
      <c r="AT63" s="17">
        <v>1</v>
      </c>
      <c r="AU63" s="17">
        <v>1</v>
      </c>
      <c r="AV63" s="17">
        <v>1</v>
      </c>
      <c r="AX63" s="29">
        <f ca="1">RANDBETWEEN(1,3)+20000+RANDBETWEEN(3,6)*100+RANDBETWEEN(2,2)*10</f>
        <v>20321</v>
      </c>
      <c r="AY63" s="17">
        <v>1</v>
      </c>
      <c r="AZ63" s="17">
        <v>1</v>
      </c>
      <c r="BA63" s="17">
        <v>1</v>
      </c>
      <c r="BB63" s="29"/>
      <c r="BC63" s="29">
        <v>1001</v>
      </c>
      <c r="BD63" s="17">
        <f>BD60+50</f>
        <v>250</v>
      </c>
      <c r="BE63" s="17">
        <f>BE60+50</f>
        <v>300</v>
      </c>
      <c r="BF63" s="17">
        <v>20</v>
      </c>
    </row>
    <row r="64" spans="1:60" ht="20.100000000000001" customHeight="1" x14ac:dyDescent="0.15">
      <c r="A64" s="29"/>
      <c r="B64" s="29"/>
    </row>
    <row r="65" spans="1:60" ht="20.100000000000001" customHeight="1" x14ac:dyDescent="0.15">
      <c r="A65" s="29">
        <v>6</v>
      </c>
      <c r="B65" s="29" t="s">
        <v>161</v>
      </c>
      <c r="C65" s="29">
        <f t="shared" ref="C65:C66" si="8">C62+100</f>
        <v>20600</v>
      </c>
      <c r="D65" s="29">
        <v>1</v>
      </c>
      <c r="E65" s="34">
        <v>1001</v>
      </c>
      <c r="F65" s="34">
        <v>80</v>
      </c>
      <c r="G65" s="34">
        <v>100</v>
      </c>
      <c r="H65" s="34">
        <v>1000</v>
      </c>
      <c r="J65" s="34">
        <v>1204</v>
      </c>
      <c r="K65" s="34">
        <v>1</v>
      </c>
      <c r="L65" s="34">
        <v>1</v>
      </c>
      <c r="M65" s="34">
        <v>1000</v>
      </c>
      <c r="O65" s="29"/>
      <c r="T65" s="29"/>
      <c r="Y65" s="29"/>
      <c r="AD65" s="29"/>
      <c r="AI65" s="29"/>
      <c r="AN65" s="29"/>
      <c r="AS65" s="29"/>
      <c r="AX65" s="29"/>
      <c r="BC65" s="29"/>
    </row>
    <row r="66" spans="1:60" ht="20.100000000000001" customHeight="1" x14ac:dyDescent="0.15">
      <c r="A66" s="29"/>
      <c r="B66" s="29" t="s">
        <v>227</v>
      </c>
      <c r="C66" s="29">
        <f t="shared" si="8"/>
        <v>20601</v>
      </c>
      <c r="D66" s="29">
        <v>2</v>
      </c>
      <c r="E66" s="29">
        <f ca="1">RANDBETWEEN(3,6)+20000+RANDBETWEEN(3,6)*100+RANDBETWEEN(2,2)*10</f>
        <v>20523</v>
      </c>
      <c r="F66" s="17">
        <v>1</v>
      </c>
      <c r="G66" s="17">
        <v>1</v>
      </c>
      <c r="H66" s="17">
        <v>1</v>
      </c>
      <c r="I66" s="17"/>
      <c r="J66" s="29">
        <f ca="1">RANDBETWEEN(3,6)+20000+RANDBETWEEN(3,6)*100+RANDBETWEEN(2,2)*10</f>
        <v>20323</v>
      </c>
      <c r="K66" s="17">
        <v>1</v>
      </c>
      <c r="L66" s="17">
        <v>1</v>
      </c>
      <c r="M66" s="17">
        <v>1</v>
      </c>
      <c r="O66" s="29">
        <f ca="1">RANDBETWEEN(3,6)+20000+RANDBETWEEN(3,6)*100+RANDBETWEEN(2,2)*10</f>
        <v>20325</v>
      </c>
      <c r="P66" s="17">
        <v>1</v>
      </c>
      <c r="Q66" s="17">
        <v>1</v>
      </c>
      <c r="R66" s="17">
        <v>1</v>
      </c>
      <c r="T66" s="29">
        <f ca="1">RANDBETWEEN(3,6)+20000+RANDBETWEEN(3,6)*100+RANDBETWEEN(2,2)*10</f>
        <v>20326</v>
      </c>
      <c r="U66" s="17">
        <v>1</v>
      </c>
      <c r="V66" s="17">
        <v>1</v>
      </c>
      <c r="W66" s="17">
        <v>1</v>
      </c>
      <c r="Y66" s="29">
        <f ca="1">RANDBETWEEN(3,6)+20000+RANDBETWEEN(3,6)*100+RANDBETWEEN(2,2)*10</f>
        <v>20324</v>
      </c>
      <c r="Z66" s="17">
        <v>1</v>
      </c>
      <c r="AA66" s="17">
        <v>1</v>
      </c>
      <c r="AB66" s="17">
        <v>1</v>
      </c>
      <c r="AD66" s="29">
        <f ca="1">RANDBETWEEN(3,6)+20000+RANDBETWEEN(3,6)*100+RANDBETWEEN(2,2)*10</f>
        <v>20424</v>
      </c>
      <c r="AE66" s="17">
        <v>1</v>
      </c>
      <c r="AF66" s="17">
        <v>1</v>
      </c>
      <c r="AG66" s="17">
        <v>1</v>
      </c>
      <c r="AI66" s="29">
        <f ca="1">RANDBETWEEN(3,6)+20000+RANDBETWEEN(3,6)*100+RANDBETWEEN(2,2)*10</f>
        <v>20624</v>
      </c>
      <c r="AJ66" s="17">
        <v>1</v>
      </c>
      <c r="AK66" s="17">
        <v>1</v>
      </c>
      <c r="AL66" s="17">
        <v>1</v>
      </c>
      <c r="AN66" s="29">
        <f ca="1">RANDBETWEEN(3,6)+20000+RANDBETWEEN(3,6)*100+RANDBETWEEN(2,2)*10</f>
        <v>20526</v>
      </c>
      <c r="AO66" s="17">
        <v>1</v>
      </c>
      <c r="AP66" s="17">
        <v>1</v>
      </c>
      <c r="AQ66" s="17">
        <v>1</v>
      </c>
      <c r="AS66" s="29">
        <f ca="1">RANDBETWEEN(3,6)+20000+RANDBETWEEN(3,6)*100+RANDBETWEEN(2,2)*10</f>
        <v>20425</v>
      </c>
      <c r="AT66" s="17">
        <v>1</v>
      </c>
      <c r="AU66" s="17">
        <v>1</v>
      </c>
      <c r="AV66" s="17">
        <v>1</v>
      </c>
      <c r="AX66" s="29">
        <f ca="1">RANDBETWEEN(3,6)+20000+RANDBETWEEN(3,6)*100+RANDBETWEEN(2,2)*10</f>
        <v>20524</v>
      </c>
      <c r="AY66" s="17">
        <v>1</v>
      </c>
      <c r="AZ66" s="17">
        <v>1</v>
      </c>
      <c r="BA66" s="17">
        <v>1</v>
      </c>
      <c r="BC66" s="29">
        <v>1001</v>
      </c>
      <c r="BD66" s="17">
        <f>BD63+50</f>
        <v>300</v>
      </c>
      <c r="BE66" s="17">
        <f>BE63+50</f>
        <v>350</v>
      </c>
      <c r="BF66" s="17">
        <v>20</v>
      </c>
      <c r="BH66" s="29"/>
    </row>
    <row r="67" spans="1:60" ht="20.100000000000001" customHeight="1" x14ac:dyDescent="0.15">
      <c r="A67" s="29"/>
      <c r="B67" s="29"/>
    </row>
    <row r="68" spans="1:60" ht="20.100000000000001" customHeight="1" x14ac:dyDescent="0.15">
      <c r="A68" s="29">
        <v>7</v>
      </c>
      <c r="B68" s="29" t="s">
        <v>161</v>
      </c>
      <c r="C68" s="29">
        <f t="shared" ref="C68:C69" si="9">C65+100</f>
        <v>20700</v>
      </c>
      <c r="D68" s="29">
        <v>1</v>
      </c>
      <c r="E68" s="34">
        <v>1001</v>
      </c>
      <c r="F68" s="34">
        <v>80</v>
      </c>
      <c r="G68" s="34">
        <v>100</v>
      </c>
      <c r="H68" s="34">
        <v>1000</v>
      </c>
      <c r="J68" s="34">
        <v>1204</v>
      </c>
      <c r="K68" s="34">
        <v>1</v>
      </c>
      <c r="L68" s="34">
        <v>1</v>
      </c>
      <c r="M68" s="34">
        <v>1000</v>
      </c>
      <c r="O68" s="29"/>
      <c r="T68" s="29"/>
      <c r="Y68" s="29"/>
      <c r="AD68" s="29"/>
      <c r="AI68" s="29"/>
      <c r="AN68" s="29"/>
      <c r="AS68" s="29"/>
      <c r="AX68" s="29"/>
      <c r="BC68" s="29"/>
    </row>
    <row r="69" spans="1:60" ht="20.100000000000001" customHeight="1" x14ac:dyDescent="0.15">
      <c r="A69" s="29"/>
      <c r="B69" s="29" t="s">
        <v>227</v>
      </c>
      <c r="C69" s="29">
        <f t="shared" si="9"/>
        <v>20701</v>
      </c>
      <c r="D69" s="29">
        <v>2</v>
      </c>
      <c r="E69" s="29">
        <f ca="1">RANDBETWEEN(3,6)*100+RANDBETWEEN(3,3)*10</f>
        <v>430</v>
      </c>
      <c r="F69" s="17">
        <v>1</v>
      </c>
      <c r="G69" s="17">
        <v>1</v>
      </c>
      <c r="H69" s="17">
        <v>1</v>
      </c>
      <c r="I69" s="17"/>
      <c r="J69" s="29">
        <f ca="1">RANDBETWEEN(3,6)*100+RANDBETWEEN(3,3)*10</f>
        <v>330</v>
      </c>
      <c r="K69" s="17">
        <v>1</v>
      </c>
      <c r="L69" s="17">
        <v>1</v>
      </c>
      <c r="M69" s="17">
        <v>1</v>
      </c>
      <c r="O69" s="29">
        <f ca="1">RANDBETWEEN(3,6)*100+RANDBETWEEN(3,3)*10</f>
        <v>630</v>
      </c>
      <c r="P69" s="17">
        <v>1</v>
      </c>
      <c r="Q69" s="17">
        <v>1</v>
      </c>
      <c r="R69" s="17">
        <v>1</v>
      </c>
      <c r="T69" s="29">
        <f ca="1">RANDBETWEEN(3,6)*100+RANDBETWEEN(3,3)*10</f>
        <v>330</v>
      </c>
      <c r="U69" s="17">
        <v>1</v>
      </c>
      <c r="V69" s="17">
        <v>1</v>
      </c>
      <c r="W69" s="17">
        <v>1</v>
      </c>
      <c r="Y69" s="29">
        <f ca="1">RANDBETWEEN(3,6)*100+RANDBETWEEN(3,3)*10</f>
        <v>330</v>
      </c>
      <c r="Z69" s="17">
        <v>1</v>
      </c>
      <c r="AA69" s="17">
        <v>1</v>
      </c>
      <c r="AB69" s="17">
        <v>1</v>
      </c>
      <c r="AD69" s="29">
        <f ca="1">RANDBETWEEN(3,6)*100+RANDBETWEEN(3,3)*10</f>
        <v>530</v>
      </c>
      <c r="AE69" s="17">
        <v>1</v>
      </c>
      <c r="AF69" s="17">
        <v>1</v>
      </c>
      <c r="AG69" s="17">
        <v>1</v>
      </c>
      <c r="AI69" s="29">
        <f ca="1">RANDBETWEEN(3,6)*100+RANDBETWEEN(3,3)*10</f>
        <v>430</v>
      </c>
      <c r="AJ69" s="17">
        <v>1</v>
      </c>
      <c r="AK69" s="17">
        <v>1</v>
      </c>
      <c r="AL69" s="17">
        <v>1</v>
      </c>
      <c r="AN69" s="29">
        <f ca="1">RANDBETWEEN(3,6)*100+RANDBETWEEN(3,3)*10</f>
        <v>330</v>
      </c>
      <c r="AO69" s="17">
        <v>1</v>
      </c>
      <c r="AP69" s="17">
        <v>1</v>
      </c>
      <c r="AQ69" s="17">
        <v>1</v>
      </c>
      <c r="AS69" s="29">
        <f ca="1">RANDBETWEEN(3,6)*100+RANDBETWEEN(3,3)*10</f>
        <v>330</v>
      </c>
      <c r="AT69" s="17">
        <v>1</v>
      </c>
      <c r="AU69" s="17">
        <v>1</v>
      </c>
      <c r="AV69" s="17">
        <v>1</v>
      </c>
      <c r="AX69" s="29">
        <f ca="1">RANDBETWEEN(3,6)*100+RANDBETWEEN(3,3)*10</f>
        <v>630</v>
      </c>
      <c r="AY69" s="17">
        <v>1</v>
      </c>
      <c r="AZ69" s="17">
        <v>1</v>
      </c>
      <c r="BA69" s="17">
        <v>1</v>
      </c>
      <c r="BC69" s="29">
        <v>1001</v>
      </c>
      <c r="BD69" s="17">
        <f>BD66+50</f>
        <v>350</v>
      </c>
      <c r="BE69" s="17">
        <f>BE66+50</f>
        <v>400</v>
      </c>
      <c r="BF69" s="17">
        <v>20</v>
      </c>
    </row>
    <row r="70" spans="1:60" ht="20.100000000000001" customHeight="1" x14ac:dyDescent="0.15">
      <c r="A70" s="29"/>
      <c r="B70" s="29"/>
    </row>
    <row r="71" spans="1:60" ht="20.100000000000001" customHeight="1" x14ac:dyDescent="0.15">
      <c r="A71" s="29">
        <v>8</v>
      </c>
      <c r="B71" s="29" t="s">
        <v>161</v>
      </c>
      <c r="C71" s="29">
        <f t="shared" ref="C71:C72" si="10">C68+100</f>
        <v>20800</v>
      </c>
      <c r="D71" s="29">
        <v>1</v>
      </c>
      <c r="E71" s="34">
        <v>1001</v>
      </c>
      <c r="F71" s="34">
        <v>80</v>
      </c>
      <c r="G71" s="34">
        <v>100</v>
      </c>
      <c r="H71" s="34">
        <v>1000</v>
      </c>
      <c r="J71" s="34">
        <v>1204</v>
      </c>
      <c r="K71" s="34">
        <v>1</v>
      </c>
      <c r="L71" s="34">
        <v>1</v>
      </c>
      <c r="M71" s="34">
        <v>1000</v>
      </c>
      <c r="O71" s="29"/>
      <c r="T71" s="29"/>
      <c r="Y71" s="29"/>
      <c r="AD71" s="29"/>
      <c r="AI71" s="29"/>
      <c r="AN71" s="29"/>
      <c r="AS71" s="29"/>
      <c r="AX71" s="29"/>
      <c r="BC71" s="29"/>
    </row>
    <row r="72" spans="1:60" ht="20.100000000000001" customHeight="1" x14ac:dyDescent="0.15">
      <c r="A72" s="29"/>
      <c r="B72" s="29" t="s">
        <v>227</v>
      </c>
      <c r="C72" s="29">
        <f t="shared" si="10"/>
        <v>20801</v>
      </c>
      <c r="D72" s="29">
        <v>2</v>
      </c>
      <c r="E72" s="29">
        <f ca="1">RANDBETWEEN(2,3)+20000+RANDBETWEEN(3,6)*100+RANDBETWEEN(3,3)*10</f>
        <v>20533</v>
      </c>
      <c r="F72" s="17">
        <v>1</v>
      </c>
      <c r="G72" s="17">
        <v>1</v>
      </c>
      <c r="H72" s="17">
        <v>1</v>
      </c>
      <c r="I72" s="17"/>
      <c r="J72" s="29">
        <f ca="1">RANDBETWEEN(2,3)+20000+RANDBETWEEN(3,6)*100+RANDBETWEEN(3,3)*10</f>
        <v>20432</v>
      </c>
      <c r="K72" s="17">
        <v>1</v>
      </c>
      <c r="L72" s="17">
        <v>1</v>
      </c>
      <c r="M72" s="17">
        <v>1</v>
      </c>
      <c r="O72" s="29">
        <f ca="1">RANDBETWEEN(2,3)+20000+RANDBETWEEN(3,6)*100+RANDBETWEEN(3,3)*10</f>
        <v>20633</v>
      </c>
      <c r="P72" s="17">
        <v>1</v>
      </c>
      <c r="Q72" s="17">
        <v>1</v>
      </c>
      <c r="R72" s="17">
        <v>1</v>
      </c>
      <c r="T72" s="29">
        <f ca="1">RANDBETWEEN(2,3)+20000+RANDBETWEEN(3,6)*100+RANDBETWEEN(3,3)*10</f>
        <v>20533</v>
      </c>
      <c r="U72" s="17">
        <v>1</v>
      </c>
      <c r="V72" s="17">
        <v>1</v>
      </c>
      <c r="W72" s="17">
        <v>1</v>
      </c>
      <c r="Y72" s="29">
        <f ca="1">RANDBETWEEN(2,3)+20000+RANDBETWEEN(3,6)*100+RANDBETWEEN(3,3)*10</f>
        <v>20633</v>
      </c>
      <c r="Z72" s="17">
        <v>1</v>
      </c>
      <c r="AA72" s="17">
        <v>1</v>
      </c>
      <c r="AB72" s="17">
        <v>1</v>
      </c>
      <c r="AD72" s="29">
        <f ca="1">RANDBETWEEN(2,3)+20000+RANDBETWEEN(3,6)*100+RANDBETWEEN(3,3)*10</f>
        <v>20532</v>
      </c>
      <c r="AE72" s="17">
        <v>1</v>
      </c>
      <c r="AF72" s="17">
        <v>1</v>
      </c>
      <c r="AG72" s="17">
        <v>1</v>
      </c>
      <c r="AI72" s="29">
        <f ca="1">RANDBETWEEN(2,3)+20000+RANDBETWEEN(3,6)*100+RANDBETWEEN(3,3)*10</f>
        <v>20332</v>
      </c>
      <c r="AJ72" s="17">
        <v>1</v>
      </c>
      <c r="AK72" s="17">
        <v>1</v>
      </c>
      <c r="AL72" s="17">
        <v>1</v>
      </c>
      <c r="AN72" s="29">
        <f ca="1">RANDBETWEEN(2,3)+20000+RANDBETWEEN(3,6)*100+RANDBETWEEN(3,3)*10</f>
        <v>20532</v>
      </c>
      <c r="AO72" s="17">
        <v>1</v>
      </c>
      <c r="AP72" s="17">
        <v>1</v>
      </c>
      <c r="AQ72" s="17">
        <v>1</v>
      </c>
      <c r="AS72" s="29">
        <f ca="1">RANDBETWEEN(2,3)+20000+RANDBETWEEN(3,6)*100+RANDBETWEEN(3,3)*10</f>
        <v>20432</v>
      </c>
      <c r="AT72" s="17">
        <v>1</v>
      </c>
      <c r="AU72" s="17">
        <v>1</v>
      </c>
      <c r="AV72" s="17">
        <v>1</v>
      </c>
      <c r="AX72" s="29">
        <f ca="1">RANDBETWEEN(2,3)+20000+RANDBETWEEN(3,6)*100+RANDBETWEEN(3,3)*10</f>
        <v>20533</v>
      </c>
      <c r="AY72" s="17">
        <v>1</v>
      </c>
      <c r="AZ72" s="17">
        <v>1</v>
      </c>
      <c r="BA72" s="17">
        <v>1</v>
      </c>
      <c r="BC72" s="29">
        <v>1001</v>
      </c>
      <c r="BD72" s="17">
        <f>BD69+50</f>
        <v>400</v>
      </c>
      <c r="BE72" s="17">
        <f>BE69+50</f>
        <v>450</v>
      </c>
      <c r="BF72" s="17">
        <v>20</v>
      </c>
    </row>
    <row r="73" spans="1:60" ht="20.100000000000001" customHeight="1" x14ac:dyDescent="0.15">
      <c r="A73" s="29"/>
      <c r="B73" s="29"/>
    </row>
    <row r="74" spans="1:60" ht="20.100000000000001" customHeight="1" x14ac:dyDescent="0.15">
      <c r="A74" s="29">
        <v>9</v>
      </c>
      <c r="B74" s="29" t="s">
        <v>161</v>
      </c>
      <c r="C74" s="29">
        <f t="shared" ref="C74:C75" si="11">C71+100</f>
        <v>20900</v>
      </c>
      <c r="D74" s="29">
        <v>1</v>
      </c>
      <c r="E74" s="34">
        <v>1001</v>
      </c>
      <c r="F74" s="34">
        <v>80</v>
      </c>
      <c r="G74" s="34">
        <v>100</v>
      </c>
      <c r="H74" s="34">
        <v>1000</v>
      </c>
      <c r="J74" s="34">
        <v>1204</v>
      </c>
      <c r="K74" s="34">
        <v>1</v>
      </c>
      <c r="L74" s="34">
        <v>1</v>
      </c>
      <c r="M74" s="34">
        <v>1000</v>
      </c>
      <c r="O74" s="29"/>
      <c r="T74" s="29"/>
      <c r="Y74" s="29"/>
      <c r="AD74" s="29"/>
      <c r="AI74" s="29"/>
      <c r="AN74" s="29"/>
      <c r="AS74" s="29"/>
      <c r="AX74" s="29"/>
      <c r="BC74" s="29"/>
    </row>
    <row r="75" spans="1:60" ht="20.100000000000001" customHeight="1" x14ac:dyDescent="0.15">
      <c r="A75" s="29"/>
      <c r="B75" s="29" t="s">
        <v>227</v>
      </c>
      <c r="C75" s="29">
        <f t="shared" si="11"/>
        <v>20901</v>
      </c>
      <c r="D75" s="29">
        <v>2</v>
      </c>
      <c r="E75" s="29">
        <f ca="1">RANDBETWEEN(3,4)+20000+RANDBETWEEN(3,6)*100+RANDBETWEEN(3,3)*10</f>
        <v>20533</v>
      </c>
      <c r="F75" s="17">
        <v>1</v>
      </c>
      <c r="G75" s="17">
        <v>1</v>
      </c>
      <c r="H75" s="17">
        <v>1</v>
      </c>
      <c r="I75" s="17"/>
      <c r="J75" s="29">
        <f ca="1">RANDBETWEEN(3,4)+20000+RANDBETWEEN(3,6)*100+RANDBETWEEN(3,3)*10</f>
        <v>20634</v>
      </c>
      <c r="K75" s="17">
        <v>1</v>
      </c>
      <c r="L75" s="17">
        <v>1</v>
      </c>
      <c r="M75" s="17">
        <v>1</v>
      </c>
      <c r="O75" s="29">
        <f ca="1">RANDBETWEEN(3,4)+20000+RANDBETWEEN(3,6)*100+RANDBETWEEN(3,3)*10</f>
        <v>20533</v>
      </c>
      <c r="P75" s="17">
        <v>1</v>
      </c>
      <c r="Q75" s="17">
        <v>1</v>
      </c>
      <c r="R75" s="17">
        <v>1</v>
      </c>
      <c r="T75" s="29">
        <f ca="1">RANDBETWEEN(3,4)+20000+RANDBETWEEN(3,6)*100+RANDBETWEEN(3,3)*10</f>
        <v>20534</v>
      </c>
      <c r="U75" s="17">
        <v>1</v>
      </c>
      <c r="V75" s="17">
        <v>1</v>
      </c>
      <c r="W75" s="17">
        <v>1</v>
      </c>
      <c r="Y75" s="29">
        <f ca="1">RANDBETWEEN(3,4)+20000+RANDBETWEEN(3,6)*100+RANDBETWEEN(3,3)*10</f>
        <v>20333</v>
      </c>
      <c r="Z75" s="17">
        <v>1</v>
      </c>
      <c r="AA75" s="17">
        <v>1</v>
      </c>
      <c r="AB75" s="17">
        <v>1</v>
      </c>
      <c r="AD75" s="29">
        <f ca="1">RANDBETWEEN(3,4)+20000+RANDBETWEEN(3,6)*100+RANDBETWEEN(3,3)*10</f>
        <v>20534</v>
      </c>
      <c r="AE75" s="17">
        <v>1</v>
      </c>
      <c r="AF75" s="17">
        <v>1</v>
      </c>
      <c r="AG75" s="17">
        <v>1</v>
      </c>
      <c r="AI75" s="29">
        <f ca="1">RANDBETWEEN(3,4)+20000+RANDBETWEEN(3,6)*100+RANDBETWEEN(3,3)*10</f>
        <v>20333</v>
      </c>
      <c r="AJ75" s="17">
        <v>1</v>
      </c>
      <c r="AK75" s="17">
        <v>1</v>
      </c>
      <c r="AL75" s="17">
        <v>1</v>
      </c>
      <c r="AN75" s="29">
        <f ca="1">RANDBETWEEN(3,4)+20000+RANDBETWEEN(3,6)*100+RANDBETWEEN(3,3)*10</f>
        <v>20433</v>
      </c>
      <c r="AO75" s="17">
        <v>1</v>
      </c>
      <c r="AP75" s="17">
        <v>1</v>
      </c>
      <c r="AQ75" s="17">
        <v>1</v>
      </c>
      <c r="AS75" s="29">
        <f ca="1">RANDBETWEEN(3,4)+20000+RANDBETWEEN(3,6)*100+RANDBETWEEN(3,3)*10</f>
        <v>20634</v>
      </c>
      <c r="AT75" s="17">
        <v>1</v>
      </c>
      <c r="AU75" s="17">
        <v>1</v>
      </c>
      <c r="AV75" s="17">
        <v>1</v>
      </c>
      <c r="AX75" s="29">
        <f ca="1">RANDBETWEEN(3,4)+20000+RANDBETWEEN(3,6)*100+RANDBETWEEN(3,3)*10</f>
        <v>20534</v>
      </c>
      <c r="AY75" s="17">
        <v>1</v>
      </c>
      <c r="AZ75" s="17">
        <v>1</v>
      </c>
      <c r="BA75" s="17">
        <v>1</v>
      </c>
      <c r="BC75" s="29">
        <v>1001</v>
      </c>
      <c r="BD75" s="17">
        <f>BD72+50</f>
        <v>450</v>
      </c>
      <c r="BE75" s="17">
        <f>BE72+50</f>
        <v>500</v>
      </c>
      <c r="BF75" s="17">
        <v>20</v>
      </c>
    </row>
    <row r="76" spans="1:60" ht="20.100000000000001" customHeight="1" x14ac:dyDescent="0.15">
      <c r="A76" s="29"/>
      <c r="B76" s="29"/>
    </row>
    <row r="77" spans="1:60" ht="20.100000000000001" customHeight="1" x14ac:dyDescent="0.15">
      <c r="A77" s="29">
        <v>10</v>
      </c>
      <c r="B77" s="29" t="s">
        <v>161</v>
      </c>
      <c r="C77" s="29">
        <f t="shared" ref="C77:C78" si="12">C74+100</f>
        <v>21000</v>
      </c>
      <c r="D77" s="29">
        <v>1</v>
      </c>
      <c r="E77" s="34">
        <v>1001</v>
      </c>
      <c r="F77" s="34">
        <v>80</v>
      </c>
      <c r="G77" s="34">
        <v>100</v>
      </c>
      <c r="H77" s="34">
        <v>1000</v>
      </c>
      <c r="J77" s="34">
        <v>1204</v>
      </c>
      <c r="K77" s="34">
        <v>1</v>
      </c>
      <c r="L77" s="34">
        <v>1</v>
      </c>
      <c r="M77" s="34">
        <v>1000</v>
      </c>
      <c r="O77" s="29"/>
      <c r="T77" s="29"/>
      <c r="Y77" s="29"/>
      <c r="AD77" s="29"/>
      <c r="AI77" s="29"/>
      <c r="AN77" s="29"/>
      <c r="AS77" s="29"/>
      <c r="AX77" s="29"/>
      <c r="BC77" s="29"/>
    </row>
    <row r="78" spans="1:60" ht="20.100000000000001" customHeight="1" x14ac:dyDescent="0.15">
      <c r="A78" s="29"/>
      <c r="B78" s="29" t="s">
        <v>227</v>
      </c>
      <c r="C78" s="29">
        <f t="shared" si="12"/>
        <v>21001</v>
      </c>
      <c r="D78" s="29">
        <v>2</v>
      </c>
      <c r="E78" s="29">
        <f ca="1">RANDBETWEEN(4,6)+20000+RANDBETWEEN(3,6)*100+RANDBETWEEN(3,3)*10</f>
        <v>20536</v>
      </c>
      <c r="F78" s="17">
        <v>1</v>
      </c>
      <c r="G78" s="17">
        <v>1</v>
      </c>
      <c r="H78" s="17">
        <v>1</v>
      </c>
      <c r="I78" s="17"/>
      <c r="J78" s="29">
        <f ca="1">RANDBETWEEN(4,6)+20000+RANDBETWEEN(3,6)*100+RANDBETWEEN(3,3)*10</f>
        <v>20634</v>
      </c>
      <c r="K78" s="17">
        <v>1</v>
      </c>
      <c r="L78" s="17">
        <v>1</v>
      </c>
      <c r="M78" s="17">
        <v>1</v>
      </c>
      <c r="O78" s="29">
        <f ca="1">RANDBETWEEN(4,6)+20000+RANDBETWEEN(3,6)*100+RANDBETWEEN(3,3)*10</f>
        <v>20434</v>
      </c>
      <c r="P78" s="17">
        <v>1</v>
      </c>
      <c r="Q78" s="17">
        <v>1</v>
      </c>
      <c r="R78" s="17">
        <v>1</v>
      </c>
      <c r="T78" s="29">
        <f ca="1">RANDBETWEEN(4,6)+20000+RANDBETWEEN(3,6)*100+RANDBETWEEN(3,3)*10</f>
        <v>20435</v>
      </c>
      <c r="U78" s="17">
        <v>1</v>
      </c>
      <c r="V78" s="17">
        <v>1</v>
      </c>
      <c r="W78" s="17">
        <v>1</v>
      </c>
      <c r="Y78" s="29">
        <f ca="1">RANDBETWEEN(4,6)+20000+RANDBETWEEN(3,6)*100+RANDBETWEEN(3,3)*10</f>
        <v>20434</v>
      </c>
      <c r="Z78" s="17">
        <v>1</v>
      </c>
      <c r="AA78" s="17">
        <v>1</v>
      </c>
      <c r="AB78" s="17">
        <v>1</v>
      </c>
      <c r="AD78" s="29">
        <f ca="1">RANDBETWEEN(4,6)+20000+RANDBETWEEN(3,6)*100+RANDBETWEEN(3,3)*10</f>
        <v>20536</v>
      </c>
      <c r="AE78" s="17">
        <v>1</v>
      </c>
      <c r="AF78" s="17">
        <v>1</v>
      </c>
      <c r="AG78" s="17">
        <v>1</v>
      </c>
      <c r="AI78" s="29">
        <f ca="1">RANDBETWEEN(4,6)+20000+RANDBETWEEN(3,6)*100+RANDBETWEEN(3,3)*10</f>
        <v>20434</v>
      </c>
      <c r="AJ78" s="17">
        <v>1</v>
      </c>
      <c r="AK78" s="17">
        <v>1</v>
      </c>
      <c r="AL78" s="17">
        <v>1</v>
      </c>
      <c r="AN78" s="29">
        <f ca="1">RANDBETWEEN(4,6)+20000+RANDBETWEEN(3,6)*100+RANDBETWEEN(3,3)*10</f>
        <v>20435</v>
      </c>
      <c r="AO78" s="17">
        <v>1</v>
      </c>
      <c r="AP78" s="17">
        <v>1</v>
      </c>
      <c r="AQ78" s="17">
        <v>1</v>
      </c>
      <c r="AS78" s="29">
        <f ca="1">RANDBETWEEN(4,6)+20000+RANDBETWEEN(3,6)*100+RANDBETWEEN(3,3)*10</f>
        <v>20335</v>
      </c>
      <c r="AT78" s="17">
        <v>1</v>
      </c>
      <c r="AU78" s="17">
        <v>1</v>
      </c>
      <c r="AV78" s="17">
        <v>1</v>
      </c>
      <c r="AX78" s="29">
        <f ca="1">RANDBETWEEN(4,6)+20000+RANDBETWEEN(3,6)*100+RANDBETWEEN(3,3)*10</f>
        <v>20636</v>
      </c>
      <c r="AY78" s="17">
        <v>1</v>
      </c>
      <c r="AZ78" s="17">
        <v>1</v>
      </c>
      <c r="BA78" s="17">
        <v>1</v>
      </c>
      <c r="BC78" s="29">
        <v>1001</v>
      </c>
      <c r="BD78" s="17">
        <f>BD75+50</f>
        <v>500</v>
      </c>
      <c r="BE78" s="17">
        <f>BE75+50</f>
        <v>550</v>
      </c>
      <c r="BF78" s="17">
        <v>20</v>
      </c>
    </row>
    <row r="80" spans="1:60" ht="20.100000000000001" customHeight="1" x14ac:dyDescent="0.15">
      <c r="A80" s="17" t="s">
        <v>235</v>
      </c>
    </row>
    <row r="81" spans="1:49" ht="20.100000000000001" customHeight="1" x14ac:dyDescent="0.35">
      <c r="B81" s="29" t="s">
        <v>558</v>
      </c>
      <c r="C81" s="18">
        <v>30100</v>
      </c>
      <c r="D81" s="29">
        <v>1</v>
      </c>
      <c r="E81" s="34">
        <v>1000</v>
      </c>
      <c r="F81" s="34">
        <v>50</v>
      </c>
      <c r="G81" s="34">
        <v>50</v>
      </c>
      <c r="H81" s="34">
        <v>10000</v>
      </c>
      <c r="J81" s="29">
        <v>1001</v>
      </c>
      <c r="K81" s="17">
        <v>5000</v>
      </c>
      <c r="L81" s="17">
        <v>5000</v>
      </c>
      <c r="M81" s="17">
        <v>10000</v>
      </c>
      <c r="O81" s="17">
        <v>1100</v>
      </c>
      <c r="P81" s="29">
        <v>5</v>
      </c>
      <c r="Q81" s="29">
        <v>5</v>
      </c>
      <c r="R81" s="17">
        <v>10000</v>
      </c>
    </row>
    <row r="82" spans="1:49" ht="20.100000000000001" customHeight="1" x14ac:dyDescent="0.35">
      <c r="B82" s="29" t="s">
        <v>559</v>
      </c>
      <c r="C82" s="18">
        <v>30101</v>
      </c>
      <c r="D82" s="29">
        <v>1</v>
      </c>
      <c r="E82" s="34">
        <v>1000</v>
      </c>
      <c r="F82" s="34">
        <v>20</v>
      </c>
      <c r="G82" s="34">
        <v>20</v>
      </c>
      <c r="H82" s="34">
        <v>10000</v>
      </c>
      <c r="J82" s="29">
        <v>1001</v>
      </c>
      <c r="K82" s="17">
        <v>1000</v>
      </c>
      <c r="L82" s="17">
        <v>1000</v>
      </c>
      <c r="M82" s="17">
        <v>10000</v>
      </c>
      <c r="O82" s="17">
        <v>1100</v>
      </c>
      <c r="P82" s="29">
        <v>2</v>
      </c>
      <c r="Q82" s="29">
        <v>2</v>
      </c>
      <c r="R82" s="17">
        <v>10000</v>
      </c>
    </row>
    <row r="83" spans="1:49" ht="20.100000000000001" customHeight="1" x14ac:dyDescent="0.35">
      <c r="B83" s="29" t="s">
        <v>560</v>
      </c>
      <c r="C83" s="18">
        <v>30102</v>
      </c>
      <c r="D83" s="29">
        <v>1</v>
      </c>
      <c r="E83" s="34">
        <v>1000</v>
      </c>
      <c r="F83" s="34">
        <v>100</v>
      </c>
      <c r="G83" s="34">
        <v>100</v>
      </c>
      <c r="H83" s="34">
        <v>10000</v>
      </c>
      <c r="J83" s="29">
        <v>1001</v>
      </c>
      <c r="K83" s="17">
        <v>8888</v>
      </c>
      <c r="L83" s="17">
        <v>8888</v>
      </c>
      <c r="M83" s="17">
        <v>10000</v>
      </c>
      <c r="O83" s="17">
        <v>1100</v>
      </c>
      <c r="P83" s="29">
        <v>9</v>
      </c>
      <c r="Q83" s="29">
        <v>9</v>
      </c>
      <c r="R83" s="17">
        <v>10000</v>
      </c>
    </row>
    <row r="85" spans="1:49" ht="20.100000000000001" customHeight="1" x14ac:dyDescent="0.15">
      <c r="A85" s="17" t="s">
        <v>564</v>
      </c>
    </row>
    <row r="86" spans="1:49" ht="20.100000000000001" customHeight="1" x14ac:dyDescent="0.35">
      <c r="B86" s="29" t="s">
        <v>562</v>
      </c>
      <c r="C86" s="18">
        <v>30200</v>
      </c>
      <c r="D86" s="29">
        <v>1</v>
      </c>
      <c r="E86" s="29">
        <v>2001</v>
      </c>
      <c r="F86" s="34">
        <v>1</v>
      </c>
      <c r="G86" s="34">
        <v>1</v>
      </c>
      <c r="H86" s="34">
        <v>10000</v>
      </c>
      <c r="J86" s="29">
        <v>2101</v>
      </c>
      <c r="K86" s="34">
        <v>1</v>
      </c>
      <c r="L86" s="34">
        <v>1</v>
      </c>
      <c r="M86" s="34">
        <v>10000</v>
      </c>
      <c r="O86" s="29">
        <v>2201</v>
      </c>
      <c r="P86" s="34">
        <v>1</v>
      </c>
      <c r="Q86" s="34">
        <v>1</v>
      </c>
      <c r="R86" s="34">
        <v>10000</v>
      </c>
      <c r="AV86" s="29"/>
      <c r="AW86" s="32"/>
    </row>
    <row r="88" spans="1:49" ht="20.100000000000001" customHeight="1" x14ac:dyDescent="0.15">
      <c r="A88" s="17" t="s">
        <v>565</v>
      </c>
      <c r="B88" s="29"/>
      <c r="O88" s="29"/>
      <c r="P88" s="29"/>
      <c r="AV88" s="29"/>
      <c r="AW88" s="32"/>
    </row>
    <row r="89" spans="1:49" ht="20.100000000000001" customHeight="1" x14ac:dyDescent="0.35">
      <c r="B89" s="29" t="s">
        <v>552</v>
      </c>
      <c r="C89" s="18">
        <v>30300</v>
      </c>
      <c r="D89" s="29">
        <v>1</v>
      </c>
      <c r="E89" s="29">
        <v>3009</v>
      </c>
      <c r="F89" s="34">
        <v>1</v>
      </c>
      <c r="G89" s="34">
        <v>1</v>
      </c>
      <c r="H89" s="34">
        <v>10000</v>
      </c>
      <c r="J89" s="29">
        <v>1001</v>
      </c>
      <c r="K89" s="17">
        <v>2000</v>
      </c>
      <c r="L89" s="17">
        <v>2000</v>
      </c>
      <c r="M89" s="34">
        <v>10000</v>
      </c>
      <c r="O89" s="17">
        <v>1100</v>
      </c>
      <c r="P89" s="29">
        <v>2</v>
      </c>
      <c r="Q89" s="29">
        <v>2</v>
      </c>
      <c r="R89" s="17">
        <v>10000</v>
      </c>
    </row>
    <row r="90" spans="1:49" ht="20.100000000000001" customHeight="1" x14ac:dyDescent="0.35">
      <c r="B90" s="29" t="s">
        <v>553</v>
      </c>
      <c r="C90" s="18">
        <v>30301</v>
      </c>
      <c r="D90" s="29">
        <v>1</v>
      </c>
      <c r="E90" s="29">
        <v>3002</v>
      </c>
      <c r="F90" s="34">
        <v>1</v>
      </c>
      <c r="G90" s="34">
        <v>1</v>
      </c>
      <c r="H90" s="34">
        <v>10000</v>
      </c>
      <c r="J90" s="29">
        <v>1001</v>
      </c>
      <c r="K90" s="17">
        <v>3000</v>
      </c>
      <c r="L90" s="17">
        <v>3000</v>
      </c>
      <c r="M90" s="34">
        <v>10000</v>
      </c>
      <c r="O90" s="17">
        <v>1100</v>
      </c>
      <c r="P90" s="29">
        <v>3</v>
      </c>
      <c r="Q90" s="29">
        <v>3</v>
      </c>
      <c r="R90" s="17">
        <v>10000</v>
      </c>
    </row>
    <row r="91" spans="1:49" ht="20.100000000000001" customHeight="1" x14ac:dyDescent="0.35">
      <c r="B91" s="29" t="s">
        <v>561</v>
      </c>
      <c r="C91" s="18">
        <v>30302</v>
      </c>
      <c r="D91" s="29">
        <v>1</v>
      </c>
      <c r="E91" s="29">
        <v>3004</v>
      </c>
      <c r="F91" s="34">
        <v>1</v>
      </c>
      <c r="G91" s="34">
        <v>1</v>
      </c>
      <c r="H91" s="34">
        <v>10000</v>
      </c>
      <c r="J91" s="29">
        <v>1001</v>
      </c>
      <c r="K91" s="17">
        <v>5000</v>
      </c>
      <c r="L91" s="17">
        <v>5000</v>
      </c>
      <c r="M91" s="34">
        <v>10000</v>
      </c>
      <c r="O91" s="17">
        <v>1100</v>
      </c>
      <c r="P91" s="17">
        <v>5</v>
      </c>
      <c r="Q91" s="17">
        <v>5</v>
      </c>
      <c r="R91" s="17">
        <v>10000</v>
      </c>
      <c r="AV91" s="29"/>
      <c r="AW91" s="32"/>
    </row>
    <row r="92" spans="1:49" ht="20.100000000000001" customHeight="1" x14ac:dyDescent="0.15">
      <c r="B92" s="29"/>
      <c r="O92" s="29"/>
      <c r="P92" s="29"/>
      <c r="AV92" s="29"/>
      <c r="AW92" s="32"/>
    </row>
    <row r="93" spans="1:49" ht="20.100000000000001" customHeight="1" x14ac:dyDescent="0.15">
      <c r="A93" s="17" t="s">
        <v>250</v>
      </c>
      <c r="B93" s="29"/>
      <c r="O93" s="29"/>
      <c r="P93" s="29"/>
      <c r="AV93" s="29"/>
      <c r="AW93" s="32"/>
    </row>
    <row r="94" spans="1:49" ht="20.100000000000001" customHeight="1" x14ac:dyDescent="0.15">
      <c r="A94" s="17" t="s">
        <v>554</v>
      </c>
      <c r="B94" s="29" t="s">
        <v>343</v>
      </c>
      <c r="C94" s="29">
        <v>30400</v>
      </c>
      <c r="D94" s="29">
        <v>1</v>
      </c>
      <c r="E94" s="29">
        <v>2100</v>
      </c>
      <c r="F94" s="34">
        <v>1</v>
      </c>
      <c r="G94" s="34">
        <v>1</v>
      </c>
      <c r="H94" s="34">
        <v>10000</v>
      </c>
      <c r="J94" s="29">
        <v>1001</v>
      </c>
      <c r="K94" s="34">
        <v>2000</v>
      </c>
      <c r="L94" s="34">
        <v>2000</v>
      </c>
      <c r="M94" s="17">
        <v>10000</v>
      </c>
      <c r="O94" s="29">
        <v>1200</v>
      </c>
      <c r="P94" s="34">
        <v>5</v>
      </c>
      <c r="Q94" s="34">
        <v>5</v>
      </c>
      <c r="R94" s="17">
        <v>10000</v>
      </c>
      <c r="T94" s="29">
        <v>1202</v>
      </c>
      <c r="U94" s="34">
        <v>3</v>
      </c>
      <c r="V94" s="34">
        <v>3</v>
      </c>
      <c r="W94" s="17">
        <v>10000</v>
      </c>
      <c r="Y94" s="29"/>
      <c r="Z94" s="34"/>
      <c r="AA94" s="34"/>
      <c r="AV94" s="29"/>
      <c r="AW94" s="32"/>
    </row>
    <row r="95" spans="1:49" ht="20.100000000000001" customHeight="1" x14ac:dyDescent="0.15">
      <c r="A95" s="17" t="s">
        <v>563</v>
      </c>
      <c r="B95" s="29" t="s">
        <v>344</v>
      </c>
      <c r="C95" s="29">
        <v>30401</v>
      </c>
      <c r="D95" s="29">
        <v>1</v>
      </c>
      <c r="E95" s="29">
        <v>2200</v>
      </c>
      <c r="F95" s="34">
        <v>1</v>
      </c>
      <c r="G95" s="34">
        <v>1</v>
      </c>
      <c r="H95" s="34">
        <v>10000</v>
      </c>
      <c r="K95" s="34"/>
      <c r="L95" s="34"/>
      <c r="O95" s="29"/>
      <c r="P95" s="34"/>
      <c r="Q95" s="34"/>
      <c r="T95" s="29"/>
      <c r="U95" s="34"/>
      <c r="V95" s="34"/>
      <c r="Y95" s="29"/>
      <c r="Z95" s="34"/>
      <c r="AA95" s="34"/>
      <c r="AV95" s="29"/>
      <c r="AW95" s="32"/>
    </row>
    <row r="96" spans="1:49" ht="20.100000000000001" customHeight="1" x14ac:dyDescent="0.15">
      <c r="A96" s="17" t="s">
        <v>555</v>
      </c>
      <c r="B96" s="29" t="s">
        <v>345</v>
      </c>
      <c r="C96" s="29">
        <v>30402</v>
      </c>
      <c r="D96" s="29">
        <v>1</v>
      </c>
      <c r="E96" s="29">
        <v>2300</v>
      </c>
      <c r="F96" s="34">
        <v>1</v>
      </c>
      <c r="G96" s="34">
        <v>1</v>
      </c>
      <c r="H96" s="34">
        <v>10000</v>
      </c>
      <c r="J96" s="29">
        <v>1001</v>
      </c>
      <c r="K96" s="34">
        <v>3000</v>
      </c>
      <c r="L96" s="34">
        <v>3000</v>
      </c>
      <c r="M96" s="17">
        <v>10000</v>
      </c>
      <c r="O96" s="29">
        <v>1200</v>
      </c>
      <c r="P96" s="34">
        <v>6</v>
      </c>
      <c r="Q96" s="34">
        <v>6</v>
      </c>
      <c r="R96" s="17">
        <v>10000</v>
      </c>
      <c r="T96" s="29">
        <v>1202</v>
      </c>
      <c r="U96" s="34">
        <v>5</v>
      </c>
      <c r="V96" s="34">
        <v>5</v>
      </c>
      <c r="W96" s="17">
        <v>10000</v>
      </c>
      <c r="Y96" s="29"/>
      <c r="Z96" s="34"/>
      <c r="AA96" s="34"/>
      <c r="AV96" s="29"/>
      <c r="AW96" s="32"/>
    </row>
    <row r="97" spans="1:49" ht="20.100000000000001" customHeight="1" x14ac:dyDescent="0.15">
      <c r="A97" s="17" t="s">
        <v>556</v>
      </c>
      <c r="B97" s="29" t="s">
        <v>346</v>
      </c>
      <c r="C97" s="29">
        <v>30403</v>
      </c>
      <c r="D97" s="29">
        <v>1</v>
      </c>
      <c r="E97" s="29">
        <v>2400</v>
      </c>
      <c r="F97" s="34">
        <v>1</v>
      </c>
      <c r="G97" s="34">
        <v>1</v>
      </c>
      <c r="H97" s="34">
        <v>10000</v>
      </c>
      <c r="J97" s="29">
        <v>1001</v>
      </c>
      <c r="K97" s="34">
        <v>5000</v>
      </c>
      <c r="L97" s="34">
        <v>5000</v>
      </c>
      <c r="M97" s="17">
        <v>10000</v>
      </c>
      <c r="O97" s="29">
        <v>1200</v>
      </c>
      <c r="P97" s="34">
        <v>7</v>
      </c>
      <c r="Q97" s="34">
        <v>7</v>
      </c>
      <c r="R97" s="17">
        <v>10000</v>
      </c>
      <c r="T97" s="29">
        <v>1202</v>
      </c>
      <c r="U97" s="34">
        <v>6</v>
      </c>
      <c r="V97" s="34">
        <v>6</v>
      </c>
      <c r="W97" s="17">
        <v>10000</v>
      </c>
      <c r="Y97" s="29"/>
      <c r="Z97" s="34"/>
      <c r="AA97" s="34"/>
      <c r="AV97" s="29"/>
      <c r="AW97" s="32"/>
    </row>
    <row r="98" spans="1:49" ht="20.100000000000001" customHeight="1" x14ac:dyDescent="0.15">
      <c r="A98" s="17" t="s">
        <v>557</v>
      </c>
      <c r="B98" s="29" t="s">
        <v>347</v>
      </c>
      <c r="C98" s="29">
        <v>30404</v>
      </c>
      <c r="D98" s="29">
        <v>1</v>
      </c>
      <c r="E98" s="29">
        <v>2500</v>
      </c>
      <c r="F98" s="34">
        <v>1</v>
      </c>
      <c r="G98" s="34">
        <v>1</v>
      </c>
      <c r="H98" s="34">
        <v>10000</v>
      </c>
      <c r="J98" s="29">
        <v>1001</v>
      </c>
      <c r="K98" s="34">
        <v>6000</v>
      </c>
      <c r="L98" s="34">
        <v>6000</v>
      </c>
      <c r="M98" s="17">
        <v>10000</v>
      </c>
      <c r="O98" s="29">
        <v>1200</v>
      </c>
      <c r="P98" s="34">
        <v>8</v>
      </c>
      <c r="Q98" s="34">
        <v>8</v>
      </c>
      <c r="R98" s="17">
        <v>10000</v>
      </c>
      <c r="T98" s="29">
        <v>1202</v>
      </c>
      <c r="U98" s="34">
        <v>7</v>
      </c>
      <c r="V98" s="34">
        <v>7</v>
      </c>
      <c r="W98" s="17">
        <v>10000</v>
      </c>
      <c r="Y98" s="29"/>
      <c r="Z98" s="34"/>
      <c r="AA98" s="34"/>
      <c r="AV98" s="29"/>
      <c r="AW98" s="32"/>
    </row>
    <row r="99" spans="1:49" ht="20.100000000000001" customHeight="1" x14ac:dyDescent="0.15">
      <c r="AV99" s="29"/>
      <c r="AW99" s="32"/>
    </row>
    <row r="100" spans="1:49" ht="20.100000000000001" customHeight="1" x14ac:dyDescent="0.15">
      <c r="B100" s="29" t="s">
        <v>682</v>
      </c>
      <c r="C100" s="29">
        <v>30500</v>
      </c>
      <c r="D100" s="29">
        <v>1</v>
      </c>
      <c r="E100" s="29">
        <v>1001</v>
      </c>
      <c r="F100" s="17">
        <v>150</v>
      </c>
      <c r="G100" s="17">
        <v>150</v>
      </c>
      <c r="H100" s="17">
        <v>10000</v>
      </c>
      <c r="J100" s="29">
        <v>1001</v>
      </c>
      <c r="K100" s="17">
        <v>150</v>
      </c>
      <c r="L100" s="17">
        <v>150</v>
      </c>
      <c r="M100" s="17">
        <v>10000</v>
      </c>
      <c r="O100" s="29">
        <v>1001</v>
      </c>
      <c r="P100" s="17">
        <v>150</v>
      </c>
      <c r="Q100" s="17">
        <v>150</v>
      </c>
      <c r="R100" s="17">
        <v>10000</v>
      </c>
    </row>
    <row r="101" spans="1:49" ht="20.100000000000001" customHeight="1" x14ac:dyDescent="0.35">
      <c r="C101" s="34"/>
      <c r="D101" s="19"/>
      <c r="E101" s="19"/>
      <c r="F101" s="18"/>
      <c r="G101" s="17"/>
      <c r="H101" s="18"/>
      <c r="I101" s="34"/>
      <c r="J101" s="34"/>
    </row>
    <row r="102" spans="1:49" ht="20.100000000000001" customHeight="1" x14ac:dyDescent="0.15">
      <c r="B102" s="29" t="s">
        <v>682</v>
      </c>
      <c r="C102" s="29">
        <v>30501</v>
      </c>
      <c r="D102" s="29">
        <v>1</v>
      </c>
      <c r="E102" s="29">
        <v>1001</v>
      </c>
      <c r="F102" s="17">
        <v>50</v>
      </c>
      <c r="G102" s="17">
        <v>150</v>
      </c>
      <c r="H102" s="17">
        <v>10000</v>
      </c>
      <c r="O102" s="29"/>
    </row>
    <row r="103" spans="1:49" ht="20.100000000000001" customHeight="1" x14ac:dyDescent="0.35">
      <c r="G103" s="17"/>
      <c r="H103" s="18"/>
      <c r="I103" s="34"/>
    </row>
    <row r="104" spans="1:49" ht="20.100000000000001" customHeight="1" x14ac:dyDescent="0.15">
      <c r="G104" s="17"/>
      <c r="H104" s="17"/>
      <c r="I104" s="34"/>
    </row>
    <row r="105" spans="1:49" ht="20.100000000000001" customHeight="1" x14ac:dyDescent="0.15">
      <c r="B105" s="64" t="s">
        <v>744</v>
      </c>
      <c r="C105" s="29">
        <v>30601</v>
      </c>
      <c r="D105" s="29">
        <v>1</v>
      </c>
      <c r="E105" s="29">
        <v>1001</v>
      </c>
      <c r="F105" s="17">
        <v>500</v>
      </c>
      <c r="G105" s="17">
        <v>500</v>
      </c>
      <c r="H105" s="17">
        <v>10000</v>
      </c>
      <c r="I105" s="34"/>
      <c r="J105" s="29">
        <v>1000</v>
      </c>
      <c r="K105" s="17">
        <v>5</v>
      </c>
      <c r="L105" s="17">
        <v>5</v>
      </c>
      <c r="M105" s="17">
        <v>10000</v>
      </c>
      <c r="O105" s="17">
        <v>1100</v>
      </c>
      <c r="P105" s="17">
        <v>1</v>
      </c>
      <c r="Q105" s="17">
        <v>1</v>
      </c>
      <c r="R105" s="17">
        <v>10000</v>
      </c>
    </row>
    <row r="106" spans="1:49" ht="20.100000000000001" customHeight="1" x14ac:dyDescent="0.15">
      <c r="B106" s="64" t="s">
        <v>745</v>
      </c>
      <c r="C106" s="29">
        <v>30602</v>
      </c>
      <c r="D106" s="29">
        <v>1</v>
      </c>
      <c r="E106" s="29">
        <v>1001</v>
      </c>
      <c r="F106" s="17">
        <v>1000</v>
      </c>
      <c r="G106" s="17">
        <v>1000</v>
      </c>
      <c r="H106" s="17">
        <v>10000</v>
      </c>
      <c r="I106" s="34"/>
      <c r="J106" s="29">
        <v>1000</v>
      </c>
      <c r="K106" s="17">
        <v>10</v>
      </c>
      <c r="L106" s="17">
        <v>10</v>
      </c>
      <c r="M106" s="17">
        <v>10000</v>
      </c>
      <c r="O106" s="17">
        <v>1100</v>
      </c>
      <c r="P106" s="17">
        <v>2</v>
      </c>
      <c r="Q106" s="17">
        <v>2</v>
      </c>
      <c r="R106" s="17">
        <v>10000</v>
      </c>
    </row>
    <row r="107" spans="1:49" ht="20.100000000000001" customHeight="1" x14ac:dyDescent="0.15">
      <c r="B107" s="64" t="s">
        <v>746</v>
      </c>
      <c r="C107" s="29">
        <v>30603</v>
      </c>
      <c r="D107" s="29">
        <v>1</v>
      </c>
      <c r="E107" s="29">
        <v>1001</v>
      </c>
      <c r="F107" s="17">
        <v>2000</v>
      </c>
      <c r="G107" s="17">
        <v>2000</v>
      </c>
      <c r="H107" s="17">
        <v>10000</v>
      </c>
      <c r="J107" s="29">
        <v>1100</v>
      </c>
      <c r="K107" s="17">
        <v>2</v>
      </c>
      <c r="L107" s="17">
        <v>2</v>
      </c>
      <c r="M107" s="17">
        <v>10000</v>
      </c>
      <c r="O107" s="17">
        <v>1101</v>
      </c>
      <c r="P107" s="17">
        <v>1</v>
      </c>
      <c r="Q107" s="17">
        <v>1</v>
      </c>
      <c r="R107" s="17">
        <v>10000</v>
      </c>
    </row>
    <row r="108" spans="1:49" ht="20.100000000000001" customHeight="1" x14ac:dyDescent="0.15">
      <c r="B108" s="64" t="s">
        <v>747</v>
      </c>
      <c r="C108" s="29">
        <v>30604</v>
      </c>
      <c r="D108" s="29">
        <v>1</v>
      </c>
      <c r="E108" s="29">
        <v>1001</v>
      </c>
      <c r="F108" s="17">
        <v>3000</v>
      </c>
      <c r="G108" s="17">
        <v>3000</v>
      </c>
      <c r="H108" s="17">
        <v>10000</v>
      </c>
      <c r="J108" s="29">
        <v>1100</v>
      </c>
      <c r="K108" s="17">
        <v>3</v>
      </c>
      <c r="L108" s="17">
        <v>3</v>
      </c>
      <c r="M108" s="17">
        <v>10000</v>
      </c>
      <c r="O108" s="17">
        <v>1101</v>
      </c>
      <c r="P108" s="17">
        <v>2</v>
      </c>
      <c r="Q108" s="17">
        <v>2</v>
      </c>
      <c r="R108" s="17">
        <v>10000</v>
      </c>
    </row>
    <row r="109" spans="1:49" ht="20.100000000000001" customHeight="1" x14ac:dyDescent="0.15">
      <c r="B109" s="64" t="s">
        <v>748</v>
      </c>
      <c r="C109" s="29">
        <v>30605</v>
      </c>
      <c r="D109" s="29">
        <v>1</v>
      </c>
      <c r="E109" s="29">
        <v>1001</v>
      </c>
      <c r="F109" s="17">
        <v>1000</v>
      </c>
      <c r="G109" s="17">
        <v>1000</v>
      </c>
      <c r="H109" s="17">
        <v>10000</v>
      </c>
      <c r="J109" s="29">
        <v>1000</v>
      </c>
      <c r="K109" s="17">
        <v>10</v>
      </c>
      <c r="L109" s="17">
        <v>10</v>
      </c>
      <c r="M109" s="17">
        <v>10000</v>
      </c>
      <c r="O109" s="17">
        <v>1100</v>
      </c>
      <c r="P109" s="17">
        <v>1</v>
      </c>
      <c r="Q109" s="17">
        <v>1</v>
      </c>
      <c r="R109" s="17">
        <v>10000</v>
      </c>
      <c r="T109" s="17">
        <v>1101</v>
      </c>
      <c r="U109" s="17">
        <v>2</v>
      </c>
      <c r="V109" s="17">
        <v>2</v>
      </c>
      <c r="W109" s="17">
        <v>10000</v>
      </c>
    </row>
    <row r="110" spans="1:49" ht="20.100000000000001" customHeight="1" x14ac:dyDescent="0.15">
      <c r="B110" s="64" t="s">
        <v>749</v>
      </c>
      <c r="C110" s="29">
        <v>30606</v>
      </c>
      <c r="D110" s="29">
        <v>1</v>
      </c>
      <c r="E110" s="29">
        <v>1001</v>
      </c>
      <c r="F110" s="17">
        <v>2000</v>
      </c>
      <c r="G110" s="17">
        <v>2000</v>
      </c>
      <c r="H110" s="17">
        <v>10000</v>
      </c>
      <c r="J110" s="29">
        <v>1000</v>
      </c>
      <c r="K110" s="17">
        <v>20</v>
      </c>
      <c r="L110" s="17">
        <v>20</v>
      </c>
      <c r="M110" s="17">
        <v>10000</v>
      </c>
      <c r="O110" s="29">
        <v>1100</v>
      </c>
      <c r="P110" s="17">
        <v>2</v>
      </c>
      <c r="Q110" s="17">
        <v>2</v>
      </c>
      <c r="R110" s="17">
        <v>10000</v>
      </c>
      <c r="T110" s="17">
        <v>1101</v>
      </c>
      <c r="U110" s="17">
        <v>1</v>
      </c>
      <c r="V110" s="17">
        <v>1</v>
      </c>
      <c r="W110" s="17">
        <v>10000</v>
      </c>
    </row>
    <row r="125" spans="1:1" ht="20.100000000000001" customHeight="1" x14ac:dyDescent="0.15">
      <c r="A125" s="35" t="s">
        <v>3</v>
      </c>
    </row>
    <row r="126" spans="1:1" ht="20.100000000000001" customHeight="1" x14ac:dyDescent="0.15">
      <c r="A126" s="35" t="s">
        <v>28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I53"/>
  <sheetViews>
    <sheetView workbookViewId="0">
      <selection activeCell="H37" sqref="H37"/>
    </sheetView>
  </sheetViews>
  <sheetFormatPr defaultColWidth="9" defaultRowHeight="16.5" x14ac:dyDescent="0.15"/>
  <cols>
    <col min="1" max="8" width="9" style="10"/>
    <col min="9" max="9" width="9" style="27"/>
    <col min="10" max="16384" width="9" style="10"/>
  </cols>
  <sheetData>
    <row r="2" spans="1:9" x14ac:dyDescent="0.15">
      <c r="C2" s="10" t="s">
        <v>156</v>
      </c>
      <c r="D2" s="10" t="s">
        <v>157</v>
      </c>
      <c r="E2" s="10" t="s">
        <v>158</v>
      </c>
      <c r="F2" s="10" t="s">
        <v>157</v>
      </c>
      <c r="G2" s="10" t="s">
        <v>158</v>
      </c>
    </row>
    <row r="3" spans="1:9" x14ac:dyDescent="0.15">
      <c r="A3" s="10" t="s">
        <v>155</v>
      </c>
      <c r="C3" s="10">
        <v>1</v>
      </c>
      <c r="D3" s="10" t="s">
        <v>217</v>
      </c>
      <c r="F3" s="10">
        <v>1001</v>
      </c>
      <c r="G3" s="10">
        <v>100</v>
      </c>
      <c r="I3" s="27" t="str">
        <f>"{"&amp;F3&amp;","&amp;G3&amp;"}"</f>
        <v>{1001,100}</v>
      </c>
    </row>
    <row r="4" spans="1:9" x14ac:dyDescent="0.15">
      <c r="C4" s="10">
        <v>2</v>
      </c>
      <c r="D4" s="10" t="s">
        <v>216</v>
      </c>
      <c r="F4" s="10">
        <v>20041</v>
      </c>
      <c r="G4" s="10">
        <v>1</v>
      </c>
      <c r="I4" s="27" t="str">
        <f t="shared" ref="I4:I9" si="0">"{"&amp;F4&amp;","&amp;G4&amp;"}"</f>
        <v>{20041,1}</v>
      </c>
    </row>
    <row r="5" spans="1:9" x14ac:dyDescent="0.15">
      <c r="C5" s="10">
        <v>3</v>
      </c>
      <c r="D5" s="10" t="s">
        <v>234</v>
      </c>
      <c r="F5" s="10">
        <v>1105</v>
      </c>
      <c r="G5" s="10">
        <v>1</v>
      </c>
      <c r="I5" s="27" t="str">
        <f t="shared" si="0"/>
        <v>{1105,1}</v>
      </c>
    </row>
    <row r="6" spans="1:9" x14ac:dyDescent="0.15">
      <c r="C6" s="10">
        <v>4</v>
      </c>
      <c r="D6" s="10" t="s">
        <v>216</v>
      </c>
      <c r="F6" s="10">
        <v>20141</v>
      </c>
      <c r="G6" s="10">
        <v>1</v>
      </c>
      <c r="I6" s="27" t="str">
        <f t="shared" si="0"/>
        <v>{20141,1}</v>
      </c>
    </row>
    <row r="7" spans="1:9" x14ac:dyDescent="0.15">
      <c r="C7" s="10">
        <v>5</v>
      </c>
      <c r="D7" s="10" t="s">
        <v>218</v>
      </c>
      <c r="F7" s="10">
        <v>30102</v>
      </c>
      <c r="G7" s="10">
        <v>1</v>
      </c>
      <c r="I7" s="27" t="str">
        <f t="shared" si="0"/>
        <v>{30102,1}</v>
      </c>
    </row>
    <row r="8" spans="1:9" x14ac:dyDescent="0.15">
      <c r="C8" s="10">
        <v>6</v>
      </c>
      <c r="D8" s="10" t="s">
        <v>216</v>
      </c>
      <c r="F8" s="10">
        <v>20241</v>
      </c>
      <c r="G8" s="10">
        <v>1</v>
      </c>
      <c r="I8" s="27" t="str">
        <f t="shared" si="0"/>
        <v>{20241,1}</v>
      </c>
    </row>
    <row r="9" spans="1:9" x14ac:dyDescent="0.15">
      <c r="C9" s="10">
        <v>7</v>
      </c>
      <c r="D9" s="10" t="s">
        <v>233</v>
      </c>
      <c r="F9" s="10">
        <v>1106</v>
      </c>
      <c r="G9" s="10">
        <v>1</v>
      </c>
      <c r="I9" s="27" t="str">
        <f t="shared" si="0"/>
        <v>{1106,1}</v>
      </c>
    </row>
    <row r="11" spans="1:9" x14ac:dyDescent="0.15">
      <c r="B11" s="10" t="s">
        <v>224</v>
      </c>
      <c r="D11" s="10" t="s">
        <v>225</v>
      </c>
    </row>
    <row r="12" spans="1:9" x14ac:dyDescent="0.15">
      <c r="F12" s="10">
        <v>40001</v>
      </c>
      <c r="G12" s="10">
        <v>1</v>
      </c>
      <c r="I12" s="27" t="str">
        <f>"{"&amp;F12&amp;","&amp;G12&amp;"}"</f>
        <v>{40001,1}</v>
      </c>
    </row>
    <row r="13" spans="1:9" x14ac:dyDescent="0.15">
      <c r="F13" s="10">
        <v>40002</v>
      </c>
      <c r="G13" s="10">
        <v>1</v>
      </c>
      <c r="I13" s="27" t="str">
        <f>"{"&amp;F13&amp;","&amp;G13&amp;"}"</f>
        <v>{40002,1}</v>
      </c>
    </row>
    <row r="14" spans="1:9" x14ac:dyDescent="0.15">
      <c r="F14" s="10">
        <v>40003</v>
      </c>
      <c r="G14" s="10">
        <v>1</v>
      </c>
      <c r="I14" s="27" t="str">
        <f>"{"&amp;F14&amp;","&amp;G14&amp;"}"</f>
        <v>{40003,1}</v>
      </c>
    </row>
    <row r="15" spans="1:9" x14ac:dyDescent="0.15">
      <c r="F15" s="10">
        <v>40004</v>
      </c>
      <c r="G15" s="10">
        <v>1</v>
      </c>
      <c r="I15" s="27" t="str">
        <f>"{"&amp;F15&amp;","&amp;G15&amp;"}"</f>
        <v>{40004,1}</v>
      </c>
    </row>
    <row r="16" spans="1:9" x14ac:dyDescent="0.15">
      <c r="F16" s="10">
        <v>40005</v>
      </c>
      <c r="G16" s="10">
        <v>1</v>
      </c>
      <c r="I16" s="27" t="str">
        <f>"{"&amp;F16&amp;","&amp;G16&amp;"}"</f>
        <v>{40005,1}</v>
      </c>
    </row>
    <row r="19" spans="2:9" x14ac:dyDescent="0.15">
      <c r="B19" s="10" t="s">
        <v>244</v>
      </c>
      <c r="F19" s="10">
        <v>40103</v>
      </c>
      <c r="G19" s="10">
        <v>1</v>
      </c>
      <c r="I19" s="27" t="str">
        <f t="shared" ref="I19:I26" si="1">"{"&amp;F19&amp;","&amp;G19&amp;"}"</f>
        <v>{40103,1}</v>
      </c>
    </row>
    <row r="20" spans="2:9" x14ac:dyDescent="0.15">
      <c r="F20" s="10">
        <v>40105</v>
      </c>
      <c r="G20" s="10">
        <v>1</v>
      </c>
      <c r="I20" s="27" t="str">
        <f t="shared" si="1"/>
        <v>{40105,1}</v>
      </c>
    </row>
    <row r="21" spans="2:9" x14ac:dyDescent="0.15">
      <c r="F21" s="10">
        <v>40104</v>
      </c>
      <c r="G21" s="10">
        <v>1</v>
      </c>
      <c r="I21" s="27" t="str">
        <f t="shared" si="1"/>
        <v>{40104,1}</v>
      </c>
    </row>
    <row r="22" spans="2:9" x14ac:dyDescent="0.15">
      <c r="F22" s="10">
        <v>40106</v>
      </c>
      <c r="G22" s="10">
        <v>1</v>
      </c>
      <c r="I22" s="27" t="str">
        <f t="shared" si="1"/>
        <v>{40106,1}</v>
      </c>
    </row>
    <row r="24" spans="2:9" x14ac:dyDescent="0.15">
      <c r="B24" s="10" t="s">
        <v>245</v>
      </c>
      <c r="F24" s="10">
        <v>40107</v>
      </c>
      <c r="G24" s="10">
        <v>1</v>
      </c>
      <c r="I24" s="27" t="str">
        <f t="shared" si="1"/>
        <v>{40107,1}</v>
      </c>
    </row>
    <row r="25" spans="2:9" x14ac:dyDescent="0.15">
      <c r="F25" s="10">
        <v>40101</v>
      </c>
      <c r="G25" s="10">
        <v>1</v>
      </c>
      <c r="I25" s="27" t="str">
        <f t="shared" si="1"/>
        <v>{40101,1}</v>
      </c>
    </row>
    <row r="26" spans="2:9" x14ac:dyDescent="0.15">
      <c r="F26" s="10">
        <v>40110</v>
      </c>
      <c r="G26" s="10">
        <v>1</v>
      </c>
      <c r="I26" s="27" t="str">
        <f t="shared" si="1"/>
        <v>{40110,1}</v>
      </c>
    </row>
    <row r="52" spans="1:1" x14ac:dyDescent="0.15">
      <c r="A52" s="9" t="s">
        <v>3</v>
      </c>
    </row>
    <row r="53" spans="1:1" x14ac:dyDescent="0.15">
      <c r="A53" s="9" t="s">
        <v>28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8"/>
  <sheetViews>
    <sheetView workbookViewId="0">
      <selection activeCell="H10" sqref="H10"/>
    </sheetView>
  </sheetViews>
  <sheetFormatPr defaultRowHeight="11.25" x14ac:dyDescent="0.15"/>
  <cols>
    <col min="2" max="2" width="22.625" customWidth="1"/>
    <col min="4" max="4" width="13.875" customWidth="1"/>
    <col min="5" max="5" width="18.125" customWidth="1"/>
  </cols>
  <sheetData>
    <row r="1" spans="1:6" ht="16.5" x14ac:dyDescent="0.15">
      <c r="A1" s="3" t="s">
        <v>4</v>
      </c>
      <c r="B1" s="30" t="s">
        <v>0</v>
      </c>
      <c r="C1" s="7"/>
      <c r="D1" s="28"/>
      <c r="E1" s="28"/>
    </row>
    <row r="2" spans="1:6" ht="16.5" x14ac:dyDescent="0.15">
      <c r="A2" s="3" t="s">
        <v>1</v>
      </c>
      <c r="B2" s="30" t="s">
        <v>297</v>
      </c>
      <c r="C2" s="7"/>
      <c r="D2" s="28"/>
      <c r="E2" s="28"/>
    </row>
    <row r="3" spans="1:6" ht="16.5" x14ac:dyDescent="0.35">
      <c r="A3" s="3" t="s">
        <v>24</v>
      </c>
      <c r="B3" s="30"/>
      <c r="C3" s="7" t="s">
        <v>7</v>
      </c>
      <c r="D3" s="7" t="s">
        <v>7</v>
      </c>
      <c r="E3" s="4" t="s">
        <v>17</v>
      </c>
      <c r="F3" t="s">
        <v>291</v>
      </c>
    </row>
    <row r="4" spans="1:6" ht="16.5" x14ac:dyDescent="0.35">
      <c r="A4" s="3" t="s">
        <v>26</v>
      </c>
      <c r="B4" s="22"/>
      <c r="C4" s="7" t="s">
        <v>15</v>
      </c>
      <c r="D4" s="36" t="s">
        <v>282</v>
      </c>
      <c r="E4" s="36" t="s">
        <v>283</v>
      </c>
      <c r="F4" t="s">
        <v>292</v>
      </c>
    </row>
    <row r="5" spans="1:6" ht="33" x14ac:dyDescent="0.35">
      <c r="A5" s="7"/>
      <c r="B5" s="31"/>
      <c r="C5" s="7"/>
      <c r="D5" s="8" t="s">
        <v>294</v>
      </c>
      <c r="E5" s="4"/>
      <c r="F5" t="s">
        <v>293</v>
      </c>
    </row>
    <row r="6" spans="1:6" ht="16.5" x14ac:dyDescent="0.35">
      <c r="A6" s="5"/>
      <c r="B6" s="21"/>
      <c r="C6" s="29"/>
      <c r="D6" s="32"/>
      <c r="E6" s="32"/>
    </row>
    <row r="7" spans="1:6" ht="16.5" x14ac:dyDescent="0.35">
      <c r="A7" s="3" t="s">
        <v>2</v>
      </c>
      <c r="B7" s="21" t="s">
        <v>290</v>
      </c>
      <c r="C7" s="29">
        <v>0</v>
      </c>
      <c r="D7" s="32">
        <v>0</v>
      </c>
      <c r="E7" s="37" t="s">
        <v>284</v>
      </c>
    </row>
    <row r="8" spans="1:6" ht="18.75" customHeight="1" x14ac:dyDescent="0.35">
      <c r="A8" s="3" t="s">
        <v>2</v>
      </c>
      <c r="B8" s="21"/>
      <c r="C8" s="29">
        <v>1</v>
      </c>
      <c r="D8" s="32">
        <v>1</v>
      </c>
      <c r="E8" s="37" t="s">
        <v>285</v>
      </c>
      <c r="F8">
        <v>10</v>
      </c>
    </row>
    <row r="9" spans="1:6" ht="18.75" customHeight="1" x14ac:dyDescent="0.35">
      <c r="A9" s="3" t="s">
        <v>2</v>
      </c>
      <c r="B9" s="21"/>
      <c r="C9" s="29">
        <v>2</v>
      </c>
      <c r="D9" s="32">
        <v>1</v>
      </c>
      <c r="E9" s="37" t="s">
        <v>285</v>
      </c>
      <c r="F9">
        <v>10</v>
      </c>
    </row>
    <row r="10" spans="1:6" ht="18.75" customHeight="1" x14ac:dyDescent="0.35">
      <c r="A10" s="3" t="s">
        <v>2</v>
      </c>
      <c r="B10" s="21"/>
      <c r="C10" s="29">
        <v>3</v>
      </c>
      <c r="D10" s="32">
        <v>1</v>
      </c>
      <c r="E10" s="37" t="s">
        <v>289</v>
      </c>
      <c r="F10">
        <v>10</v>
      </c>
    </row>
    <row r="17" spans="1:1" x14ac:dyDescent="0.15">
      <c r="A17" t="s">
        <v>295</v>
      </c>
    </row>
    <row r="18" spans="1:1" x14ac:dyDescent="0.15">
      <c r="A18" t="s">
        <v>296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</vt:lpstr>
      <vt:lpstr>物品表</vt:lpstr>
      <vt:lpstr>商品表</vt:lpstr>
      <vt:lpstr>开关</vt:lpstr>
      <vt:lpstr>抽奖</vt:lpstr>
      <vt:lpstr>掉落</vt:lpstr>
      <vt:lpstr>掉落_design</vt:lpstr>
      <vt:lpstr>抽奖_design</vt:lpstr>
      <vt:lpstr>掉落形式表</vt:lpstr>
    </vt:vector>
  </TitlesOfParts>
  <Manager/>
  <Company>Users</Company>
  <LinksUpToDate>false</LinksUpToDate>
  <CharactersWithSpaces>0</CharactersWithSpaces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whc</cp:lastModifiedBy>
  <cp:revision/>
  <dcterms:created xsi:type="dcterms:W3CDTF">2013-03-21T06:56:51Z</dcterms:created>
  <dcterms:modified xsi:type="dcterms:W3CDTF">2017-01-06T07:28:10Z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2052-8.1.0.3260</vt:lpwstr>
  </property>
</Properties>
</file>